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cleaning\"/>
    </mc:Choice>
  </mc:AlternateContent>
  <xr:revisionPtr revIDLastSave="0" documentId="13_ncr:1_{FB8175F8-6EE7-4CD1-BF95-EBA6301BFA01}" xr6:coauthVersionLast="47" xr6:coauthVersionMax="47" xr10:uidLastSave="{00000000-0000-0000-0000-000000000000}"/>
  <bookViews>
    <workbookView xWindow="0" yWindow="0" windowWidth="20490" windowHeight="10920" activeTab="1" xr2:uid="{3103E588-A9CD-4437-B183-5CFC39FC6AC1}"/>
  </bookViews>
  <sheets>
    <sheet name="01_README" sheetId="6" r:id="rId1"/>
    <sheet name="02_SUMMARY" sheetId="5" r:id="rId2"/>
    <sheet name="03_CLEANED_DATA" sheetId="2" r:id="rId3"/>
    <sheet name="04_WORKINGS" sheetId="3" state="hidden" r:id="rId4"/>
    <sheet name="05_RAW_DATA" sheetId="1" state="hidden" r:id="rId5"/>
  </sheets>
  <calcPr calcId="181029"/>
  <pivotCaches>
    <pivotCache cacheId="19" r:id="rId6"/>
  </pivotCaches>
</workbook>
</file>

<file path=xl/calcChain.xml><?xml version="1.0" encoding="utf-8"?>
<calcChain xmlns="http://schemas.openxmlformats.org/spreadsheetml/2006/main">
  <c r="B20" i="5" l="1"/>
  <c r="B13" i="5"/>
  <c r="B11" i="5"/>
  <c r="B5" i="5"/>
  <c r="B3" i="5"/>
  <c r="U6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J8" i="3"/>
  <c r="L10" i="3"/>
  <c r="H6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L2" i="3"/>
  <c r="L3" i="3"/>
  <c r="L4" i="3"/>
  <c r="L5" i="3"/>
  <c r="L6" i="3"/>
  <c r="L7" i="3"/>
  <c r="L8" i="3"/>
  <c r="L9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J2" i="3"/>
  <c r="J3" i="3"/>
  <c r="J4" i="3"/>
  <c r="J5" i="3"/>
  <c r="J6" i="3"/>
  <c r="J7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H2" i="3"/>
  <c r="H3" i="3"/>
  <c r="H4" i="3"/>
  <c r="H5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</calcChain>
</file>

<file path=xl/sharedStrings.xml><?xml version="1.0" encoding="utf-8"?>
<sst xmlns="http://schemas.openxmlformats.org/spreadsheetml/2006/main" count="457" uniqueCount="159">
  <si>
    <t>Employee_ID</t>
  </si>
  <si>
    <t>Name</t>
  </si>
  <si>
    <t>Age</t>
  </si>
  <si>
    <t>Department</t>
  </si>
  <si>
    <t>Salary</t>
  </si>
  <si>
    <t>Years_Experience</t>
  </si>
  <si>
    <t>Performance_Score</t>
  </si>
  <si>
    <t>City</t>
  </si>
  <si>
    <t>Join_Date</t>
  </si>
  <si>
    <t>Remote_Work</t>
  </si>
  <si>
    <t xml:space="preserve">  John Doe  </t>
  </si>
  <si>
    <t>Engineering</t>
  </si>
  <si>
    <t>Dhaka</t>
  </si>
  <si>
    <t>Yes</t>
  </si>
  <si>
    <t>ALICE SMITH</t>
  </si>
  <si>
    <t>hr</t>
  </si>
  <si>
    <t>dhaka</t>
  </si>
  <si>
    <t>15/01/2019</t>
  </si>
  <si>
    <t>yes</t>
  </si>
  <si>
    <t>Bob Jones</t>
  </si>
  <si>
    <t>engineering</t>
  </si>
  <si>
    <t>Jan 15 2021</t>
  </si>
  <si>
    <t>Y</t>
  </si>
  <si>
    <t>Sarah Smith</t>
  </si>
  <si>
    <t>thirty</t>
  </si>
  <si>
    <t>HR Department</t>
  </si>
  <si>
    <t>DHAKA</t>
  </si>
  <si>
    <t>Mike Wilson</t>
  </si>
  <si>
    <t>Chittagong</t>
  </si>
  <si>
    <t>Emma Davis</t>
  </si>
  <si>
    <t>Sylhet</t>
  </si>
  <si>
    <t xml:space="preserve">  Tom Brown</t>
  </si>
  <si>
    <t>N/A</t>
  </si>
  <si>
    <t>Maybe</t>
  </si>
  <si>
    <t>Lisa Anderson</t>
  </si>
  <si>
    <t>No</t>
  </si>
  <si>
    <t>David Lee</t>
  </si>
  <si>
    <t>HR</t>
  </si>
  <si>
    <t>no</t>
  </si>
  <si>
    <t>Maria Garcia</t>
  </si>
  <si>
    <t>N</t>
  </si>
  <si>
    <t>James Wilson</t>
  </si>
  <si>
    <t>25years</t>
  </si>
  <si>
    <t>Dec 01 2021</t>
  </si>
  <si>
    <t>Patricia Martinez</t>
  </si>
  <si>
    <t>Robert Taylor</t>
  </si>
  <si>
    <t>Jennifer Brown</t>
  </si>
  <si>
    <t>15/03/2020</t>
  </si>
  <si>
    <t xml:space="preserve">  Michael Johnson  </t>
  </si>
  <si>
    <t>Linda Davis</t>
  </si>
  <si>
    <t>y</t>
  </si>
  <si>
    <t>William Anderson</t>
  </si>
  <si>
    <t>Barbara Thomas</t>
  </si>
  <si>
    <t>25/11/2019</t>
  </si>
  <si>
    <t>Richard Jackson</t>
  </si>
  <si>
    <t>Susan White</t>
  </si>
  <si>
    <t>Joseph Harris</t>
  </si>
  <si>
    <t>Jessica Martin</t>
  </si>
  <si>
    <t>Aug 15 2019</t>
  </si>
  <si>
    <t>Thomas Rodriguez</t>
  </si>
  <si>
    <t>Nancy Martinez</t>
  </si>
  <si>
    <t>Christopher Lee</t>
  </si>
  <si>
    <t>YES</t>
  </si>
  <si>
    <t>Name2</t>
  </si>
  <si>
    <t>Years_of_Experience</t>
  </si>
  <si>
    <t>Age2</t>
  </si>
  <si>
    <t>Years_of_Experience2</t>
  </si>
  <si>
    <t>City2</t>
  </si>
  <si>
    <t>Join_Date2</t>
  </si>
  <si>
    <t>Remote_Work2</t>
  </si>
  <si>
    <t>Remote_Work3</t>
  </si>
  <si>
    <t>John Doe</t>
  </si>
  <si>
    <t>Alice Smith</t>
  </si>
  <si>
    <t>Tom Brown</t>
  </si>
  <si>
    <t>Michael Johnson</t>
  </si>
  <si>
    <t>True</t>
  </si>
  <si>
    <t>Unknown</t>
  </si>
  <si>
    <t>False</t>
  </si>
  <si>
    <t>Salary2</t>
  </si>
  <si>
    <t>Performance_Score2</t>
  </si>
  <si>
    <t>Grand Total</t>
  </si>
  <si>
    <t>SUMMARY</t>
  </si>
  <si>
    <t xml:space="preserve"> </t>
  </si>
  <si>
    <t>Average Salary</t>
  </si>
  <si>
    <t>Number of Employees</t>
  </si>
  <si>
    <t>Remote Work</t>
  </si>
  <si>
    <t>1. HR department has higher average salary than the Engineering department</t>
  </si>
  <si>
    <t>2. Dhaka has the highest employee concentration.</t>
  </si>
  <si>
    <t>3. Majority of employees work remotely.</t>
  </si>
  <si>
    <r>
      <t xml:space="preserve">1. </t>
    </r>
    <r>
      <rPr>
        <b/>
        <sz val="11"/>
        <color theme="1"/>
        <rFont val="Calibri"/>
        <family val="2"/>
        <scheme val="minor"/>
      </rPr>
      <t>Total Employees</t>
    </r>
  </si>
  <si>
    <t>2. Average Salary</t>
  </si>
  <si>
    <t>4. Number of Remote Workers</t>
  </si>
  <si>
    <t>5. Percentage of Remote Workers</t>
  </si>
  <si>
    <t>6. Number of Employees By City</t>
  </si>
  <si>
    <t>Issue Type</t>
  </si>
  <si>
    <t>Count</t>
  </si>
  <si>
    <t>Duplicates</t>
  </si>
  <si>
    <t>Missing Salary</t>
  </si>
  <si>
    <t>Invalid Dates</t>
  </si>
  <si>
    <t>To transform raw, inconsistent employee data into a clean, structured dataset suitable for analysis, reporting and business decision-making.</t>
  </si>
  <si>
    <t>The following steps were performed to ensure data quality and consistency:</t>
  </si>
  <si>
    <t>An interactive summary sheet was created featuring:</t>
  </si>
  <si>
    <t>A fully cleaned and analysis-ready dataset, supported by a clear dashboard and documented methodology, enabling reliable insights and decision-making.</t>
  </si>
  <si>
    <t>TECH EMPLOYEE SURVEY DATA CLEANING AND ANALYSIS PROJECT</t>
  </si>
  <si>
    <r>
      <rPr>
        <b/>
        <sz val="11"/>
        <color theme="1"/>
        <rFont val="Calibri"/>
        <family val="2"/>
        <scheme val="minor"/>
      </rPr>
      <t>Author</t>
    </r>
    <r>
      <rPr>
        <sz val="11"/>
        <color theme="1"/>
        <rFont val="Calibri"/>
        <family val="2"/>
        <scheme val="minor"/>
      </rPr>
      <t>: Mgbonye Winnifred Ebele</t>
    </r>
  </si>
  <si>
    <r>
      <rPr>
        <b/>
        <sz val="11"/>
        <color theme="1"/>
        <rFont val="Calibri"/>
        <family val="2"/>
        <scheme val="minor"/>
      </rPr>
      <t>Role</t>
    </r>
    <r>
      <rPr>
        <sz val="11"/>
        <color theme="1"/>
        <rFont val="Calibri"/>
        <family val="2"/>
        <scheme val="minor"/>
      </rPr>
      <t>: Entry-Level Data Analyst</t>
    </r>
  </si>
  <si>
    <r>
      <rPr>
        <b/>
        <sz val="11"/>
        <color theme="1"/>
        <rFont val="Calibri"/>
        <family val="2"/>
        <scheme val="minor"/>
      </rPr>
      <t>Tool Used</t>
    </r>
    <r>
      <rPr>
        <sz val="11"/>
        <color theme="1"/>
        <rFont val="Calibri"/>
        <family val="2"/>
        <scheme val="minor"/>
      </rPr>
      <t>: Microsoft Excel</t>
    </r>
  </si>
  <si>
    <t>PROJECT OVERVIEW</t>
  </si>
  <si>
    <t>OBJECTIVES</t>
  </si>
  <si>
    <t>DATA CLEANING PROCESS</t>
  </si>
  <si>
    <t>DATA QUALITY ENHANCEMENTS</t>
  </si>
  <si>
    <t>KEY INSIGHTS</t>
  </si>
  <si>
    <t>DASHBOARD AND REPORTING</t>
  </si>
  <si>
    <t>TOOLS AND FUNCTIONS USED</t>
  </si>
  <si>
    <t>OUTCOME</t>
  </si>
  <si>
    <t xml:space="preserve">      •   Age (valid range applied)
      •   Salary (outliers removed outside expected range)
      •   Years of Experience (validated against realistic thresholds)</t>
  </si>
  <si>
    <r>
      <rPr>
        <sz val="11"/>
        <color theme="1"/>
        <rFont val="Calibri"/>
        <family val="2"/>
      </rPr>
      <t xml:space="preserve">•   </t>
    </r>
    <r>
      <rPr>
        <sz val="11"/>
        <color theme="1"/>
        <rFont val="Calibri"/>
        <family val="2"/>
        <scheme val="minor"/>
      </rPr>
      <t>Removed five (5) duplicate records to eliminate redundancy</t>
    </r>
  </si>
  <si>
    <t>•   Standardized text fields using TRIM and PROPER (Name, City, Department)</t>
  </si>
  <si>
    <t>•   Converted mixed and invalid entries (e.g., "25years", "thirty") into numeric format</t>
  </si>
  <si>
    <t>•   Handled outliers using logical conditions:</t>
  </si>
  <si>
    <r>
      <rPr>
        <sz val="11"/>
        <color theme="1"/>
        <rFont val="Calibri"/>
        <family val="2"/>
      </rPr>
      <t xml:space="preserve">•   </t>
    </r>
    <r>
      <rPr>
        <sz val="11"/>
        <color theme="1"/>
        <rFont val="Calibri"/>
        <family val="2"/>
        <scheme val="minor"/>
      </rPr>
      <t>Validated Performance Score within the range 1 - 5</t>
    </r>
  </si>
  <si>
    <t>•   Cleaned and standardized date values; invalid future dates removed</t>
  </si>
  <si>
    <t>•   Normalized Remote Work values into True / False / Unknown</t>
  </si>
  <si>
    <t>•   Preserved missing values as blanks to maintain data type integrity</t>
  </si>
  <si>
    <t>•   Documented key data issues:</t>
  </si>
  <si>
    <t xml:space="preserve">      •   Duplicates removed: 5
      •   Missing salary values: 3
      •   Invalid date corrected: 1</t>
  </si>
  <si>
    <t>•   The HR department has a higher average salary than Engineering</t>
  </si>
  <si>
    <t>•   Dhaka has the highest employee concentration</t>
  </si>
  <si>
    <t>•   64% of employees work remotely, indicating strong remote adoption</t>
  </si>
  <si>
    <t>•   KPI metrics (Total Employees, Average Salary, Percentage of Remote Workers)</t>
  </si>
  <si>
    <t>•   Salary distribution by department</t>
  </si>
  <si>
    <t>•   Employee distribution by city</t>
  </si>
  <si>
    <t>•   Remote vs Non-Remote workforce breakdown</t>
  </si>
  <si>
    <t>•   Data Quality Report</t>
  </si>
  <si>
    <t>•   Microsoft Excel</t>
  </si>
  <si>
    <t>•   Functions: IF, OR, TRIM, PROPER, COUNTIF, DATEVALUE, IFERROR</t>
  </si>
  <si>
    <t>•   Pivot Tables</t>
  </si>
  <si>
    <t>•   Data Validation</t>
  </si>
  <si>
    <t>•   Charts (Bar, Pie, Column)</t>
  </si>
  <si>
    <t>A. KPI SECTION</t>
  </si>
  <si>
    <t>B. CHARTS</t>
  </si>
  <si>
    <t>C. KEY INSIGHTS</t>
  </si>
  <si>
    <t>D. DATA QUALITY REPORT</t>
  </si>
  <si>
    <t>•   Resolved inconsistent categorical values (e.g., "hr", "HR Department" -&gt; "HR")</t>
  </si>
  <si>
    <t>WORKBOOK STRUCTURE</t>
  </si>
  <si>
    <r>
      <rPr>
        <b/>
        <sz val="11"/>
        <color theme="1"/>
        <rFont val="Calibri"/>
        <family val="2"/>
        <scheme val="minor"/>
      </rPr>
      <t xml:space="preserve">01_README </t>
    </r>
    <r>
      <rPr>
        <sz val="11"/>
        <color theme="1"/>
        <rFont val="Calibri"/>
        <family val="2"/>
        <scheme val="minor"/>
      </rPr>
      <t>-&gt; Explains the project</t>
    </r>
  </si>
  <si>
    <r>
      <rPr>
        <b/>
        <sz val="11"/>
        <color theme="1"/>
        <rFont val="Calibri"/>
        <family val="2"/>
        <scheme val="minor"/>
      </rPr>
      <t xml:space="preserve">02_SUMMARY </t>
    </r>
    <r>
      <rPr>
        <sz val="11"/>
        <color theme="1"/>
        <rFont val="Calibri"/>
        <family val="2"/>
        <scheme val="minor"/>
      </rPr>
      <t>-&gt; Pivot tables and insights</t>
    </r>
  </si>
  <si>
    <r>
      <rPr>
        <b/>
        <sz val="11"/>
        <color theme="1"/>
        <rFont val="Calibri"/>
        <family val="2"/>
        <scheme val="minor"/>
      </rPr>
      <t xml:space="preserve">03_CLEANED_DATA </t>
    </r>
    <r>
      <rPr>
        <sz val="11"/>
        <color theme="1"/>
        <rFont val="Calibri"/>
        <family val="2"/>
        <scheme val="minor"/>
      </rPr>
      <t>-&gt; Final cleaned dataset</t>
    </r>
  </si>
  <si>
    <r>
      <rPr>
        <b/>
        <sz val="11"/>
        <color theme="1"/>
        <rFont val="Calibri"/>
        <family val="2"/>
        <scheme val="minor"/>
      </rPr>
      <t xml:space="preserve">04_WORKINGS </t>
    </r>
    <r>
      <rPr>
        <sz val="11"/>
        <color theme="1"/>
        <rFont val="Calibri"/>
        <family val="2"/>
        <scheme val="minor"/>
      </rPr>
      <t>-&gt; Intermediate cleaning dataset</t>
    </r>
  </si>
  <si>
    <r>
      <rPr>
        <b/>
        <sz val="11"/>
        <color theme="1"/>
        <rFont val="Calibri"/>
        <family val="2"/>
        <scheme val="minor"/>
      </rPr>
      <t xml:space="preserve">05_RAW_DATA </t>
    </r>
    <r>
      <rPr>
        <sz val="11"/>
        <color theme="1"/>
        <rFont val="Calibri"/>
        <family val="2"/>
        <scheme val="minor"/>
      </rPr>
      <t>-&gt; Original uncleaned dataset</t>
    </r>
  </si>
  <si>
    <t>This project showcases an end-to-end data cleaning, transformation and analysis workflow using Microsoft Excel, applied to a real-world messy employee dataset.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</si>
  <si>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Supporting worksheets (04_WORKINGS and 05_RAW_DATA) are included but hidden to maintain a clean presentation while preserving transparency.</t>
    </r>
  </si>
  <si>
    <t>•   Improved consistency across all columns</t>
  </si>
  <si>
    <t>•   Maintained correct data types (numeric, text, date)</t>
  </si>
  <si>
    <t>•   Introduced validation logic to prevent future data entry errors</t>
  </si>
  <si>
    <t>3. Average Number of year of Experience</t>
  </si>
  <si>
    <t>• The charts excludes missing/unknown values for clarity.</t>
  </si>
  <si>
    <t>• Currency not specified in source data; values presented for analytical purposes.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</si>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</sst>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6" fontId="0" fillId="0" borderId="0" xfId="0" applyNumberFormat="1"/>
    <xf numFmtId="49" fontId="0" fillId="0" borderId="0" xfId="0" applyNumberFormat="1"/>
    <xf numFmtId="1" fontId="0" fillId="0" borderId="0" xfId="0" applyNumberForma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43" fontId="16" fillId="0" borderId="0" xfId="0" applyNumberFormat="1" applyFont="1"/>
    <xf numFmtId="1" fontId="16" fillId="0" borderId="0" xfId="0" applyNumberFormat="1" applyFont="1"/>
    <xf numFmtId="9" fontId="16" fillId="0" borderId="0" xfId="0" applyNumberFormat="1" applyFont="1"/>
    <xf numFmtId="0" fontId="19" fillId="0" borderId="0" xfId="0" applyFont="1"/>
    <xf numFmtId="0" fontId="0" fillId="0" borderId="0" xfId="0" applyAlignment="1">
      <alignment wrapText="1"/>
    </xf>
    <xf numFmtId="0" fontId="23" fillId="0" borderId="0" xfId="0" applyFont="1"/>
    <xf numFmtId="0" fontId="1" fillId="0" borderId="0" xfId="0" applyFont="1"/>
    <xf numFmtId="44" fontId="0" fillId="0" borderId="0" xfId="0" applyNumberFormat="1"/>
    <xf numFmtId="44" fontId="16" fillId="0" borderId="0" xfId="0" applyNumberFormat="1" applyFont="1"/>
    <xf numFmtId="0" fontId="22" fillId="0" borderId="0" xfId="0" applyFont="1"/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30" formatCode="@"/>
    </dxf>
    <dxf>
      <numFmt numFmtId="0" formatCode="General"/>
    </dxf>
    <dxf>
      <numFmt numFmtId="30" formatCode="@"/>
    </dxf>
    <dxf>
      <numFmt numFmtId="19" formatCode="m/d/yyyy"/>
    </dxf>
    <dxf>
      <numFmt numFmtId="19" formatCode="m/d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9" formatCode="m/d/yyyy"/>
    </dxf>
    <dxf>
      <numFmt numFmtId="30" formatCode="@"/>
    </dxf>
    <dxf>
      <numFmt numFmtId="1" formatCode="0"/>
    </dxf>
    <dxf>
      <numFmt numFmtId="1" formatCode="0"/>
    </dxf>
    <dxf>
      <numFmt numFmtId="34" formatCode="_(&quot;$&quot;* #,##0.00_);_(&quot;$&quot;* \(#,##0.00\);_(&quot;$&quot;* &quot;-&quot;??_);_(@_)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1" defaultTableStyle="TableStyleMedium2" defaultPivotStyle="PivotStyleLight16">
    <tableStyle name="PivotTable Style 1" table="0" count="2" xr9:uid="{85DBF63A-314B-42E2-B3FD-8382E1D367D5}">
      <tableStyleElement type="headerRow" dxfId="27"/>
      <tableStyleElement type="totalRow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[Tech_Employee_Survey_Cleaned.xlsx]02_SUMMARY!PivotTable1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Salary</a:t>
            </a:r>
            <a:r>
              <a:rPr lang="en-US" sz="1400" b="1" baseline="0">
                <a:solidFill>
                  <a:sysClr val="windowText" lastClr="000000"/>
                </a:solidFill>
              </a:rPr>
              <a:t>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77300361416483"/>
          <c:y val="0.18626487214933996"/>
          <c:w val="0.65839517664125846"/>
          <c:h val="0.69723412029318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'02_SUMMARY'!$B$6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'02_SUMMARY'!$A$7:$A$9</c:f>
              <c:strCache>
                <c:ptCount val="2"/>
                <c:pt idx="0">
                  <c:v>Engineering</c:v>
                </c:pt>
                <c:pt idx="1">
                  <c:v>HR</c:v>
                </c:pt>
              </c:strCache>
            </c:strRef>
          </c:cat>
          <c:val>
            <c:numRef>
              <c:f>'02_SUMMARY'!$B$7:$B$9</c:f>
              <c:numCache>
                <c:formatCode>_("$"* #,##0.00_);_("$"* \(#,##0.00\);_("$"* "-"??_);_(@_)</c:formatCode>
                <c:ptCount val="2"/>
                <c:pt idx="0">
                  <c:v>77200</c:v>
                </c:pt>
                <c:pt idx="1">
                  <c:v>82700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5-4D60-8DFD-E0E3A842F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5666976"/>
        <c:axId val="1045660736"/>
      </c:barChart>
      <c:catAx>
        <c:axId val="104566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660736"/>
        <c:crosses val="autoZero"/>
        <c:auto val="1"/>
        <c:lblAlgn val="ctr"/>
        <c:lblOffset val="100"/>
        <c:noMultiLvlLbl val="0"/>
      </c:catAx>
      <c:valAx>
        <c:axId val="1045660736"/>
        <c:scaling>
          <c:orientation val="minMax"/>
          <c:max val="85000"/>
          <c:min val="70000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666976"/>
        <c:crosses val="autoZero"/>
        <c:crossBetween val="between"/>
        <c:majorUnit val="5000"/>
        <c:min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[Tech_Employee_Survey_Cleaned.xlsx]02_SUMMARY!PivotTable3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Remote</a:t>
            </a:r>
            <a:r>
              <a:rPr lang="en-US" b="1" baseline="0">
                <a:solidFill>
                  <a:sysClr val="windowText" lastClr="000000"/>
                </a:solidFill>
              </a:rPr>
              <a:t> vs Non-Remote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 w="19050">
            <a:solidFill>
              <a:schemeClr val="bg1">
                <a:lumMod val="50000"/>
              </a:schemeClr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'02_SUMMARY'!$B$14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44-4BC8-9658-64E7AC54D0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44-4BC8-9658-64E7AC54D04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'02_SUMMARY'!$A$15:$A$17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'02_SUMMARY'!$B$15:$B$17</c:f>
              <c:numCache>
                <c:formatCode>0</c:formatCode>
                <c:ptCount val="2"/>
                <c:pt idx="0">
                  <c:v>8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098-86AF-1908CDBE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[Tech_Employee_Survey_Cleaned.xlsx]02_SUMMARY!PivotTable2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Employees</a:t>
            </a:r>
            <a:r>
              <a:rPr lang="en-US" b="1" baseline="0">
                <a:solidFill>
                  <a:sysClr val="windowText" lastClr="000000"/>
                </a:solidFill>
              </a:rPr>
              <a:t> by City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'02_SUMMARY'!$B$23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'02_SUMMARY'!$A$24:$A$27</c:f>
              <c:strCache>
                <c:ptCount val="3"/>
                <c:pt idx="0">
                  <c:v>Chittagong</c:v>
                </c:pt>
                <c:pt idx="1">
                  <c:v>Dhaka</c:v>
                </c:pt>
                <c:pt idx="2">
                  <c:v>Sylhet</c:v>
                </c:pt>
              </c:strCache>
            </c:strRef>
          </c:cat>
          <c:val>
            <c:numRef>
              <c:f>'02_SUMMARY'!$B$24:$B$27</c:f>
              <c:numCache>
                <c:formatCode>0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5-4E3D-A24B-A93306B0A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565024"/>
        <c:axId val="1283566944"/>
      </c:barChart>
      <c:catAx>
        <c:axId val="12835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66944"/>
        <c:crosses val="autoZero"/>
        <c:auto val="1"/>
        <c:lblAlgn val="ctr"/>
        <c:lblOffset val="100"/>
        <c:noMultiLvlLbl val="0"/>
      </c:catAx>
      <c:valAx>
        <c:axId val="1283566944"/>
        <c:scaling>
          <c:orientation val="minMax"/>
          <c:max val="2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65024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114300</xdr:rowOff>
    </xdr:from>
    <xdr:to>
      <xdr:col>5</xdr:col>
      <xdr:colOff>476250</xdr:colOff>
      <xdr:row>1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4904A77-3617-A55D-282F-FD8C9DDC66C8}"/>
            </a:ext>
          </a:extLst>
        </xdr:cNvPr>
        <xdr:cNvCxnSpPr/>
      </xdr:nvCxnSpPr>
      <xdr:spPr>
        <a:xfrm>
          <a:off x="0" y="352425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85725</xdr:rowOff>
    </xdr:from>
    <xdr:to>
      <xdr:col>5</xdr:col>
      <xdr:colOff>476250</xdr:colOff>
      <xdr:row>5</xdr:row>
      <xdr:rowOff>85725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CD5CA39-30CC-4E42-B220-3A71FA3A7D58}"/>
            </a:ext>
          </a:extLst>
        </xdr:cNvPr>
        <xdr:cNvCxnSpPr/>
      </xdr:nvCxnSpPr>
      <xdr:spPr>
        <a:xfrm>
          <a:off x="0" y="1133475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76200</xdr:rowOff>
    </xdr:from>
    <xdr:to>
      <xdr:col>5</xdr:col>
      <xdr:colOff>476250</xdr:colOff>
      <xdr:row>8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44F4062-F740-4FDF-902F-5475D8535957}"/>
            </a:ext>
          </a:extLst>
        </xdr:cNvPr>
        <xdr:cNvCxnSpPr/>
      </xdr:nvCxnSpPr>
      <xdr:spPr>
        <a:xfrm>
          <a:off x="0" y="1695450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104775</xdr:rowOff>
    </xdr:from>
    <xdr:to>
      <xdr:col>5</xdr:col>
      <xdr:colOff>476250</xdr:colOff>
      <xdr:row>11</xdr:row>
      <xdr:rowOff>104775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09CA28F-1339-4777-B245-AA02B22C5429}"/>
            </a:ext>
          </a:extLst>
        </xdr:cNvPr>
        <xdr:cNvCxnSpPr/>
      </xdr:nvCxnSpPr>
      <xdr:spPr>
        <a:xfrm>
          <a:off x="0" y="2295525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114300</xdr:rowOff>
    </xdr:from>
    <xdr:to>
      <xdr:col>5</xdr:col>
      <xdr:colOff>476250</xdr:colOff>
      <xdr:row>32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352175B-E7DD-41C2-8448-7076024DDA33}"/>
            </a:ext>
          </a:extLst>
        </xdr:cNvPr>
        <xdr:cNvCxnSpPr/>
      </xdr:nvCxnSpPr>
      <xdr:spPr>
        <a:xfrm>
          <a:off x="0" y="5162550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39</xdr:row>
      <xdr:rowOff>95250</xdr:rowOff>
    </xdr:from>
    <xdr:to>
      <xdr:col>5</xdr:col>
      <xdr:colOff>476250</xdr:colOff>
      <xdr:row>39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C1C3447-FCAE-444B-8C5C-C6C0294EA029}"/>
            </a:ext>
          </a:extLst>
        </xdr:cNvPr>
        <xdr:cNvCxnSpPr/>
      </xdr:nvCxnSpPr>
      <xdr:spPr>
        <a:xfrm>
          <a:off x="0" y="6858000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95250</xdr:rowOff>
    </xdr:from>
    <xdr:to>
      <xdr:col>5</xdr:col>
      <xdr:colOff>476250</xdr:colOff>
      <xdr:row>44</xdr:row>
      <xdr:rowOff>95250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E4C9F24-EB49-460D-B6B0-6191F07CE752}"/>
            </a:ext>
          </a:extLst>
        </xdr:cNvPr>
        <xdr:cNvCxnSpPr/>
      </xdr:nvCxnSpPr>
      <xdr:spPr>
        <a:xfrm>
          <a:off x="0" y="7810500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52</xdr:row>
      <xdr:rowOff>104775</xdr:rowOff>
    </xdr:from>
    <xdr:to>
      <xdr:col>5</xdr:col>
      <xdr:colOff>476250</xdr:colOff>
      <xdr:row>52</xdr:row>
      <xdr:rowOff>104775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263A720-AF5D-4797-8771-450DE23A78BA}"/>
            </a:ext>
          </a:extLst>
        </xdr:cNvPr>
        <xdr:cNvCxnSpPr/>
      </xdr:nvCxnSpPr>
      <xdr:spPr>
        <a:xfrm>
          <a:off x="0" y="9344025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</xdr:row>
      <xdr:rowOff>95250</xdr:rowOff>
    </xdr:from>
    <xdr:to>
      <xdr:col>5</xdr:col>
      <xdr:colOff>476250</xdr:colOff>
      <xdr:row>59</xdr:row>
      <xdr:rowOff>95250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61C5B87-E098-49CC-9E65-45711D7A76B0}"/>
            </a:ext>
          </a:extLst>
        </xdr:cNvPr>
        <xdr:cNvCxnSpPr/>
      </xdr:nvCxnSpPr>
      <xdr:spPr>
        <a:xfrm>
          <a:off x="0" y="10668000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62</xdr:row>
      <xdr:rowOff>95250</xdr:rowOff>
    </xdr:from>
    <xdr:to>
      <xdr:col>5</xdr:col>
      <xdr:colOff>476250</xdr:colOff>
      <xdr:row>62</xdr:row>
      <xdr:rowOff>95250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3689912-04D5-4836-B5B9-441B26B03E58}"/>
            </a:ext>
          </a:extLst>
        </xdr:cNvPr>
        <xdr:cNvCxnSpPr/>
      </xdr:nvCxnSpPr>
      <xdr:spPr>
        <a:xfrm>
          <a:off x="0" y="11239500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</xdr:row>
      <xdr:rowOff>95250</xdr:rowOff>
    </xdr:from>
    <xdr:to>
      <xdr:col>5</xdr:col>
      <xdr:colOff>476250</xdr:colOff>
      <xdr:row>19</xdr:row>
      <xdr:rowOff>95250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48A05F6-4C5D-4054-B045-217D06B5CC4C}"/>
            </a:ext>
          </a:extLst>
        </xdr:cNvPr>
        <xdr:cNvCxnSpPr/>
      </xdr:nvCxnSpPr>
      <xdr:spPr>
        <a:xfrm>
          <a:off x="0" y="3810000"/>
          <a:ext cx="127635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9922</xdr:colOff>
      <xdr:row>1</xdr:row>
      <xdr:rowOff>195263</xdr:rowOff>
    </xdr:from>
    <xdr:to>
      <xdr:col>5</xdr:col>
      <xdr:colOff>3829050</xdr:colOff>
      <xdr:row>11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C9970-DE66-7D31-80C9-338C6944D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4038600</xdr:colOff>
      <xdr:row>2</xdr:row>
      <xdr:rowOff>3109</xdr:rowOff>
    </xdr:from>
    <xdr:to>
      <xdr:col>5</xdr:col>
      <xdr:colOff>6838949</xdr:colOff>
      <xdr:row>11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37CEC-9AFB-E3FE-67E7-3B87E45A8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2352676</xdr:colOff>
      <xdr:row>11</xdr:row>
      <xdr:rowOff>171450</xdr:rowOff>
    </xdr:from>
    <xdr:to>
      <xdr:col>5</xdr:col>
      <xdr:colOff>5553076</xdr:colOff>
      <xdr:row>23</xdr:row>
      <xdr:rowOff>95251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DEC153-0CA5-7881-1F3A-421816506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2.684413657407" createdVersion="8" refreshedVersion="8" minRefreshableVersion="3" recordCount="25" xr:uid="{CF44B33C-0C99-4D95-8E06-0CFEC841BFCB}">
  <cacheSource type="worksheet">
    <worksheetSource name="Table2"/>
  </cacheSource>
  <cacheFields count="10">
    <cacheField name="Employee_ID" numFmtId="49">
      <sharedItems containsSemiMixedTypes="0" containsString="0" containsNumber="1" containsInteger="1" minValue="1001" maxValue="1027"/>
    </cacheField>
    <cacheField name="Name" numFmtId="49">
      <sharedItems/>
    </cacheField>
    <cacheField name="Age" numFmtId="1">
      <sharedItems containsBlank="1" containsMixedTypes="1" containsNumber="1" containsInteger="1" minValue="25" maxValue="45"/>
    </cacheField>
    <cacheField name="Department" numFmtId="49">
      <sharedItems count="3">
        <s v="Engineering"/>
        <s v="HR"/>
        <s v="N/A"/>
      </sharedItems>
    </cacheField>
    <cacheField name="Salary" numFmtId="44">
      <sharedItems containsBlank="1" containsMixedTypes="1" containsNumber="1" containsInteger="1" minValue="50000" maxValue="120000"/>
    </cacheField>
    <cacheField name="Years_of_Experience" numFmtId="1">
      <sharedItems containsBlank="1" containsMixedTypes="1" containsNumber="1" containsInteger="1" minValue="2" maxValue="25"/>
    </cacheField>
    <cacheField name="Performance_Score" numFmtId="1">
      <sharedItems containsBlank="1" containsMixedTypes="1" containsNumber="1" containsInteger="1" minValue="3" maxValue="5"/>
    </cacheField>
    <cacheField name="City" numFmtId="49">
      <sharedItems count="3">
        <s v="Dhaka"/>
        <s v="Chittagong"/>
        <s v="Sylhet"/>
      </sharedItems>
    </cacheField>
    <cacheField name="Join_Date" numFmtId="14">
      <sharedItems containsNonDate="0" containsDate="1" containsMixedTypes="1" minDate="2015-11-30T00:00:00" maxDate="2022-01-02T00:00:00"/>
    </cacheField>
    <cacheField name="Remote_Work" numFmtId="0">
      <sharedItems count="3">
        <s v="True"/>
        <s v="Unknown"/>
        <s v="Fal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01"/>
    <s v="John Doe"/>
    <n v="28"/>
    <x v="0"/>
    <n v="75000"/>
    <n v="3"/>
    <n v="4"/>
    <x v="0"/>
    <d v="2020-01-15T00:00:00"/>
    <x v="0"/>
  </r>
  <r>
    <n v="1002"/>
    <s v="Alice Smith"/>
    <n v="32"/>
    <x v="1"/>
    <n v="85000"/>
    <n v="5"/>
    <n v="5"/>
    <x v="0"/>
    <d v="2019-01-15T00:00:00"/>
    <x v="0"/>
  </r>
  <r>
    <n v="1003"/>
    <s v="Bob Jones"/>
    <m/>
    <x v="0"/>
    <n v="50000"/>
    <n v="2"/>
    <m/>
    <x v="0"/>
    <d v="2021-01-15T00:00:00"/>
    <x v="0"/>
  </r>
  <r>
    <n v="1004"/>
    <s v="Sarah Smith"/>
    <n v="30"/>
    <x v="1"/>
    <n v="120000"/>
    <n v="7"/>
    <n v="4"/>
    <x v="0"/>
    <d v="2021-10-03T00:00:00"/>
    <x v="0"/>
  </r>
  <r>
    <n v="1005"/>
    <s v="Mike Wilson"/>
    <n v="45"/>
    <x v="0"/>
    <m/>
    <n v="25"/>
    <n v="3"/>
    <x v="1"/>
    <d v="2018-07-20T00:00:00"/>
    <x v="0"/>
  </r>
  <r>
    <n v="1006"/>
    <s v="Emma Davis"/>
    <s v=" "/>
    <x v="1"/>
    <s v=" "/>
    <n v="15"/>
    <n v="4"/>
    <x v="2"/>
    <s v=" "/>
    <x v="0"/>
  </r>
  <r>
    <n v="1007"/>
    <s v="Tom Brown"/>
    <n v="29"/>
    <x v="2"/>
    <n v="65000"/>
    <m/>
    <n v="5"/>
    <x v="0"/>
    <d v="2022-01-01T00:00:00"/>
    <x v="1"/>
  </r>
  <r>
    <n v="1008"/>
    <s v="Lisa Anderson"/>
    <n v="26"/>
    <x v="0"/>
    <n v="70000"/>
    <n v="4"/>
    <n v="4"/>
    <x v="0"/>
    <d v="2020-05-10T00:00:00"/>
    <x v="2"/>
  </r>
  <r>
    <n v="1009"/>
    <s v="David Lee"/>
    <n v="35"/>
    <x v="1"/>
    <n v="90000"/>
    <n v="8"/>
    <s v=" "/>
    <x v="1"/>
    <d v="2019-12-06T00:00:00"/>
    <x v="2"/>
  </r>
  <r>
    <n v="1010"/>
    <s v="Maria Garcia"/>
    <n v="42"/>
    <x v="0"/>
    <n v="95000"/>
    <n v="12"/>
    <n v="5"/>
    <x v="2"/>
    <d v="2015-11-30T00:00:00"/>
    <x v="2"/>
  </r>
  <r>
    <n v="1011"/>
    <s v="James Wilson"/>
    <n v="25"/>
    <x v="1"/>
    <n v="60000"/>
    <s v=" "/>
    <n v="3"/>
    <x v="0"/>
    <d v="2021-01-15T00:00:00"/>
    <x v="2"/>
  </r>
  <r>
    <n v="1012"/>
    <s v="Patricia Martinez"/>
    <n v="38"/>
    <x v="0"/>
    <n v="88000"/>
    <n v="10"/>
    <n v="4"/>
    <x v="0"/>
    <d v="2017-08-22T00:00:00"/>
    <x v="2"/>
  </r>
  <r>
    <n v="1013"/>
    <s v="Robert Taylor"/>
    <n v="29"/>
    <x v="1"/>
    <n v="72000"/>
    <n v="5"/>
    <n v="4"/>
    <x v="0"/>
    <d v="2020-02-14T00:00:00"/>
    <x v="0"/>
  </r>
  <r>
    <n v="1014"/>
    <s v="Jennifer Brown"/>
    <n v="31"/>
    <x v="2"/>
    <n v="78000"/>
    <n v="6"/>
    <n v="5"/>
    <x v="1"/>
    <d v="2020-03-15T00:00:00"/>
    <x v="0"/>
  </r>
  <r>
    <n v="1015"/>
    <s v="Michael Johnson"/>
    <n v="44"/>
    <x v="0"/>
    <n v="110000"/>
    <s v=" "/>
    <n v="3"/>
    <x v="2"/>
    <d v="2016-05-04T00:00:00"/>
    <x v="0"/>
  </r>
  <r>
    <n v="1016"/>
    <s v="Linda Davis"/>
    <n v="27"/>
    <x v="1"/>
    <n v="67000"/>
    <n v="4"/>
    <s v=" "/>
    <x v="0"/>
    <d v="2021-07-18T00:00:00"/>
    <x v="0"/>
  </r>
  <r>
    <n v="1017"/>
    <s v="William Anderson"/>
    <n v="36"/>
    <x v="0"/>
    <s v=" "/>
    <n v="9"/>
    <n v="4"/>
    <x v="0"/>
    <d v="2018-09-25T00:00:00"/>
    <x v="2"/>
  </r>
  <r>
    <n v="1018"/>
    <s v="Barbara Thomas"/>
    <n v="33"/>
    <x v="1"/>
    <n v="82000"/>
    <n v="7"/>
    <n v="4"/>
    <x v="0"/>
    <d v="2019-11-25T00:00:00"/>
    <x v="0"/>
  </r>
  <r>
    <n v="1019"/>
    <s v="Richard Jackson"/>
    <n v="29"/>
    <x v="0"/>
    <n v="76000"/>
    <n v="5"/>
    <s v=" "/>
    <x v="1"/>
    <d v="2020-05-30T00:00:00"/>
    <x v="0"/>
  </r>
  <r>
    <n v="1020"/>
    <s v="Susan White"/>
    <n v="40"/>
    <x v="1"/>
    <n v="92000"/>
    <n v="11"/>
    <n v="5"/>
    <x v="2"/>
    <d v="2016-10-12T00:00:00"/>
    <x v="0"/>
  </r>
  <r>
    <n v="1021"/>
    <s v="Joseph Harris"/>
    <n v="28"/>
    <x v="0"/>
    <n v="74000"/>
    <n v="4"/>
    <n v="3"/>
    <x v="0"/>
    <d v="2021-01-20T00:00:00"/>
    <x v="2"/>
  </r>
  <r>
    <n v="1022"/>
    <s v="Jessica Martin"/>
    <n v="35"/>
    <x v="1"/>
    <n v="86000"/>
    <n v="8"/>
    <n v="4"/>
    <x v="0"/>
    <d v="2019-08-15T00:00:00"/>
    <x v="0"/>
  </r>
  <r>
    <n v="1025"/>
    <s v="Thomas Rodriguez"/>
    <n v="37"/>
    <x v="0"/>
    <n v="50000"/>
    <n v="10"/>
    <n v="4"/>
    <x v="2"/>
    <d v="2018-12-03T00:00:00"/>
    <x v="0"/>
  </r>
  <r>
    <n v="1026"/>
    <s v="Nancy Martinez"/>
    <n v="29"/>
    <x v="1"/>
    <n v="73000"/>
    <n v="5"/>
    <n v="5"/>
    <x v="0"/>
    <d v="2021-04-22T00:00:00"/>
    <x v="2"/>
  </r>
  <r>
    <n v="1027"/>
    <s v="Christopher Lee"/>
    <n v="33"/>
    <x v="0"/>
    <n v="84000"/>
    <n v="7"/>
    <s v=" "/>
    <x v="0"/>
    <d v="2019-08-07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0BDDA-7F89-4B47-89C3-335567EC820D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mote Work">
  <location ref="A14:B17" firstHeaderRow="1" firstDataRow="1" firstDataCol="1"/>
  <pivotFields count="10">
    <pivotField dataField="1" numFmtId="49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h="1"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Number of Employees" fld="0" subtotal="count" baseField="9" baseItem="0"/>
  </dataFields>
  <formats count="1">
    <format dxfId="22">
      <pivotArea outline="0" collapsedLevelsAreSubtotals="1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BAB96-9CD1-4BFF-B152-822D84770B56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ity">
  <location ref="A23:B27" firstHeaderRow="1" firstDataRow="1" firstDataCol="1"/>
  <pivotFields count="10">
    <pivotField dataField="1" numFmtId="49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Employees" fld="0" subtotal="count" baseField="7" baseItem="0" numFmtId="1"/>
  </dataFields>
  <formats count="1">
    <format dxfId="23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9B4EC-AE72-4272-AC86-4CF27956C70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">
  <location ref="A6:B9" firstHeaderRow="1" firstDataRow="1" firstDataCol="1"/>
  <pivotFields count="10">
    <pivotField numFmtId="49"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Salary" fld="4" subtotal="average" baseField="3" baseItem="0" numFmtId="44"/>
  </dataFields>
  <formats count="2">
    <format dxfId="25">
      <pivotArea outline="0" collapsedLevelsAreSubtotals="1" fieldPosition="0"/>
    </format>
    <format dxfId="24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D59F20-4282-45EA-AB09-EBE730CAE810}" name="Table3" displayName="Table3" ref="K3:L6" totalsRowShown="0">
  <autoFilter ref="K3:L6" xr:uid="{9BD59F20-4282-45EA-AB09-EBE730CAE810}"/>
  <tableColumns count="2">
    <tableColumn id="1" xr3:uid="{DE01E6C4-43F3-4B9A-92AA-6D293F1ECA62}" name="Issue Type"/>
    <tableColumn id="2" xr3:uid="{604F331C-F7B0-42F3-8B03-3E547CDB9108}" name="Count" dataDxfId="21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7F35F-4CAD-4CAE-92E9-E12590D6EBEE}" name="Table2" displayName="Table2" ref="A1:J26" totalsRowShown="0">
  <autoFilter ref="A1:J26" xr:uid="{1767F35F-4CAD-4CAE-92E9-E12590D6EBEE}"/>
  <tableColumns count="10">
    <tableColumn id="1" xr3:uid="{464258A0-0FB5-49A6-A71B-264D1BF6D2EA}" name="Employee_ID" dataDxfId="20"/>
    <tableColumn id="2" xr3:uid="{9C8FDEC3-FFA4-4C69-A500-BE89313F3EE9}" name="Name" dataDxfId="19"/>
    <tableColumn id="3" xr3:uid="{7C34F3A8-CDAC-4821-B5A3-FA9672D76207}" name="Age" dataDxfId="18"/>
    <tableColumn id="4" xr3:uid="{5070D5F5-755B-47AF-8A86-02482B06E526}" name="Department" dataDxfId="17"/>
    <tableColumn id="11" xr3:uid="{BE3C2833-8CF4-4DE2-B7DC-B4B08CD33A4D}" name="Salary" dataDxfId="16"/>
    <tableColumn id="6" xr3:uid="{848FC246-860A-4ED8-9AA5-E964A69BA4C0}" name="Years_of_Experience" dataDxfId="15"/>
    <tableColumn id="12" xr3:uid="{742AFFF6-2C86-458C-9189-91AEB4552A1B}" name="Performance_Score" dataDxfId="14"/>
    <tableColumn id="8" xr3:uid="{705AF4CB-BB8D-43F7-B3F3-7BA7B4F7EB67}" name="City" dataDxfId="13"/>
    <tableColumn id="9" xr3:uid="{CF800047-1D59-4B7C-AA9A-70A63A002393}" name="Join_Date" dataDxfId="12"/>
    <tableColumn id="10" xr3:uid="{619431D8-90FE-46A9-96F2-64867F23A8A7}" name="Remote_Wor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62E1C-9E4E-47D3-97D7-BC2B3890B645}" name="Table1" displayName="Table1" ref="A1:S26" totalsRowShown="0">
  <autoFilter ref="A1:S26" xr:uid="{74362E1C-9E4E-47D3-97D7-BC2B3890B645}"/>
  <tableColumns count="19">
    <tableColumn id="1" xr3:uid="{68848F76-E287-4DBE-9489-FA2B3B01CF8D}" name="Employee_ID" dataDxfId="11"/>
    <tableColumn id="2" xr3:uid="{C74065FE-B949-4619-B0FF-FF12266FACF9}" name="Name"/>
    <tableColumn id="11" xr3:uid="{634010A9-031D-4A12-A862-AA30332C10A2}" name="Name2" dataDxfId="10">
      <calculatedColumnFormula>PROPER(TRIM(Table1[[#This Row],[Name]]))</calculatedColumnFormula>
    </tableColumn>
    <tableColumn id="3" xr3:uid="{4D39AC57-85AC-496B-8522-B87DE7A5AEA7}" name="Age"/>
    <tableColumn id="12" xr3:uid="{233C0FA9-30A7-4471-8EAF-A8B3F71A892E}" name="Age2" dataDxfId="9">
      <calculatedColumnFormula>IF(OR(Table1[[#This Row],[Age]]&lt; 0, Table1[[#This Row],[Age]]&gt;100), " ", Table1[[#This Row],[Age]])</calculatedColumnFormula>
    </tableColumn>
    <tableColumn id="4" xr3:uid="{D2A5BD54-CEC8-40BF-8404-A089E64B57BE}" name="Department"/>
    <tableColumn id="5" xr3:uid="{F636A4E4-315E-4CF7-9C98-D74DCB405074}" name="Salary"/>
    <tableColumn id="16" xr3:uid="{70AF3EED-3FC5-4C6A-BEAB-A686444F1668}" name="Salary2" dataDxfId="8">
      <calculatedColumnFormula>IF(OR(Table1[[#This Row],[Salary]]&lt;10000, Table1[[#This Row],[Salary]]&gt;200000), " ", Table1[[#This Row],[Salary]])</calculatedColumnFormula>
    </tableColumn>
    <tableColumn id="6" xr3:uid="{CD7AC7CE-9F29-4319-AE97-7DD6ED913689}" name="Years_of_Experience"/>
    <tableColumn id="13" xr3:uid="{978AC533-1CE8-4DBE-AF18-EDB1880FFA69}" name="Years_of_Experience2" dataDxfId="7">
      <calculatedColumnFormula>IF(OR(Table1[[#This Row],[Years_of_Experience]]&lt;0, Table1[[#This Row],[Years_of_Experience]]&gt;40), " ",IF(Table1[[#This Row],[Years_of_Experience]]="N/A", " ", Table1[[#This Row],[Years_of_Experience]]))</calculatedColumnFormula>
    </tableColumn>
    <tableColumn id="7" xr3:uid="{D1E6E251-F70B-4A0C-B9FF-B67F30F5983C}" name="Performance_Score"/>
    <tableColumn id="19" xr3:uid="{EDB4BC58-DB85-4743-B951-E0845A380466}" name="Performance_Score2" dataDxfId="6">
      <calculatedColumnFormula>IF(OR(Table1[[#This Row],[Performance_Score]]&lt;1, Table1[[#This Row],[Performance_Score]]&gt;5), " ", IF(Table1[[#This Row],[Performance_Score]]="N/A", " ", Table1[[#This Row],[Performance_Score]]))</calculatedColumnFormula>
    </tableColumn>
    <tableColumn id="8" xr3:uid="{05A87A99-24DF-4E49-BF9E-CDD3255BF981}" name="City"/>
    <tableColumn id="14" xr3:uid="{C3C8A414-BF21-4B8D-87E5-CB631FBCFF79}" name="City2" dataDxfId="5">
      <calculatedColumnFormula>PROPER(TRIM(Table1[[#This Row],[City]]))</calculatedColumnFormula>
    </tableColumn>
    <tableColumn id="9" xr3:uid="{12C9B06E-6C34-476B-9885-39801C59F2FD}" name="Join_Date" dataDxfId="4"/>
    <tableColumn id="15" xr3:uid="{DED986A4-ED23-49AC-8349-8B6B67044343}" name="Join_Date2" dataDxfId="3">
      <calculatedColumnFormula>IF(Table1[[#This Row],[Join_Date]]&gt;TODAY(), " ",Table1[[#This Row],[Join_Date]])</calculatedColumnFormula>
    </tableColumn>
    <tableColumn id="10" xr3:uid="{BE65EA07-35F4-4B1E-8A08-D68477BC3736}" name="Remote_Work" dataDxfId="2"/>
    <tableColumn id="17" xr3:uid="{B1E63990-61BD-4D76-BFBE-EF524CCE00A1}" name="Remote_Work2" dataDxfId="1">
      <calculatedColumnFormula>PROPER(TRIM(Table1[[#This Row],[Remote_Work]]))</calculatedColumnFormula>
    </tableColumn>
    <tableColumn id="18" xr3:uid="{7E12EE07-414B-4997-B9E3-F0D4D51E4A7A}" name="Remote_Work3" dataDxfId="0">
      <calculatedColumnFormula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B612-3ECF-4A6E-BBD7-4CB8810BE9E8}">
  <sheetPr>
    <tabColor theme="8"/>
  </sheetPr>
  <dimension ref="A1:A62"/>
  <sheetViews>
    <sheetView showGridLines="0" workbookViewId="0">
      <selection activeCell="A22" sqref="A22"/>
    </sheetView>
  </sheetViews>
  <sheetFormatPr defaultRowHeight="15" x14ac:dyDescent="0.25"/>
  <cols>
    <col min="1" max="1" width="147.7109375" bestFit="1" customWidth="1"/>
  </cols>
  <sheetData>
    <row r="1" spans="1:1" ht="18.75" x14ac:dyDescent="0.3">
      <c r="A1" s="12" t="s">
        <v>103</v>
      </c>
    </row>
    <row r="2" spans="1:1" ht="18.75" x14ac:dyDescent="0.3">
      <c r="A2" s="12"/>
    </row>
    <row r="3" spans="1:1" x14ac:dyDescent="0.25">
      <c r="A3" t="s">
        <v>104</v>
      </c>
    </row>
    <row r="4" spans="1:1" x14ac:dyDescent="0.25">
      <c r="A4" t="s">
        <v>105</v>
      </c>
    </row>
    <row r="5" spans="1:1" x14ac:dyDescent="0.25">
      <c r="A5" t="s">
        <v>106</v>
      </c>
    </row>
    <row r="7" spans="1:1" x14ac:dyDescent="0.25">
      <c r="A7" s="8" t="s">
        <v>107</v>
      </c>
    </row>
    <row r="8" spans="1:1" x14ac:dyDescent="0.25">
      <c r="A8" t="s">
        <v>150</v>
      </c>
    </row>
    <row r="10" spans="1:1" x14ac:dyDescent="0.25">
      <c r="A10" s="8" t="s">
        <v>108</v>
      </c>
    </row>
    <row r="11" spans="1:1" x14ac:dyDescent="0.25">
      <c r="A11" t="s">
        <v>99</v>
      </c>
    </row>
    <row r="13" spans="1:1" x14ac:dyDescent="0.25">
      <c r="A13" s="8" t="s">
        <v>144</v>
      </c>
    </row>
    <row r="14" spans="1:1" x14ac:dyDescent="0.25">
      <c r="A14" s="15" t="s">
        <v>145</v>
      </c>
    </row>
    <row r="15" spans="1:1" x14ac:dyDescent="0.25">
      <c r="A15" s="8" t="s">
        <v>146</v>
      </c>
    </row>
    <row r="16" spans="1:1" x14ac:dyDescent="0.25">
      <c r="A16" s="15" t="s">
        <v>147</v>
      </c>
    </row>
    <row r="17" spans="1:1" x14ac:dyDescent="0.25">
      <c r="A17" s="15" t="s">
        <v>148</v>
      </c>
    </row>
    <row r="18" spans="1:1" x14ac:dyDescent="0.25">
      <c r="A18" s="15" t="s">
        <v>149</v>
      </c>
    </row>
    <row r="19" spans="1:1" x14ac:dyDescent="0.25">
      <c r="A19" t="s">
        <v>151</v>
      </c>
    </row>
    <row r="21" spans="1:1" x14ac:dyDescent="0.25">
      <c r="A21" s="8" t="s">
        <v>109</v>
      </c>
    </row>
    <row r="22" spans="1:1" x14ac:dyDescent="0.25">
      <c r="A22" t="s">
        <v>100</v>
      </c>
    </row>
    <row r="23" spans="1:1" x14ac:dyDescent="0.25">
      <c r="A23" t="s">
        <v>116</v>
      </c>
    </row>
    <row r="24" spans="1:1" x14ac:dyDescent="0.25">
      <c r="A24" t="s">
        <v>117</v>
      </c>
    </row>
    <row r="25" spans="1:1" x14ac:dyDescent="0.25">
      <c r="A25" t="s">
        <v>143</v>
      </c>
    </row>
    <row r="26" spans="1:1" x14ac:dyDescent="0.25">
      <c r="A26" t="s">
        <v>118</v>
      </c>
    </row>
    <row r="27" spans="1:1" x14ac:dyDescent="0.25">
      <c r="A27" t="s">
        <v>119</v>
      </c>
    </row>
    <row r="28" spans="1:1" ht="45" x14ac:dyDescent="0.25">
      <c r="A28" s="13" t="s">
        <v>115</v>
      </c>
    </row>
    <row r="29" spans="1:1" x14ac:dyDescent="0.25">
      <c r="A29" t="s">
        <v>120</v>
      </c>
    </row>
    <row r="30" spans="1:1" x14ac:dyDescent="0.25">
      <c r="A30" t="s">
        <v>121</v>
      </c>
    </row>
    <row r="31" spans="1:1" x14ac:dyDescent="0.25">
      <c r="A31" t="s">
        <v>122</v>
      </c>
    </row>
    <row r="32" spans="1:1" x14ac:dyDescent="0.25">
      <c r="A32" t="s">
        <v>123</v>
      </c>
    </row>
    <row r="34" spans="1:1" x14ac:dyDescent="0.25">
      <c r="A34" s="8" t="s">
        <v>110</v>
      </c>
    </row>
    <row r="35" spans="1:1" x14ac:dyDescent="0.25">
      <c r="A35" t="s">
        <v>152</v>
      </c>
    </row>
    <row r="36" spans="1:1" x14ac:dyDescent="0.25">
      <c r="A36" t="s">
        <v>153</v>
      </c>
    </row>
    <row r="37" spans="1:1" x14ac:dyDescent="0.25">
      <c r="A37" t="s">
        <v>154</v>
      </c>
    </row>
    <row r="38" spans="1:1" x14ac:dyDescent="0.25">
      <c r="A38" t="s">
        <v>124</v>
      </c>
    </row>
    <row r="39" spans="1:1" ht="45" x14ac:dyDescent="0.25">
      <c r="A39" s="13" t="s">
        <v>125</v>
      </c>
    </row>
    <row r="41" spans="1:1" x14ac:dyDescent="0.25">
      <c r="A41" s="8" t="s">
        <v>111</v>
      </c>
    </row>
    <row r="42" spans="1:1" x14ac:dyDescent="0.25">
      <c r="A42" t="s">
        <v>126</v>
      </c>
    </row>
    <row r="43" spans="1:1" x14ac:dyDescent="0.25">
      <c r="A43" t="s">
        <v>127</v>
      </c>
    </row>
    <row r="44" spans="1:1" x14ac:dyDescent="0.25">
      <c r="A44" t="s">
        <v>128</v>
      </c>
    </row>
    <row r="46" spans="1:1" x14ac:dyDescent="0.25">
      <c r="A46" s="8" t="s">
        <v>112</v>
      </c>
    </row>
    <row r="47" spans="1:1" x14ac:dyDescent="0.25">
      <c r="A47" t="s">
        <v>101</v>
      </c>
    </row>
    <row r="48" spans="1:1" x14ac:dyDescent="0.25">
      <c r="A48" t="s">
        <v>129</v>
      </c>
    </row>
    <row r="49" spans="1:1" x14ac:dyDescent="0.25">
      <c r="A49" t="s">
        <v>130</v>
      </c>
    </row>
    <row r="50" spans="1:1" x14ac:dyDescent="0.25">
      <c r="A50" t="s">
        <v>131</v>
      </c>
    </row>
    <row r="51" spans="1:1" x14ac:dyDescent="0.25">
      <c r="A51" t="s">
        <v>132</v>
      </c>
    </row>
    <row r="52" spans="1:1" x14ac:dyDescent="0.25">
      <c r="A52" t="s">
        <v>133</v>
      </c>
    </row>
    <row r="54" spans="1:1" x14ac:dyDescent="0.25">
      <c r="A54" s="8" t="s">
        <v>113</v>
      </c>
    </row>
    <row r="55" spans="1:1" x14ac:dyDescent="0.25">
      <c r="A55" t="s">
        <v>134</v>
      </c>
    </row>
    <row r="56" spans="1:1" x14ac:dyDescent="0.25">
      <c r="A56" t="s">
        <v>135</v>
      </c>
    </row>
    <row r="57" spans="1:1" x14ac:dyDescent="0.25">
      <c r="A57" t="s">
        <v>136</v>
      </c>
    </row>
    <row r="58" spans="1:1" x14ac:dyDescent="0.25">
      <c r="A58" t="s">
        <v>137</v>
      </c>
    </row>
    <row r="59" spans="1:1" x14ac:dyDescent="0.25">
      <c r="A59" t="s">
        <v>138</v>
      </c>
    </row>
    <row r="61" spans="1:1" x14ac:dyDescent="0.25">
      <c r="A61" s="8" t="s">
        <v>114</v>
      </c>
    </row>
    <row r="62" spans="1:1" x14ac:dyDescent="0.25">
      <c r="A62" t="s">
        <v>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3435-C850-4711-B47C-55E03FE85E6B}">
  <sheetPr>
    <tabColor theme="9"/>
  </sheetPr>
  <dimension ref="A1:L27"/>
  <sheetViews>
    <sheetView tabSelected="1" zoomScaleNormal="100" workbookViewId="0">
      <selection activeCell="F23" sqref="F23"/>
    </sheetView>
  </sheetViews>
  <sheetFormatPr defaultColWidth="20.85546875" defaultRowHeight="15" x14ac:dyDescent="0.25"/>
  <cols>
    <col min="1" max="1" width="38.140625" bestFit="1" customWidth="1"/>
    <col min="2" max="2" width="21" bestFit="1" customWidth="1"/>
    <col min="3" max="3" width="14.28515625" bestFit="1" customWidth="1"/>
    <col min="4" max="5" width="5.28515625" customWidth="1"/>
    <col min="6" max="6" width="129.28515625" customWidth="1"/>
    <col min="8" max="8" width="70.85546875" bestFit="1" customWidth="1"/>
    <col min="9" max="9" width="7.7109375" customWidth="1"/>
    <col min="10" max="10" width="8.42578125" customWidth="1"/>
    <col min="11" max="11" width="21" customWidth="1"/>
    <col min="12" max="12" width="17.7109375" customWidth="1"/>
  </cols>
  <sheetData>
    <row r="1" spans="1:12" ht="21" x14ac:dyDescent="0.25">
      <c r="A1" s="19" t="s">
        <v>81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ht="15.75" x14ac:dyDescent="0.25">
      <c r="A2" s="21" t="s">
        <v>139</v>
      </c>
      <c r="B2" s="21"/>
      <c r="C2" s="21"/>
      <c r="F2" s="14" t="s">
        <v>140</v>
      </c>
      <c r="G2" s="14"/>
      <c r="H2" s="14" t="s">
        <v>141</v>
      </c>
      <c r="K2" s="22" t="s">
        <v>142</v>
      </c>
      <c r="L2" s="22"/>
    </row>
    <row r="3" spans="1:12" x14ac:dyDescent="0.25">
      <c r="A3" t="s">
        <v>89</v>
      </c>
      <c r="B3" s="10">
        <f>COUNTA(Table2[Employee_ID])</f>
        <v>25</v>
      </c>
      <c r="C3" s="10"/>
      <c r="H3" t="s">
        <v>86</v>
      </c>
      <c r="K3" t="s">
        <v>94</v>
      </c>
      <c r="L3" t="s">
        <v>95</v>
      </c>
    </row>
    <row r="4" spans="1:12" x14ac:dyDescent="0.25">
      <c r="H4" t="s">
        <v>87</v>
      </c>
      <c r="K4" t="s">
        <v>96</v>
      </c>
      <c r="L4" s="4">
        <v>5</v>
      </c>
    </row>
    <row r="5" spans="1:12" x14ac:dyDescent="0.25">
      <c r="A5" s="8" t="s">
        <v>90</v>
      </c>
      <c r="B5" s="17">
        <f>AVERAGE('03_CLEANED_DATA'!E:E)</f>
        <v>79181.818181818177</v>
      </c>
      <c r="C5" s="9"/>
      <c r="H5" t="s">
        <v>88</v>
      </c>
      <c r="K5" t="s">
        <v>97</v>
      </c>
      <c r="L5" s="4">
        <v>3</v>
      </c>
    </row>
    <row r="6" spans="1:12" x14ac:dyDescent="0.25">
      <c r="A6" s="6" t="s">
        <v>3</v>
      </c>
      <c r="B6" t="s">
        <v>83</v>
      </c>
      <c r="K6" t="s">
        <v>98</v>
      </c>
      <c r="L6" s="4">
        <v>1</v>
      </c>
    </row>
    <row r="7" spans="1:12" x14ac:dyDescent="0.25">
      <c r="A7" s="7" t="s">
        <v>11</v>
      </c>
      <c r="B7" s="16">
        <v>77200</v>
      </c>
    </row>
    <row r="8" spans="1:12" x14ac:dyDescent="0.25">
      <c r="A8" s="7" t="s">
        <v>37</v>
      </c>
      <c r="B8" s="16">
        <v>82700</v>
      </c>
    </row>
    <row r="9" spans="1:12" x14ac:dyDescent="0.25">
      <c r="A9" s="7" t="s">
        <v>80</v>
      </c>
      <c r="B9" s="16">
        <v>79950</v>
      </c>
      <c r="C9" s="10"/>
    </row>
    <row r="11" spans="1:12" x14ac:dyDescent="0.25">
      <c r="A11" s="8" t="s">
        <v>155</v>
      </c>
      <c r="B11" s="10">
        <f>AVERAGE('03_CLEANED_DATA'!F:F)</f>
        <v>7.8181818181818183</v>
      </c>
    </row>
    <row r="12" spans="1:12" x14ac:dyDescent="0.25">
      <c r="A12" s="7"/>
      <c r="B12" s="5"/>
    </row>
    <row r="13" spans="1:12" x14ac:dyDescent="0.25">
      <c r="A13" s="8" t="s">
        <v>91</v>
      </c>
      <c r="B13" s="10">
        <f>COUNTIF('03_CLEANED_DATA'!J:J, "*True*")</f>
        <v>16</v>
      </c>
      <c r="C13" s="10"/>
    </row>
    <row r="14" spans="1:12" x14ac:dyDescent="0.25">
      <c r="A14" s="6" t="s">
        <v>85</v>
      </c>
      <c r="B14" t="s">
        <v>84</v>
      </c>
    </row>
    <row r="15" spans="1:12" x14ac:dyDescent="0.25">
      <c r="A15" s="7" t="s">
        <v>77</v>
      </c>
      <c r="B15" s="4">
        <v>8</v>
      </c>
    </row>
    <row r="16" spans="1:12" x14ac:dyDescent="0.25">
      <c r="A16" s="7" t="s">
        <v>75</v>
      </c>
      <c r="B16" s="4">
        <v>16</v>
      </c>
    </row>
    <row r="17" spans="1:6" x14ac:dyDescent="0.25">
      <c r="A17" s="7" t="s">
        <v>80</v>
      </c>
      <c r="B17" s="4">
        <v>24</v>
      </c>
    </row>
    <row r="20" spans="1:6" x14ac:dyDescent="0.25">
      <c r="A20" s="8" t="s">
        <v>92</v>
      </c>
      <c r="B20" s="11">
        <f>COUNTIF('03_CLEANED_DATA'!J:J, "*TRUE*") / COUNTA(Table2[Employee_ID])</f>
        <v>0.64</v>
      </c>
      <c r="C20" s="11"/>
    </row>
    <row r="22" spans="1:6" x14ac:dyDescent="0.25">
      <c r="A22" s="8" t="s">
        <v>93</v>
      </c>
    </row>
    <row r="23" spans="1:6" x14ac:dyDescent="0.25">
      <c r="A23" s="6" t="s">
        <v>7</v>
      </c>
      <c r="B23" t="s">
        <v>84</v>
      </c>
    </row>
    <row r="24" spans="1:6" x14ac:dyDescent="0.25">
      <c r="A24" s="7" t="s">
        <v>28</v>
      </c>
      <c r="B24" s="4">
        <v>4</v>
      </c>
    </row>
    <row r="25" spans="1:6" x14ac:dyDescent="0.25">
      <c r="A25" s="7" t="s">
        <v>12</v>
      </c>
      <c r="B25" s="4">
        <v>16</v>
      </c>
      <c r="F25" s="8" t="s">
        <v>158</v>
      </c>
    </row>
    <row r="26" spans="1:6" x14ac:dyDescent="0.25">
      <c r="A26" s="7" t="s">
        <v>30</v>
      </c>
      <c r="B26" s="4">
        <v>5</v>
      </c>
      <c r="F26" s="18" t="s">
        <v>156</v>
      </c>
    </row>
    <row r="27" spans="1:6" x14ac:dyDescent="0.25">
      <c r="A27" s="7" t="s">
        <v>80</v>
      </c>
      <c r="B27" s="4">
        <v>25</v>
      </c>
      <c r="F27" t="s">
        <v>157</v>
      </c>
    </row>
  </sheetData>
  <mergeCells count="3">
    <mergeCell ref="A1:K1"/>
    <mergeCell ref="A2:C2"/>
    <mergeCell ref="K2:L2"/>
  </mergeCells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BB41-DCB0-4664-AB61-4DFB005A48D3}">
  <sheetPr>
    <tabColor theme="7"/>
  </sheetPr>
  <dimension ref="A1:J26"/>
  <sheetViews>
    <sheetView workbookViewId="0">
      <selection activeCell="Y42" sqref="Y42"/>
    </sheetView>
  </sheetViews>
  <sheetFormatPr defaultColWidth="9" defaultRowHeight="15" x14ac:dyDescent="0.25"/>
  <cols>
    <col min="1" max="1" width="15" style="3" bestFit="1" customWidth="1"/>
    <col min="2" max="2" width="17.42578125" style="3" bestFit="1" customWidth="1"/>
    <col min="3" max="3" width="6.7109375" style="4" bestFit="1" customWidth="1"/>
    <col min="4" max="4" width="14" style="3" bestFit="1" customWidth="1"/>
    <col min="5" max="5" width="12.5703125" style="16" bestFit="1" customWidth="1"/>
    <col min="6" max="6" width="22.140625" style="4" bestFit="1" customWidth="1"/>
    <col min="7" max="7" width="20.85546875" style="4" bestFit="1" customWidth="1"/>
    <col min="8" max="8" width="10.5703125" style="3" bestFit="1" customWidth="1"/>
    <col min="9" max="9" width="12" style="1" bestFit="1" customWidth="1"/>
    <col min="10" max="10" width="16.28515625" bestFit="1" customWidth="1"/>
  </cols>
  <sheetData>
    <row r="1" spans="1:10" x14ac:dyDescent="0.25">
      <c r="A1" s="3" t="s">
        <v>0</v>
      </c>
      <c r="B1" s="3" t="s">
        <v>1</v>
      </c>
      <c r="C1" s="4" t="s">
        <v>2</v>
      </c>
      <c r="D1" s="3" t="s">
        <v>3</v>
      </c>
      <c r="E1" s="16" t="s">
        <v>4</v>
      </c>
      <c r="F1" s="4" t="s">
        <v>64</v>
      </c>
      <c r="G1" s="4" t="s">
        <v>6</v>
      </c>
      <c r="H1" s="3" t="s">
        <v>7</v>
      </c>
      <c r="I1" s="1" t="s">
        <v>8</v>
      </c>
      <c r="J1" s="3" t="s">
        <v>9</v>
      </c>
    </row>
    <row r="2" spans="1:10" x14ac:dyDescent="0.25">
      <c r="A2" s="3">
        <v>1001</v>
      </c>
      <c r="B2" s="3" t="s">
        <v>71</v>
      </c>
      <c r="C2" s="4">
        <v>28</v>
      </c>
      <c r="D2" s="3" t="s">
        <v>11</v>
      </c>
      <c r="E2" s="16">
        <v>75000</v>
      </c>
      <c r="F2" s="4">
        <v>3</v>
      </c>
      <c r="G2" s="4">
        <v>4</v>
      </c>
      <c r="H2" s="3" t="s">
        <v>12</v>
      </c>
      <c r="I2" s="1">
        <v>43845</v>
      </c>
      <c r="J2" t="s">
        <v>75</v>
      </c>
    </row>
    <row r="3" spans="1:10" x14ac:dyDescent="0.25">
      <c r="A3" s="3">
        <v>1002</v>
      </c>
      <c r="B3" s="3" t="s">
        <v>72</v>
      </c>
      <c r="C3" s="4">
        <v>32</v>
      </c>
      <c r="D3" s="3" t="s">
        <v>37</v>
      </c>
      <c r="E3" s="16">
        <v>85000</v>
      </c>
      <c r="F3" s="4">
        <v>5</v>
      </c>
      <c r="G3" s="4">
        <v>5</v>
      </c>
      <c r="H3" s="3" t="s">
        <v>12</v>
      </c>
      <c r="I3" s="1">
        <v>43480</v>
      </c>
      <c r="J3" t="s">
        <v>75</v>
      </c>
    </row>
    <row r="4" spans="1:10" x14ac:dyDescent="0.25">
      <c r="A4" s="3">
        <v>1003</v>
      </c>
      <c r="B4" s="3" t="s">
        <v>19</v>
      </c>
      <c r="D4" s="3" t="s">
        <v>11</v>
      </c>
      <c r="E4" s="16">
        <v>50000</v>
      </c>
      <c r="F4" s="4">
        <v>2</v>
      </c>
      <c r="H4" s="3" t="s">
        <v>12</v>
      </c>
      <c r="I4" s="1">
        <v>44211</v>
      </c>
      <c r="J4" t="s">
        <v>75</v>
      </c>
    </row>
    <row r="5" spans="1:10" x14ac:dyDescent="0.25">
      <c r="A5" s="3">
        <v>1004</v>
      </c>
      <c r="B5" s="3" t="s">
        <v>23</v>
      </c>
      <c r="C5" s="4">
        <v>30</v>
      </c>
      <c r="D5" s="3" t="s">
        <v>37</v>
      </c>
      <c r="E5" s="16">
        <v>120000</v>
      </c>
      <c r="F5" s="4">
        <v>7</v>
      </c>
      <c r="G5" s="4">
        <v>4</v>
      </c>
      <c r="H5" s="3" t="s">
        <v>12</v>
      </c>
      <c r="I5" s="1">
        <v>44472</v>
      </c>
      <c r="J5" t="s">
        <v>75</v>
      </c>
    </row>
    <row r="6" spans="1:10" x14ac:dyDescent="0.25">
      <c r="A6" s="3">
        <v>1005</v>
      </c>
      <c r="B6" s="3" t="s">
        <v>27</v>
      </c>
      <c r="C6" s="4">
        <v>45</v>
      </c>
      <c r="D6" s="3" t="s">
        <v>11</v>
      </c>
      <c r="F6" s="4">
        <v>25</v>
      </c>
      <c r="G6" s="4">
        <v>3</v>
      </c>
      <c r="H6" s="3" t="s">
        <v>28</v>
      </c>
      <c r="I6" s="1">
        <v>43301</v>
      </c>
      <c r="J6" s="5" t="s">
        <v>75</v>
      </c>
    </row>
    <row r="7" spans="1:10" x14ac:dyDescent="0.25">
      <c r="A7" s="3">
        <v>1006</v>
      </c>
      <c r="B7" s="3" t="s">
        <v>29</v>
      </c>
      <c r="C7" s="4" t="s">
        <v>82</v>
      </c>
      <c r="D7" s="3" t="s">
        <v>37</v>
      </c>
      <c r="E7" s="16" t="s">
        <v>82</v>
      </c>
      <c r="F7" s="4">
        <v>15</v>
      </c>
      <c r="G7" s="4">
        <v>4</v>
      </c>
      <c r="H7" s="3" t="s">
        <v>30</v>
      </c>
      <c r="I7" s="1" t="s">
        <v>82</v>
      </c>
      <c r="J7" t="s">
        <v>75</v>
      </c>
    </row>
    <row r="8" spans="1:10" x14ac:dyDescent="0.25">
      <c r="A8" s="3">
        <v>1007</v>
      </c>
      <c r="B8" s="3" t="s">
        <v>73</v>
      </c>
      <c r="C8" s="4">
        <v>29</v>
      </c>
      <c r="D8" s="3" t="s">
        <v>32</v>
      </c>
      <c r="E8" s="16">
        <v>65000</v>
      </c>
      <c r="G8" s="4">
        <v>5</v>
      </c>
      <c r="H8" s="3" t="s">
        <v>12</v>
      </c>
      <c r="I8" s="1">
        <v>44562</v>
      </c>
      <c r="J8" t="s">
        <v>76</v>
      </c>
    </row>
    <row r="9" spans="1:10" x14ac:dyDescent="0.25">
      <c r="A9" s="3">
        <v>1008</v>
      </c>
      <c r="B9" s="3" t="s">
        <v>34</v>
      </c>
      <c r="C9" s="4">
        <v>26</v>
      </c>
      <c r="D9" s="3" t="s">
        <v>11</v>
      </c>
      <c r="E9" s="16">
        <v>70000</v>
      </c>
      <c r="F9" s="4">
        <v>4</v>
      </c>
      <c r="G9" s="4">
        <v>4</v>
      </c>
      <c r="H9" s="3" t="s">
        <v>12</v>
      </c>
      <c r="I9" s="1">
        <v>43961</v>
      </c>
      <c r="J9" t="s">
        <v>77</v>
      </c>
    </row>
    <row r="10" spans="1:10" x14ac:dyDescent="0.25">
      <c r="A10" s="3">
        <v>1009</v>
      </c>
      <c r="B10" s="3" t="s">
        <v>36</v>
      </c>
      <c r="C10" s="4">
        <v>35</v>
      </c>
      <c r="D10" s="3" t="s">
        <v>37</v>
      </c>
      <c r="E10" s="16">
        <v>90000</v>
      </c>
      <c r="F10" s="4">
        <v>8</v>
      </c>
      <c r="G10" s="4" t="s">
        <v>82</v>
      </c>
      <c r="H10" s="3" t="s">
        <v>28</v>
      </c>
      <c r="I10" s="1">
        <v>43805</v>
      </c>
      <c r="J10" t="s">
        <v>77</v>
      </c>
    </row>
    <row r="11" spans="1:10" x14ac:dyDescent="0.25">
      <c r="A11" s="3">
        <v>1010</v>
      </c>
      <c r="B11" s="3" t="s">
        <v>39</v>
      </c>
      <c r="C11" s="4">
        <v>42</v>
      </c>
      <c r="D11" s="3" t="s">
        <v>11</v>
      </c>
      <c r="E11" s="16">
        <v>95000</v>
      </c>
      <c r="F11" s="4">
        <v>12</v>
      </c>
      <c r="G11" s="4">
        <v>5</v>
      </c>
      <c r="H11" s="3" t="s">
        <v>30</v>
      </c>
      <c r="I11" s="1">
        <v>42338</v>
      </c>
      <c r="J11" t="s">
        <v>77</v>
      </c>
    </row>
    <row r="12" spans="1:10" x14ac:dyDescent="0.25">
      <c r="A12" s="3">
        <v>1011</v>
      </c>
      <c r="B12" s="3" t="s">
        <v>41</v>
      </c>
      <c r="C12" s="4">
        <v>25</v>
      </c>
      <c r="D12" s="3" t="s">
        <v>37</v>
      </c>
      <c r="E12" s="16">
        <v>60000</v>
      </c>
      <c r="F12" s="4" t="s">
        <v>82</v>
      </c>
      <c r="G12" s="4">
        <v>3</v>
      </c>
      <c r="H12" s="3" t="s">
        <v>12</v>
      </c>
      <c r="I12" s="1">
        <v>44211</v>
      </c>
      <c r="J12" t="s">
        <v>77</v>
      </c>
    </row>
    <row r="13" spans="1:10" x14ac:dyDescent="0.25">
      <c r="A13" s="3">
        <v>1012</v>
      </c>
      <c r="B13" s="3" t="s">
        <v>44</v>
      </c>
      <c r="C13" s="4">
        <v>38</v>
      </c>
      <c r="D13" s="3" t="s">
        <v>11</v>
      </c>
      <c r="E13" s="16">
        <v>88000</v>
      </c>
      <c r="F13" s="4">
        <v>10</v>
      </c>
      <c r="G13" s="4">
        <v>4</v>
      </c>
      <c r="H13" s="3" t="s">
        <v>12</v>
      </c>
      <c r="I13" s="1">
        <v>42969</v>
      </c>
      <c r="J13" t="s">
        <v>77</v>
      </c>
    </row>
    <row r="14" spans="1:10" x14ac:dyDescent="0.25">
      <c r="A14" s="3">
        <v>1013</v>
      </c>
      <c r="B14" s="3" t="s">
        <v>45</v>
      </c>
      <c r="C14" s="4">
        <v>29</v>
      </c>
      <c r="D14" s="3" t="s">
        <v>37</v>
      </c>
      <c r="E14" s="16">
        <v>72000</v>
      </c>
      <c r="F14" s="4">
        <v>5</v>
      </c>
      <c r="G14" s="4">
        <v>4</v>
      </c>
      <c r="H14" s="3" t="s">
        <v>12</v>
      </c>
      <c r="I14" s="1">
        <v>43875</v>
      </c>
      <c r="J14" t="s">
        <v>75</v>
      </c>
    </row>
    <row r="15" spans="1:10" x14ac:dyDescent="0.25">
      <c r="A15" s="3">
        <v>1014</v>
      </c>
      <c r="B15" s="3" t="s">
        <v>46</v>
      </c>
      <c r="C15" s="4">
        <v>31</v>
      </c>
      <c r="D15" s="3" t="s">
        <v>32</v>
      </c>
      <c r="E15" s="16">
        <v>78000</v>
      </c>
      <c r="F15" s="4">
        <v>6</v>
      </c>
      <c r="G15" s="4">
        <v>5</v>
      </c>
      <c r="H15" s="3" t="s">
        <v>28</v>
      </c>
      <c r="I15" s="1">
        <v>43905</v>
      </c>
      <c r="J15" t="s">
        <v>75</v>
      </c>
    </row>
    <row r="16" spans="1:10" x14ac:dyDescent="0.25">
      <c r="A16" s="3">
        <v>1015</v>
      </c>
      <c r="B16" s="3" t="s">
        <v>74</v>
      </c>
      <c r="C16" s="4">
        <v>44</v>
      </c>
      <c r="D16" s="3" t="s">
        <v>11</v>
      </c>
      <c r="E16" s="16">
        <v>110000</v>
      </c>
      <c r="F16" s="4" t="s">
        <v>82</v>
      </c>
      <c r="G16" s="4">
        <v>3</v>
      </c>
      <c r="H16" s="3" t="s">
        <v>30</v>
      </c>
      <c r="I16" s="1">
        <v>42494</v>
      </c>
      <c r="J16" t="s">
        <v>75</v>
      </c>
    </row>
    <row r="17" spans="1:10" x14ac:dyDescent="0.25">
      <c r="A17" s="3">
        <v>1016</v>
      </c>
      <c r="B17" s="3" t="s">
        <v>49</v>
      </c>
      <c r="C17" s="4">
        <v>27</v>
      </c>
      <c r="D17" s="3" t="s">
        <v>37</v>
      </c>
      <c r="E17" s="16">
        <v>67000</v>
      </c>
      <c r="F17" s="4">
        <v>4</v>
      </c>
      <c r="G17" s="4" t="s">
        <v>82</v>
      </c>
      <c r="H17" s="3" t="s">
        <v>12</v>
      </c>
      <c r="I17" s="1">
        <v>44395</v>
      </c>
      <c r="J17" t="s">
        <v>75</v>
      </c>
    </row>
    <row r="18" spans="1:10" x14ac:dyDescent="0.25">
      <c r="A18" s="3">
        <v>1017</v>
      </c>
      <c r="B18" s="3" t="s">
        <v>51</v>
      </c>
      <c r="C18" s="4">
        <v>36</v>
      </c>
      <c r="D18" s="3" t="s">
        <v>11</v>
      </c>
      <c r="E18" s="16" t="s">
        <v>82</v>
      </c>
      <c r="F18" s="4">
        <v>9</v>
      </c>
      <c r="G18" s="4">
        <v>4</v>
      </c>
      <c r="H18" s="3" t="s">
        <v>12</v>
      </c>
      <c r="I18" s="1">
        <v>43368</v>
      </c>
      <c r="J18" t="s">
        <v>77</v>
      </c>
    </row>
    <row r="19" spans="1:10" x14ac:dyDescent="0.25">
      <c r="A19" s="3">
        <v>1018</v>
      </c>
      <c r="B19" s="3" t="s">
        <v>52</v>
      </c>
      <c r="C19" s="4">
        <v>33</v>
      </c>
      <c r="D19" s="3" t="s">
        <v>37</v>
      </c>
      <c r="E19" s="16">
        <v>82000</v>
      </c>
      <c r="F19" s="4">
        <v>7</v>
      </c>
      <c r="G19" s="4">
        <v>4</v>
      </c>
      <c r="H19" s="3" t="s">
        <v>12</v>
      </c>
      <c r="I19" s="1">
        <v>43794</v>
      </c>
      <c r="J19" t="s">
        <v>75</v>
      </c>
    </row>
    <row r="20" spans="1:10" x14ac:dyDescent="0.25">
      <c r="A20" s="3">
        <v>1019</v>
      </c>
      <c r="B20" s="3" t="s">
        <v>54</v>
      </c>
      <c r="C20" s="4">
        <v>29</v>
      </c>
      <c r="D20" s="3" t="s">
        <v>11</v>
      </c>
      <c r="E20" s="16">
        <v>76000</v>
      </c>
      <c r="F20" s="4">
        <v>5</v>
      </c>
      <c r="G20" s="4" t="s">
        <v>82</v>
      </c>
      <c r="H20" s="3" t="s">
        <v>28</v>
      </c>
      <c r="I20" s="1">
        <v>43981</v>
      </c>
      <c r="J20" t="s">
        <v>75</v>
      </c>
    </row>
    <row r="21" spans="1:10" x14ac:dyDescent="0.25">
      <c r="A21" s="3">
        <v>1020</v>
      </c>
      <c r="B21" s="3" t="s">
        <v>55</v>
      </c>
      <c r="C21" s="4">
        <v>40</v>
      </c>
      <c r="D21" s="3" t="s">
        <v>37</v>
      </c>
      <c r="E21" s="16">
        <v>92000</v>
      </c>
      <c r="F21" s="4">
        <v>11</v>
      </c>
      <c r="G21" s="4">
        <v>5</v>
      </c>
      <c r="H21" s="3" t="s">
        <v>30</v>
      </c>
      <c r="I21" s="1">
        <v>42655</v>
      </c>
      <c r="J21" t="s">
        <v>75</v>
      </c>
    </row>
    <row r="22" spans="1:10" x14ac:dyDescent="0.25">
      <c r="A22" s="3">
        <v>1021</v>
      </c>
      <c r="B22" s="3" t="s">
        <v>56</v>
      </c>
      <c r="C22" s="4">
        <v>28</v>
      </c>
      <c r="D22" s="3" t="s">
        <v>11</v>
      </c>
      <c r="E22" s="16">
        <v>74000</v>
      </c>
      <c r="F22" s="4">
        <v>4</v>
      </c>
      <c r="G22" s="4">
        <v>3</v>
      </c>
      <c r="H22" s="3" t="s">
        <v>12</v>
      </c>
      <c r="I22" s="1">
        <v>44216</v>
      </c>
      <c r="J22" t="s">
        <v>77</v>
      </c>
    </row>
    <row r="23" spans="1:10" x14ac:dyDescent="0.25">
      <c r="A23" s="3">
        <v>1022</v>
      </c>
      <c r="B23" s="3" t="s">
        <v>57</v>
      </c>
      <c r="C23" s="4">
        <v>35</v>
      </c>
      <c r="D23" s="3" t="s">
        <v>37</v>
      </c>
      <c r="E23" s="16">
        <v>86000</v>
      </c>
      <c r="F23" s="4">
        <v>8</v>
      </c>
      <c r="G23" s="4">
        <v>4</v>
      </c>
      <c r="H23" s="3" t="s">
        <v>12</v>
      </c>
      <c r="I23" s="1">
        <v>43692</v>
      </c>
      <c r="J23" t="s">
        <v>75</v>
      </c>
    </row>
    <row r="24" spans="1:10" x14ac:dyDescent="0.25">
      <c r="A24" s="3">
        <v>1025</v>
      </c>
      <c r="B24" s="3" t="s">
        <v>59</v>
      </c>
      <c r="C24" s="4">
        <v>37</v>
      </c>
      <c r="D24" s="3" t="s">
        <v>11</v>
      </c>
      <c r="E24" s="16">
        <v>50000</v>
      </c>
      <c r="F24" s="4">
        <v>10</v>
      </c>
      <c r="G24" s="4">
        <v>4</v>
      </c>
      <c r="H24" s="3" t="s">
        <v>30</v>
      </c>
      <c r="I24" s="1">
        <v>43437</v>
      </c>
      <c r="J24" t="s">
        <v>75</v>
      </c>
    </row>
    <row r="25" spans="1:10" x14ac:dyDescent="0.25">
      <c r="A25" s="3">
        <v>1026</v>
      </c>
      <c r="B25" s="3" t="s">
        <v>60</v>
      </c>
      <c r="C25" s="4">
        <v>29</v>
      </c>
      <c r="D25" s="3" t="s">
        <v>37</v>
      </c>
      <c r="E25" s="16">
        <v>73000</v>
      </c>
      <c r="F25" s="4">
        <v>5</v>
      </c>
      <c r="G25" s="4">
        <v>5</v>
      </c>
      <c r="H25" s="3" t="s">
        <v>12</v>
      </c>
      <c r="I25" s="1">
        <v>44308</v>
      </c>
      <c r="J25" t="s">
        <v>77</v>
      </c>
    </row>
    <row r="26" spans="1:10" x14ac:dyDescent="0.25">
      <c r="A26" s="3">
        <v>1027</v>
      </c>
      <c r="B26" s="3" t="s">
        <v>61</v>
      </c>
      <c r="C26" s="4">
        <v>33</v>
      </c>
      <c r="D26" s="3" t="s">
        <v>11</v>
      </c>
      <c r="E26" s="16">
        <v>84000</v>
      </c>
      <c r="F26" s="4">
        <v>7</v>
      </c>
      <c r="G26" s="4" t="s">
        <v>82</v>
      </c>
      <c r="H26" s="3" t="s">
        <v>12</v>
      </c>
      <c r="I26" s="1">
        <v>43684</v>
      </c>
      <c r="J26" t="s">
        <v>75</v>
      </c>
    </row>
  </sheetData>
  <dataValidations count="4">
    <dataValidation type="custom" allowBlank="1" showInputMessage="1" showErrorMessage="1" sqref="C1:C1048576" xr:uid="{BAAC5AEE-6333-413A-883F-00F169FBBB7C}">
      <formula1>OR(C2=" ", AND(C2&gt;=18, C2&lt;=65))</formula1>
    </dataValidation>
    <dataValidation type="custom" allowBlank="1" showInputMessage="1" showErrorMessage="1" sqref="E1:E1048576" xr:uid="{9007651C-6C7E-425B-842C-CBD794843F26}">
      <formula1>OR(E2=" ", AND(E2&gt;=10000, E2&lt;=200000))</formula1>
    </dataValidation>
    <dataValidation type="custom" allowBlank="1" showInputMessage="1" showErrorMessage="1" sqref="F1:F1048576" xr:uid="{A6839B0E-3173-4BB3-B659-C03F8298164C}">
      <formula1>OR(F2=" ", AND(F2&gt;=0, F2&lt;=40))</formula1>
    </dataValidation>
    <dataValidation type="custom" allowBlank="1" showInputMessage="1" showErrorMessage="1" sqref="G1:G1048576" xr:uid="{E0EFAD9B-BD56-4A9E-82F5-39064EFA4B75}">
      <formula1>OR(G2=" ", AND(G2&gt;=1, G2&lt;=5))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7D7F-BAA0-4FC0-888B-636F8A00A0D2}">
  <sheetPr>
    <tabColor theme="5"/>
  </sheetPr>
  <dimension ref="A1:U26"/>
  <sheetViews>
    <sheetView workbookViewId="0">
      <selection activeCell="AB50" sqref="AB50"/>
    </sheetView>
  </sheetViews>
  <sheetFormatPr defaultColWidth="16.140625" defaultRowHeight="15" x14ac:dyDescent="0.25"/>
  <cols>
    <col min="1" max="1" width="16.140625" style="3"/>
    <col min="12" max="12" width="16.140625" style="4"/>
    <col min="15" max="16" width="16.140625" style="1"/>
    <col min="17" max="17" width="16.140625" style="3"/>
    <col min="19" max="19" width="16.140625" style="3"/>
  </cols>
  <sheetData>
    <row r="1" spans="1:21" x14ac:dyDescent="0.25">
      <c r="A1" s="3" t="s">
        <v>0</v>
      </c>
      <c r="B1" t="s">
        <v>1</v>
      </c>
      <c r="C1" t="s">
        <v>63</v>
      </c>
      <c r="D1" t="s">
        <v>2</v>
      </c>
      <c r="E1" t="s">
        <v>65</v>
      </c>
      <c r="F1" t="s">
        <v>3</v>
      </c>
      <c r="G1" t="s">
        <v>4</v>
      </c>
      <c r="H1" t="s">
        <v>78</v>
      </c>
      <c r="I1" t="s">
        <v>64</v>
      </c>
      <c r="J1" t="s">
        <v>66</v>
      </c>
      <c r="K1" t="s">
        <v>6</v>
      </c>
      <c r="L1" s="4" t="s">
        <v>79</v>
      </c>
      <c r="M1" t="s">
        <v>7</v>
      </c>
      <c r="N1" t="s">
        <v>67</v>
      </c>
      <c r="O1" s="1" t="s">
        <v>8</v>
      </c>
      <c r="P1" s="1" t="s">
        <v>68</v>
      </c>
      <c r="Q1" s="3" t="s">
        <v>9</v>
      </c>
      <c r="R1" t="s">
        <v>69</v>
      </c>
      <c r="S1" s="3" t="s">
        <v>70</v>
      </c>
    </row>
    <row r="2" spans="1:21" x14ac:dyDescent="0.25">
      <c r="A2" s="3">
        <v>1001</v>
      </c>
      <c r="B2" t="s">
        <v>10</v>
      </c>
      <c r="C2" t="str">
        <f>PROPER(TRIM(Table1[[#This Row],[Name]]))</f>
        <v>John Doe</v>
      </c>
      <c r="D2">
        <v>28</v>
      </c>
      <c r="E2">
        <f>IF(OR(Table1[[#This Row],[Age]]&lt; 0, Table1[[#This Row],[Age]]&gt;100), " ", Table1[[#This Row],[Age]])</f>
        <v>28</v>
      </c>
      <c r="F2" t="s">
        <v>11</v>
      </c>
      <c r="G2">
        <v>75000</v>
      </c>
      <c r="H2">
        <f>IF(OR(Table1[[#This Row],[Salary]]&lt;10000, Table1[[#This Row],[Salary]]&gt;200000), " ", Table1[[#This Row],[Salary]])</f>
        <v>75000</v>
      </c>
      <c r="I2">
        <v>3</v>
      </c>
      <c r="J2">
        <f>IF(OR(Table1[[#This Row],[Years_of_Experience]]&lt;0, Table1[[#This Row],[Years_of_Experience]]&gt;40), " ",IF(Table1[[#This Row],[Years_of_Experience]]="N/A", " ", Table1[[#This Row],[Years_of_Experience]]))</f>
        <v>3</v>
      </c>
      <c r="K2">
        <v>4</v>
      </c>
      <c r="L2" s="4">
        <f>IF(OR(Table1[[#This Row],[Performance_Score]]&lt;1, Table1[[#This Row],[Performance_Score]]&gt;5), " ", IF(Table1[[#This Row],[Performance_Score]]="N/A", " ", Table1[[#This Row],[Performance_Score]]))</f>
        <v>4</v>
      </c>
      <c r="M2" t="s">
        <v>12</v>
      </c>
      <c r="N2" t="str">
        <f>PROPER(TRIM(Table1[[#This Row],[City]]))</f>
        <v>Dhaka</v>
      </c>
      <c r="O2" s="1">
        <v>43845</v>
      </c>
      <c r="P2" s="1">
        <f ca="1">IF(Table1[[#This Row],[Join_Date]]&gt;TODAY(), " ",Table1[[#This Row],[Join_Date]])</f>
        <v>43845</v>
      </c>
      <c r="Q2" s="3" t="s">
        <v>13</v>
      </c>
      <c r="R2" t="str">
        <f>PROPER(TRIM(Table1[[#This Row],[Remote_Work]]))</f>
        <v>Yes</v>
      </c>
      <c r="S2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3" spans="1:21" x14ac:dyDescent="0.25">
      <c r="A3" s="3">
        <v>1002</v>
      </c>
      <c r="B3" t="s">
        <v>14</v>
      </c>
      <c r="C3" t="str">
        <f>PROPER(TRIM(Table1[[#This Row],[Name]]))</f>
        <v>Alice Smith</v>
      </c>
      <c r="D3">
        <v>32</v>
      </c>
      <c r="E3">
        <f>IF(OR(Table1[[#This Row],[Age]]&lt; 0, Table1[[#This Row],[Age]]&gt;100), " ", Table1[[#This Row],[Age]])</f>
        <v>32</v>
      </c>
      <c r="F3" t="s">
        <v>37</v>
      </c>
      <c r="G3">
        <v>85000</v>
      </c>
      <c r="H3">
        <f>IF(OR(Table1[[#This Row],[Salary]]&lt;10000, Table1[[#This Row],[Salary]]&gt;200000), " ", Table1[[#This Row],[Salary]])</f>
        <v>85000</v>
      </c>
      <c r="I3">
        <v>5</v>
      </c>
      <c r="J3">
        <f>IF(OR(Table1[[#This Row],[Years_of_Experience]]&lt;0, Table1[[#This Row],[Years_of_Experience]]&gt;40), " ",IF(Table1[[#This Row],[Years_of_Experience]]="N/A", " ", Table1[[#This Row],[Years_of_Experience]]))</f>
        <v>5</v>
      </c>
      <c r="K3">
        <v>5</v>
      </c>
      <c r="L3" s="4">
        <f>IF(OR(Table1[[#This Row],[Performance_Score]]&lt;1, Table1[[#This Row],[Performance_Score]]&gt;5), " ", IF(Table1[[#This Row],[Performance_Score]]="N/A", " ", Table1[[#This Row],[Performance_Score]]))</f>
        <v>5</v>
      </c>
      <c r="M3" t="s">
        <v>16</v>
      </c>
      <c r="N3" t="str">
        <f>PROPER(TRIM(Table1[[#This Row],[City]]))</f>
        <v>Dhaka</v>
      </c>
      <c r="O3" s="1">
        <v>43480</v>
      </c>
      <c r="P3" s="1">
        <f ca="1">IF(Table1[[#This Row],[Join_Date]]&gt;TODAY(), " ",Table1[[#This Row],[Join_Date]])</f>
        <v>43480</v>
      </c>
      <c r="Q3" s="3" t="s">
        <v>18</v>
      </c>
      <c r="R3" t="str">
        <f>PROPER(TRIM(Table1[[#This Row],[Remote_Work]]))</f>
        <v>Yes</v>
      </c>
      <c r="S3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4" spans="1:21" x14ac:dyDescent="0.25">
      <c r="A4" s="3">
        <v>1003</v>
      </c>
      <c r="B4" t="s">
        <v>19</v>
      </c>
      <c r="C4" t="str">
        <f>PROPER(TRIM(Table1[[#This Row],[Name]]))</f>
        <v>Bob Jones</v>
      </c>
      <c r="D4">
        <v>-5</v>
      </c>
      <c r="E4" t="str">
        <f>IF(OR(Table1[[#This Row],[Age]]&lt; 0, Table1[[#This Row],[Age]]&gt;100), " ", Table1[[#This Row],[Age]])</f>
        <v xml:space="preserve"> </v>
      </c>
      <c r="F4" t="s">
        <v>11</v>
      </c>
      <c r="G4">
        <v>50000</v>
      </c>
      <c r="H4">
        <f>IF(OR(Table1[[#This Row],[Salary]]&lt;10000, Table1[[#This Row],[Salary]]&gt;200000), " ", Table1[[#This Row],[Salary]])</f>
        <v>50000</v>
      </c>
      <c r="I4">
        <v>2</v>
      </c>
      <c r="J4">
        <f>IF(OR(Table1[[#This Row],[Years_of_Experience]]&lt;0, Table1[[#This Row],[Years_of_Experience]]&gt;40), " ",IF(Table1[[#This Row],[Years_of_Experience]]="N/A", " ", Table1[[#This Row],[Years_of_Experience]]))</f>
        <v>2</v>
      </c>
      <c r="K4">
        <v>8</v>
      </c>
      <c r="L4" s="4" t="str">
        <f>IF(OR(Table1[[#This Row],[Performance_Score]]&lt;1, Table1[[#This Row],[Performance_Score]]&gt;5), " ", IF(Table1[[#This Row],[Performance_Score]]="N/A", " ", Table1[[#This Row],[Performance_Score]]))</f>
        <v xml:space="preserve"> </v>
      </c>
      <c r="M4" t="s">
        <v>12</v>
      </c>
      <c r="N4" t="str">
        <f>PROPER(TRIM(Table1[[#This Row],[City]]))</f>
        <v>Dhaka</v>
      </c>
      <c r="O4" s="1">
        <v>44211</v>
      </c>
      <c r="P4" s="1">
        <f ca="1">IF(Table1[[#This Row],[Join_Date]]&gt;TODAY(), " ",Table1[[#This Row],[Join_Date]])</f>
        <v>44211</v>
      </c>
      <c r="Q4" s="3" t="s">
        <v>22</v>
      </c>
      <c r="R4" t="str">
        <f>PROPER(TRIM(Table1[[#This Row],[Remote_Work]]))</f>
        <v>Y</v>
      </c>
      <c r="S4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5" spans="1:21" x14ac:dyDescent="0.25">
      <c r="A5" s="3">
        <v>1004</v>
      </c>
      <c r="B5" t="s">
        <v>23</v>
      </c>
      <c r="C5" t="str">
        <f>PROPER(TRIM(Table1[[#This Row],[Name]]))</f>
        <v>Sarah Smith</v>
      </c>
      <c r="D5">
        <v>30</v>
      </c>
      <c r="E5">
        <f>IF(OR(Table1[[#This Row],[Age]]&lt; 0, Table1[[#This Row],[Age]]&gt;100), " ", Table1[[#This Row],[Age]])</f>
        <v>30</v>
      </c>
      <c r="F5" t="s">
        <v>37</v>
      </c>
      <c r="G5">
        <v>120000</v>
      </c>
      <c r="H5">
        <f>IF(OR(Table1[[#This Row],[Salary]]&lt;10000, Table1[[#This Row],[Salary]]&gt;200000), " ", Table1[[#This Row],[Salary]])</f>
        <v>120000</v>
      </c>
      <c r="I5">
        <v>7</v>
      </c>
      <c r="J5">
        <f>IF(OR(Table1[[#This Row],[Years_of_Experience]]&lt;0, Table1[[#This Row],[Years_of_Experience]]&gt;40), " ",IF(Table1[[#This Row],[Years_of_Experience]]="N/A", " ", Table1[[#This Row],[Years_of_Experience]]))</f>
        <v>7</v>
      </c>
      <c r="K5">
        <v>4</v>
      </c>
      <c r="L5" s="4">
        <f>IF(OR(Table1[[#This Row],[Performance_Score]]&lt;1, Table1[[#This Row],[Performance_Score]]&gt;5), " ", IF(Table1[[#This Row],[Performance_Score]]="N/A", " ", Table1[[#This Row],[Performance_Score]]))</f>
        <v>4</v>
      </c>
      <c r="M5" t="s">
        <v>26</v>
      </c>
      <c r="N5" t="str">
        <f>PROPER(TRIM(Table1[[#This Row],[City]]))</f>
        <v>Dhaka</v>
      </c>
      <c r="O5" s="1">
        <v>44472</v>
      </c>
      <c r="P5" s="1">
        <f ca="1">IF(Table1[[#This Row],[Join_Date]]&gt;TODAY(), " ",Table1[[#This Row],[Join_Date]])</f>
        <v>44472</v>
      </c>
      <c r="Q5" s="3" t="b">
        <v>1</v>
      </c>
      <c r="R5" t="str">
        <f>PROPER(TRIM(Table1[[#This Row],[Remote_Work]]))</f>
        <v>True</v>
      </c>
      <c r="S5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6" spans="1:21" x14ac:dyDescent="0.25">
      <c r="A6" s="3">
        <v>1005</v>
      </c>
      <c r="B6" t="s">
        <v>27</v>
      </c>
      <c r="C6" t="str">
        <f>PROPER(TRIM(Table1[[#This Row],[Name]]))</f>
        <v>Mike Wilson</v>
      </c>
      <c r="D6">
        <v>45</v>
      </c>
      <c r="E6">
        <f>IF(OR(Table1[[#This Row],[Age]]&lt; 0, Table1[[#This Row],[Age]]&gt;100), " ", Table1[[#This Row],[Age]])</f>
        <v>45</v>
      </c>
      <c r="F6" t="s">
        <v>11</v>
      </c>
      <c r="G6">
        <v>1000000000</v>
      </c>
      <c r="H6" t="str">
        <f>IF(OR(Table1[[#This Row],[Salary]]&lt;10000, Table1[[#This Row],[Salary]]&gt;200000), " ", Table1[[#This Row],[Salary]])</f>
        <v xml:space="preserve"> </v>
      </c>
      <c r="I6">
        <v>25</v>
      </c>
      <c r="J6">
        <f>IF(OR(Table1[[#This Row],[Years_of_Experience]]&lt;0, Table1[[#This Row],[Years_of_Experience]]&gt;40), " ",IF(Table1[[#This Row],[Years_of_Experience]]="N/A", " ", Table1[[#This Row],[Years_of_Experience]]))</f>
        <v>25</v>
      </c>
      <c r="K6">
        <v>3</v>
      </c>
      <c r="L6" s="4">
        <f>IF(OR(Table1[[#This Row],[Performance_Score]]&lt;1, Table1[[#This Row],[Performance_Score]]&gt;5), " ", IF(Table1[[#This Row],[Performance_Score]]="N/A", " ", Table1[[#This Row],[Performance_Score]]))</f>
        <v>3</v>
      </c>
      <c r="M6" t="s">
        <v>28</v>
      </c>
      <c r="N6" t="str">
        <f>PROPER(TRIM(Table1[[#This Row],[City]]))</f>
        <v>Chittagong</v>
      </c>
      <c r="O6" s="1">
        <v>43301</v>
      </c>
      <c r="P6" s="1">
        <f ca="1">IF(Table1[[#This Row],[Join_Date]]&gt;TODAY(), " ",Table1[[#This Row],[Join_Date]])</f>
        <v>43301</v>
      </c>
      <c r="Q6" s="3">
        <v>1</v>
      </c>
      <c r="R6" t="str">
        <f>PROPER(TRIM(Table1[[#This Row],[Remote_Work]]))</f>
        <v>1</v>
      </c>
      <c r="S6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  <c r="U6">
        <f>COUNTIF(Table1[Remote_Work3],"*True*")</f>
        <v>16</v>
      </c>
    </row>
    <row r="7" spans="1:21" x14ac:dyDescent="0.25">
      <c r="A7" s="3">
        <v>1006</v>
      </c>
      <c r="B7" t="s">
        <v>29</v>
      </c>
      <c r="C7" t="str">
        <f>PROPER(TRIM(Table1[[#This Row],[Name]]))</f>
        <v>Emma Davis</v>
      </c>
      <c r="D7">
        <v>150</v>
      </c>
      <c r="E7" t="str">
        <f>IF(OR(Table1[[#This Row],[Age]]&lt; 0, Table1[[#This Row],[Age]]&gt;100), " ", Table1[[#This Row],[Age]])</f>
        <v xml:space="preserve"> </v>
      </c>
      <c r="F7" t="s">
        <v>37</v>
      </c>
      <c r="H7" t="str">
        <f>IF(OR(Table1[[#This Row],[Salary]]&lt;10000, Table1[[#This Row],[Salary]]&gt;200000), " ", Table1[[#This Row],[Salary]])</f>
        <v xml:space="preserve"> </v>
      </c>
      <c r="I7">
        <v>15</v>
      </c>
      <c r="J7">
        <f>IF(OR(Table1[[#This Row],[Years_of_Experience]]&lt;0, Table1[[#This Row],[Years_of_Experience]]&gt;40), " ",IF(Table1[[#This Row],[Years_of_Experience]]="N/A", " ", Table1[[#This Row],[Years_of_Experience]]))</f>
        <v>15</v>
      </c>
      <c r="K7">
        <v>4</v>
      </c>
      <c r="L7" s="4">
        <f>IF(OR(Table1[[#This Row],[Performance_Score]]&lt;1, Table1[[#This Row],[Performance_Score]]&gt;5), " ", IF(Table1[[#This Row],[Performance_Score]]="N/A", " ", Table1[[#This Row],[Performance_Score]]))</f>
        <v>4</v>
      </c>
      <c r="M7" t="s">
        <v>30</v>
      </c>
      <c r="N7" t="str">
        <f>PROPER(TRIM(Table1[[#This Row],[City]]))</f>
        <v>Sylhet</v>
      </c>
      <c r="O7" s="1">
        <v>47618</v>
      </c>
      <c r="P7" s="1" t="str">
        <f ca="1">IF(Table1[[#This Row],[Join_Date]]&gt;TODAY(), " ",Table1[[#This Row],[Join_Date]])</f>
        <v xml:space="preserve"> </v>
      </c>
      <c r="Q7" s="3" t="s">
        <v>18</v>
      </c>
      <c r="R7" t="str">
        <f>PROPER(TRIM(Table1[[#This Row],[Remote_Work]]))</f>
        <v>Yes</v>
      </c>
      <c r="S7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8" spans="1:21" x14ac:dyDescent="0.25">
      <c r="A8" s="3">
        <v>1007</v>
      </c>
      <c r="B8" t="s">
        <v>31</v>
      </c>
      <c r="C8" t="str">
        <f>PROPER(TRIM(Table1[[#This Row],[Name]]))</f>
        <v>Tom Brown</v>
      </c>
      <c r="D8">
        <v>29</v>
      </c>
      <c r="E8">
        <f>IF(OR(Table1[[#This Row],[Age]]&lt; 0, Table1[[#This Row],[Age]]&gt;100), " ", Table1[[#This Row],[Age]])</f>
        <v>29</v>
      </c>
      <c r="F8" t="s">
        <v>32</v>
      </c>
      <c r="G8">
        <v>65000</v>
      </c>
      <c r="H8">
        <f>IF(OR(Table1[[#This Row],[Salary]]&lt;10000, Table1[[#This Row],[Salary]]&gt;200000), " ", Table1[[#This Row],[Salary]])</f>
        <v>65000</v>
      </c>
      <c r="I8">
        <v>-2</v>
      </c>
      <c r="J8" t="str">
        <f>IF(OR(Table1[[#This Row],[Years_of_Experience]]&lt;0, Table1[[#This Row],[Years_of_Experience]]&gt;40), " ",IF(Table1[[#This Row],[Years_of_Experience]]="N/A", " ", Table1[[#This Row],[Years_of_Experience]]))</f>
        <v xml:space="preserve"> </v>
      </c>
      <c r="K8">
        <v>5</v>
      </c>
      <c r="L8" s="4">
        <f>IF(OR(Table1[[#This Row],[Performance_Score]]&lt;1, Table1[[#This Row],[Performance_Score]]&gt;5), " ", IF(Table1[[#This Row],[Performance_Score]]="N/A", " ", Table1[[#This Row],[Performance_Score]]))</f>
        <v>5</v>
      </c>
      <c r="M8" t="s">
        <v>16</v>
      </c>
      <c r="N8" t="str">
        <f>PROPER(TRIM(Table1[[#This Row],[City]]))</f>
        <v>Dhaka</v>
      </c>
      <c r="O8" s="1">
        <v>44562</v>
      </c>
      <c r="P8" s="1">
        <f ca="1">IF(Table1[[#This Row],[Join_Date]]&gt;TODAY(), " ",Table1[[#This Row],[Join_Date]])</f>
        <v>44562</v>
      </c>
      <c r="Q8" s="3" t="s">
        <v>33</v>
      </c>
      <c r="R8" t="str">
        <f>PROPER(TRIM(Table1[[#This Row],[Remote_Work]]))</f>
        <v>Maybe</v>
      </c>
      <c r="S8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Unknown</v>
      </c>
    </row>
    <row r="9" spans="1:21" x14ac:dyDescent="0.25">
      <c r="A9" s="3">
        <v>1008</v>
      </c>
      <c r="B9" t="s">
        <v>34</v>
      </c>
      <c r="C9" t="str">
        <f>PROPER(TRIM(Table1[[#This Row],[Name]]))</f>
        <v>Lisa Anderson</v>
      </c>
      <c r="D9">
        <v>26</v>
      </c>
      <c r="E9">
        <f>IF(OR(Table1[[#This Row],[Age]]&lt; 0, Table1[[#This Row],[Age]]&gt;100), " ", Table1[[#This Row],[Age]])</f>
        <v>26</v>
      </c>
      <c r="F9" t="s">
        <v>11</v>
      </c>
      <c r="G9">
        <v>70000</v>
      </c>
      <c r="H9">
        <f>IF(OR(Table1[[#This Row],[Salary]]&lt;10000, Table1[[#This Row],[Salary]]&gt;200000), " ", Table1[[#This Row],[Salary]])</f>
        <v>70000</v>
      </c>
      <c r="I9">
        <v>4</v>
      </c>
      <c r="J9">
        <f>IF(OR(Table1[[#This Row],[Years_of_Experience]]&lt;0, Table1[[#This Row],[Years_of_Experience]]&gt;40), " ",IF(Table1[[#This Row],[Years_of_Experience]]="N/A", " ", Table1[[#This Row],[Years_of_Experience]]))</f>
        <v>4</v>
      </c>
      <c r="K9">
        <v>4</v>
      </c>
      <c r="L9" s="4">
        <f>IF(OR(Table1[[#This Row],[Performance_Score]]&lt;1, Table1[[#This Row],[Performance_Score]]&gt;5), " ", IF(Table1[[#This Row],[Performance_Score]]="N/A", " ", Table1[[#This Row],[Performance_Score]]))</f>
        <v>4</v>
      </c>
      <c r="M9" t="s">
        <v>12</v>
      </c>
      <c r="N9" t="str">
        <f>PROPER(TRIM(Table1[[#This Row],[City]]))</f>
        <v>Dhaka</v>
      </c>
      <c r="O9" s="1">
        <v>43961</v>
      </c>
      <c r="P9" s="1">
        <f ca="1">IF(Table1[[#This Row],[Join_Date]]&gt;TODAY(), " ",Table1[[#This Row],[Join_Date]])</f>
        <v>43961</v>
      </c>
      <c r="Q9" s="3" t="s">
        <v>35</v>
      </c>
      <c r="R9" t="str">
        <f>PROPER(TRIM(Table1[[#This Row],[Remote_Work]]))</f>
        <v>No</v>
      </c>
      <c r="S9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10" spans="1:21" x14ac:dyDescent="0.25">
      <c r="A10" s="3">
        <v>1009</v>
      </c>
      <c r="B10" t="s">
        <v>36</v>
      </c>
      <c r="C10" t="str">
        <f>PROPER(TRIM(Table1[[#This Row],[Name]]))</f>
        <v>David Lee</v>
      </c>
      <c r="D10">
        <v>35</v>
      </c>
      <c r="E10">
        <f>IF(OR(Table1[[#This Row],[Age]]&lt; 0, Table1[[#This Row],[Age]]&gt;100), " ", Table1[[#This Row],[Age]])</f>
        <v>35</v>
      </c>
      <c r="F10" t="s">
        <v>37</v>
      </c>
      <c r="G10">
        <v>90000</v>
      </c>
      <c r="H10">
        <f>IF(OR(Table1[[#This Row],[Salary]]&lt;10000, Table1[[#This Row],[Salary]]&gt;200000), " ", Table1[[#This Row],[Salary]])</f>
        <v>90000</v>
      </c>
      <c r="I10">
        <v>8</v>
      </c>
      <c r="J10">
        <f>IF(OR(Table1[[#This Row],[Years_of_Experience]]&lt;0, Table1[[#This Row],[Years_of_Experience]]&gt;40), " ",IF(Table1[[#This Row],[Years_of_Experience]]="N/A", " ", Table1[[#This Row],[Years_of_Experience]]))</f>
        <v>8</v>
      </c>
      <c r="K10">
        <v>0</v>
      </c>
      <c r="L10" s="4" t="str">
        <f>IF(OR(Table1[[#This Row],[Performance_Score]]&lt;1, Table1[[#This Row],[Performance_Score]]&gt;5), " ", IF(Table1[[#This Row],[Performance_Score]]="N/A", " ", Table1[[#This Row],[Performance_Score]]))</f>
        <v xml:space="preserve"> </v>
      </c>
      <c r="M10" t="s">
        <v>28</v>
      </c>
      <c r="N10" t="str">
        <f>PROPER(TRIM(Table1[[#This Row],[City]]))</f>
        <v>Chittagong</v>
      </c>
      <c r="O10" s="1">
        <v>43805</v>
      </c>
      <c r="P10" s="1">
        <f ca="1">IF(Table1[[#This Row],[Join_Date]]&gt;TODAY(), " ",Table1[[#This Row],[Join_Date]])</f>
        <v>43805</v>
      </c>
      <c r="Q10" s="3" t="s">
        <v>38</v>
      </c>
      <c r="R10" t="str">
        <f>PROPER(TRIM(Table1[[#This Row],[Remote_Work]]))</f>
        <v>No</v>
      </c>
      <c r="S10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11" spans="1:21" x14ac:dyDescent="0.25">
      <c r="A11" s="3">
        <v>1010</v>
      </c>
      <c r="B11" t="s">
        <v>39</v>
      </c>
      <c r="C11" t="str">
        <f>PROPER(TRIM(Table1[[#This Row],[Name]]))</f>
        <v>Maria Garcia</v>
      </c>
      <c r="D11">
        <v>42</v>
      </c>
      <c r="E11">
        <f>IF(OR(Table1[[#This Row],[Age]]&lt; 0, Table1[[#This Row],[Age]]&gt;100), " ", Table1[[#This Row],[Age]])</f>
        <v>42</v>
      </c>
      <c r="F11" t="s">
        <v>11</v>
      </c>
      <c r="G11">
        <v>95000</v>
      </c>
      <c r="H11">
        <f>IF(OR(Table1[[#This Row],[Salary]]&lt;10000, Table1[[#This Row],[Salary]]&gt;200000), " ", Table1[[#This Row],[Salary]])</f>
        <v>95000</v>
      </c>
      <c r="I11">
        <v>12</v>
      </c>
      <c r="J11">
        <f>IF(OR(Table1[[#This Row],[Years_of_Experience]]&lt;0, Table1[[#This Row],[Years_of_Experience]]&gt;40), " ",IF(Table1[[#This Row],[Years_of_Experience]]="N/A", " ", Table1[[#This Row],[Years_of_Experience]]))</f>
        <v>12</v>
      </c>
      <c r="K11">
        <v>5</v>
      </c>
      <c r="L11" s="4">
        <f>IF(OR(Table1[[#This Row],[Performance_Score]]&lt;1, Table1[[#This Row],[Performance_Score]]&gt;5), " ", IF(Table1[[#This Row],[Performance_Score]]="N/A", " ", Table1[[#This Row],[Performance_Score]]))</f>
        <v>5</v>
      </c>
      <c r="M11" t="s">
        <v>30</v>
      </c>
      <c r="N11" t="str">
        <f>PROPER(TRIM(Table1[[#This Row],[City]]))</f>
        <v>Sylhet</v>
      </c>
      <c r="O11" s="1">
        <v>42338</v>
      </c>
      <c r="P11" s="1">
        <f ca="1">IF(Table1[[#This Row],[Join_Date]]&gt;TODAY(), " ",Table1[[#This Row],[Join_Date]])</f>
        <v>42338</v>
      </c>
      <c r="Q11" s="3" t="s">
        <v>40</v>
      </c>
      <c r="R11" t="str">
        <f>PROPER(TRIM(Table1[[#This Row],[Remote_Work]]))</f>
        <v>N</v>
      </c>
      <c r="S11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12" spans="1:21" x14ac:dyDescent="0.25">
      <c r="A12" s="3">
        <v>1011</v>
      </c>
      <c r="B12" t="s">
        <v>41</v>
      </c>
      <c r="C12" t="str">
        <f>PROPER(TRIM(Table1[[#This Row],[Name]]))</f>
        <v>James Wilson</v>
      </c>
      <c r="D12">
        <v>25</v>
      </c>
      <c r="E12">
        <f>IF(OR(Table1[[#This Row],[Age]]&lt; 0, Table1[[#This Row],[Age]]&gt;100), " ", Table1[[#This Row],[Age]])</f>
        <v>25</v>
      </c>
      <c r="F12" t="s">
        <v>37</v>
      </c>
      <c r="G12">
        <v>60000</v>
      </c>
      <c r="H12">
        <f>IF(OR(Table1[[#This Row],[Salary]]&lt;10000, Table1[[#This Row],[Salary]]&gt;200000), " ", Table1[[#This Row],[Salary]])</f>
        <v>60000</v>
      </c>
      <c r="I12" t="s">
        <v>32</v>
      </c>
      <c r="J12" t="str">
        <f>IF(OR(Table1[[#This Row],[Years_of_Experience]]&lt;0, Table1[[#This Row],[Years_of_Experience]]&gt;40), " ",IF(Table1[[#This Row],[Years_of_Experience]]="N/A", " ", Table1[[#This Row],[Years_of_Experience]]))</f>
        <v xml:space="preserve"> </v>
      </c>
      <c r="K12">
        <v>3</v>
      </c>
      <c r="L12" s="4">
        <f>IF(OR(Table1[[#This Row],[Performance_Score]]&lt;1, Table1[[#This Row],[Performance_Score]]&gt;5), " ", IF(Table1[[#This Row],[Performance_Score]]="N/A", " ", Table1[[#This Row],[Performance_Score]]))</f>
        <v>3</v>
      </c>
      <c r="M12" t="s">
        <v>26</v>
      </c>
      <c r="N12" t="str">
        <f>PROPER(TRIM(Table1[[#This Row],[City]]))</f>
        <v>Dhaka</v>
      </c>
      <c r="O12" s="1">
        <v>44211</v>
      </c>
      <c r="P12" s="1">
        <f ca="1">IF(Table1[[#This Row],[Join_Date]]&gt;TODAY(), " ",Table1[[#This Row],[Join_Date]])</f>
        <v>44211</v>
      </c>
      <c r="Q12" s="3" t="b">
        <v>0</v>
      </c>
      <c r="R12" t="str">
        <f>PROPER(TRIM(Table1[[#This Row],[Remote_Work]]))</f>
        <v>False</v>
      </c>
      <c r="S12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13" spans="1:21" x14ac:dyDescent="0.25">
      <c r="A13" s="3">
        <v>1012</v>
      </c>
      <c r="B13" t="s">
        <v>44</v>
      </c>
      <c r="C13" t="str">
        <f>PROPER(TRIM(Table1[[#This Row],[Name]]))</f>
        <v>Patricia Martinez</v>
      </c>
      <c r="D13">
        <v>38</v>
      </c>
      <c r="E13">
        <f>IF(OR(Table1[[#This Row],[Age]]&lt; 0, Table1[[#This Row],[Age]]&gt;100), " ", Table1[[#This Row],[Age]])</f>
        <v>38</v>
      </c>
      <c r="F13" t="s">
        <v>11</v>
      </c>
      <c r="G13">
        <v>88000</v>
      </c>
      <c r="H13">
        <f>IF(OR(Table1[[#This Row],[Salary]]&lt;10000, Table1[[#This Row],[Salary]]&gt;200000), " ", Table1[[#This Row],[Salary]])</f>
        <v>88000</v>
      </c>
      <c r="I13">
        <v>10</v>
      </c>
      <c r="J13">
        <f>IF(OR(Table1[[#This Row],[Years_of_Experience]]&lt;0, Table1[[#This Row],[Years_of_Experience]]&gt;40), " ",IF(Table1[[#This Row],[Years_of_Experience]]="N/A", " ", Table1[[#This Row],[Years_of_Experience]]))</f>
        <v>10</v>
      </c>
      <c r="K13">
        <v>4</v>
      </c>
      <c r="L13" s="4">
        <f>IF(OR(Table1[[#This Row],[Performance_Score]]&lt;1, Table1[[#This Row],[Performance_Score]]&gt;5), " ", IF(Table1[[#This Row],[Performance_Score]]="N/A", " ", Table1[[#This Row],[Performance_Score]]))</f>
        <v>4</v>
      </c>
      <c r="M13" t="s">
        <v>12</v>
      </c>
      <c r="N13" t="str">
        <f>PROPER(TRIM(Table1[[#This Row],[City]]))</f>
        <v>Dhaka</v>
      </c>
      <c r="O13" s="1">
        <v>42969</v>
      </c>
      <c r="P13" s="1">
        <f ca="1">IF(Table1[[#This Row],[Join_Date]]&gt;TODAY(), " ",Table1[[#This Row],[Join_Date]])</f>
        <v>42969</v>
      </c>
      <c r="Q13" s="3">
        <v>0</v>
      </c>
      <c r="R13" t="str">
        <f>PROPER(TRIM(Table1[[#This Row],[Remote_Work]]))</f>
        <v>0</v>
      </c>
      <c r="S13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14" spans="1:21" x14ac:dyDescent="0.25">
      <c r="A14" s="3">
        <v>1013</v>
      </c>
      <c r="B14" t="s">
        <v>45</v>
      </c>
      <c r="C14" t="str">
        <f>PROPER(TRIM(Table1[[#This Row],[Name]]))</f>
        <v>Robert Taylor</v>
      </c>
      <c r="D14">
        <v>29</v>
      </c>
      <c r="E14">
        <f>IF(OR(Table1[[#This Row],[Age]]&lt; 0, Table1[[#This Row],[Age]]&gt;100), " ", Table1[[#This Row],[Age]])</f>
        <v>29</v>
      </c>
      <c r="F14" t="s">
        <v>37</v>
      </c>
      <c r="G14">
        <v>72000</v>
      </c>
      <c r="H14">
        <f>IF(OR(Table1[[#This Row],[Salary]]&lt;10000, Table1[[#This Row],[Salary]]&gt;200000), " ", Table1[[#This Row],[Salary]])</f>
        <v>72000</v>
      </c>
      <c r="I14">
        <v>5</v>
      </c>
      <c r="J14">
        <f>IF(OR(Table1[[#This Row],[Years_of_Experience]]&lt;0, Table1[[#This Row],[Years_of_Experience]]&gt;40), " ",IF(Table1[[#This Row],[Years_of_Experience]]="N/A", " ", Table1[[#This Row],[Years_of_Experience]]))</f>
        <v>5</v>
      </c>
      <c r="K14">
        <v>4</v>
      </c>
      <c r="L14" s="4">
        <f>IF(OR(Table1[[#This Row],[Performance_Score]]&lt;1, Table1[[#This Row],[Performance_Score]]&gt;5), " ", IF(Table1[[#This Row],[Performance_Score]]="N/A", " ", Table1[[#This Row],[Performance_Score]]))</f>
        <v>4</v>
      </c>
      <c r="M14" t="s">
        <v>16</v>
      </c>
      <c r="N14" t="str">
        <f>PROPER(TRIM(Table1[[#This Row],[City]]))</f>
        <v>Dhaka</v>
      </c>
      <c r="O14" s="1">
        <v>43875</v>
      </c>
      <c r="P14" s="1">
        <f ca="1">IF(Table1[[#This Row],[Join_Date]]&gt;TODAY(), " ",Table1[[#This Row],[Join_Date]])</f>
        <v>43875</v>
      </c>
      <c r="Q14" s="3" t="s">
        <v>18</v>
      </c>
      <c r="R14" t="str">
        <f>PROPER(TRIM(Table1[[#This Row],[Remote_Work]]))</f>
        <v>Yes</v>
      </c>
      <c r="S14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15" spans="1:21" x14ac:dyDescent="0.25">
      <c r="A15" s="3">
        <v>1014</v>
      </c>
      <c r="B15" t="s">
        <v>46</v>
      </c>
      <c r="C15" t="str">
        <f>PROPER(TRIM(Table1[[#This Row],[Name]]))</f>
        <v>Jennifer Brown</v>
      </c>
      <c r="D15">
        <v>31</v>
      </c>
      <c r="E15">
        <f>IF(OR(Table1[[#This Row],[Age]]&lt; 0, Table1[[#This Row],[Age]]&gt;100), " ", Table1[[#This Row],[Age]])</f>
        <v>31</v>
      </c>
      <c r="F15" t="s">
        <v>32</v>
      </c>
      <c r="G15">
        <v>78000</v>
      </c>
      <c r="H15">
        <f>IF(OR(Table1[[#This Row],[Salary]]&lt;10000, Table1[[#This Row],[Salary]]&gt;200000), " ", Table1[[#This Row],[Salary]])</f>
        <v>78000</v>
      </c>
      <c r="I15">
        <v>6</v>
      </c>
      <c r="J15">
        <f>IF(OR(Table1[[#This Row],[Years_of_Experience]]&lt;0, Table1[[#This Row],[Years_of_Experience]]&gt;40), " ",IF(Table1[[#This Row],[Years_of_Experience]]="N/A", " ", Table1[[#This Row],[Years_of_Experience]]))</f>
        <v>6</v>
      </c>
      <c r="K15">
        <v>5</v>
      </c>
      <c r="L15" s="4">
        <f>IF(OR(Table1[[#This Row],[Performance_Score]]&lt;1, Table1[[#This Row],[Performance_Score]]&gt;5), " ", IF(Table1[[#This Row],[Performance_Score]]="N/A", " ", Table1[[#This Row],[Performance_Score]]))</f>
        <v>5</v>
      </c>
      <c r="M15" t="s">
        <v>28</v>
      </c>
      <c r="N15" t="str">
        <f>PROPER(TRIM(Table1[[#This Row],[City]]))</f>
        <v>Chittagong</v>
      </c>
      <c r="O15" s="1">
        <v>43905</v>
      </c>
      <c r="P15" s="1">
        <f ca="1">IF(Table1[[#This Row],[Join_Date]]&gt;TODAY(), " ",Table1[[#This Row],[Join_Date]])</f>
        <v>43905</v>
      </c>
      <c r="Q15" s="3" t="s">
        <v>13</v>
      </c>
      <c r="R15" t="str">
        <f>PROPER(TRIM(Table1[[#This Row],[Remote_Work]]))</f>
        <v>Yes</v>
      </c>
      <c r="S15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16" spans="1:21" x14ac:dyDescent="0.25">
      <c r="A16" s="3">
        <v>1015</v>
      </c>
      <c r="B16" t="s">
        <v>48</v>
      </c>
      <c r="C16" t="str">
        <f>PROPER(TRIM(Table1[[#This Row],[Name]]))</f>
        <v>Michael Johnson</v>
      </c>
      <c r="D16">
        <v>44</v>
      </c>
      <c r="E16">
        <f>IF(OR(Table1[[#This Row],[Age]]&lt; 0, Table1[[#This Row],[Age]]&gt;100), " ", Table1[[#This Row],[Age]])</f>
        <v>44</v>
      </c>
      <c r="F16" t="s">
        <v>11</v>
      </c>
      <c r="G16">
        <v>110000</v>
      </c>
      <c r="H16">
        <f>IF(OR(Table1[[#This Row],[Salary]]&lt;10000, Table1[[#This Row],[Salary]]&gt;200000), " ", Table1[[#This Row],[Salary]])</f>
        <v>110000</v>
      </c>
      <c r="I16">
        <v>50</v>
      </c>
      <c r="J16" t="str">
        <f>IF(OR(Table1[[#This Row],[Years_of_Experience]]&lt;0, Table1[[#This Row],[Years_of_Experience]]&gt;40), " ",IF(Table1[[#This Row],[Years_of_Experience]]="N/A", " ", Table1[[#This Row],[Years_of_Experience]]))</f>
        <v xml:space="preserve"> </v>
      </c>
      <c r="K16">
        <v>3</v>
      </c>
      <c r="L16" s="4">
        <f>IF(OR(Table1[[#This Row],[Performance_Score]]&lt;1, Table1[[#This Row],[Performance_Score]]&gt;5), " ", IF(Table1[[#This Row],[Performance_Score]]="N/A", " ", Table1[[#This Row],[Performance_Score]]))</f>
        <v>3</v>
      </c>
      <c r="M16" t="s">
        <v>30</v>
      </c>
      <c r="N16" t="str">
        <f>PROPER(TRIM(Table1[[#This Row],[City]]))</f>
        <v>Sylhet</v>
      </c>
      <c r="O16" s="1">
        <v>42494</v>
      </c>
      <c r="P16" s="1">
        <f ca="1">IF(Table1[[#This Row],[Join_Date]]&gt;TODAY(), " ",Table1[[#This Row],[Join_Date]])</f>
        <v>42494</v>
      </c>
      <c r="Q16" s="3" t="b">
        <v>1</v>
      </c>
      <c r="R16" t="str">
        <f>PROPER(TRIM(Table1[[#This Row],[Remote_Work]]))</f>
        <v>True</v>
      </c>
      <c r="S16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17" spans="1:19" x14ac:dyDescent="0.25">
      <c r="A17" s="3">
        <v>1016</v>
      </c>
      <c r="B17" t="s">
        <v>49</v>
      </c>
      <c r="C17" t="str">
        <f>PROPER(TRIM(Table1[[#This Row],[Name]]))</f>
        <v>Linda Davis</v>
      </c>
      <c r="D17">
        <v>27</v>
      </c>
      <c r="E17">
        <f>IF(OR(Table1[[#This Row],[Age]]&lt; 0, Table1[[#This Row],[Age]]&gt;100), " ", Table1[[#This Row],[Age]])</f>
        <v>27</v>
      </c>
      <c r="F17" t="s">
        <v>37</v>
      </c>
      <c r="G17">
        <v>67000</v>
      </c>
      <c r="H17">
        <f>IF(OR(Table1[[#This Row],[Salary]]&lt;10000, Table1[[#This Row],[Salary]]&gt;200000), " ", Table1[[#This Row],[Salary]])</f>
        <v>67000</v>
      </c>
      <c r="I17">
        <v>4</v>
      </c>
      <c r="J17">
        <f>IF(OR(Table1[[#This Row],[Years_of_Experience]]&lt;0, Table1[[#This Row],[Years_of_Experience]]&gt;40), " ",IF(Table1[[#This Row],[Years_of_Experience]]="N/A", " ", Table1[[#This Row],[Years_of_Experience]]))</f>
        <v>4</v>
      </c>
      <c r="K17">
        <v>10</v>
      </c>
      <c r="L17" s="4" t="str">
        <f>IF(OR(Table1[[#This Row],[Performance_Score]]&lt;1, Table1[[#This Row],[Performance_Score]]&gt;5), " ", IF(Table1[[#This Row],[Performance_Score]]="N/A", " ", Table1[[#This Row],[Performance_Score]]))</f>
        <v xml:space="preserve"> </v>
      </c>
      <c r="M17" t="s">
        <v>12</v>
      </c>
      <c r="N17" t="str">
        <f>PROPER(TRIM(Table1[[#This Row],[City]]))</f>
        <v>Dhaka</v>
      </c>
      <c r="O17" s="1">
        <v>44395</v>
      </c>
      <c r="P17" s="1">
        <f ca="1">IF(Table1[[#This Row],[Join_Date]]&gt;TODAY(), " ",Table1[[#This Row],[Join_Date]])</f>
        <v>44395</v>
      </c>
      <c r="Q17" s="3" t="s">
        <v>50</v>
      </c>
      <c r="R17" t="str">
        <f>PROPER(TRIM(Table1[[#This Row],[Remote_Work]]))</f>
        <v>Y</v>
      </c>
      <c r="S17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18" spans="1:19" x14ac:dyDescent="0.25">
      <c r="A18" s="3">
        <v>1017</v>
      </c>
      <c r="B18" t="s">
        <v>51</v>
      </c>
      <c r="C18" t="str">
        <f>PROPER(TRIM(Table1[[#This Row],[Name]]))</f>
        <v>William Anderson</v>
      </c>
      <c r="D18">
        <v>36</v>
      </c>
      <c r="E18">
        <f>IF(OR(Table1[[#This Row],[Age]]&lt; 0, Table1[[#This Row],[Age]]&gt;100), " ", Table1[[#This Row],[Age]])</f>
        <v>36</v>
      </c>
      <c r="F18" t="s">
        <v>11</v>
      </c>
      <c r="G18">
        <v>10</v>
      </c>
      <c r="H18" t="str">
        <f>IF(OR(Table1[[#This Row],[Salary]]&lt;10000, Table1[[#This Row],[Salary]]&gt;200000), " ", Table1[[#This Row],[Salary]])</f>
        <v xml:space="preserve"> </v>
      </c>
      <c r="I18">
        <v>9</v>
      </c>
      <c r="J18">
        <f>IF(OR(Table1[[#This Row],[Years_of_Experience]]&lt;0, Table1[[#This Row],[Years_of_Experience]]&gt;40), " ",IF(Table1[[#This Row],[Years_of_Experience]]="N/A", " ", Table1[[#This Row],[Years_of_Experience]]))</f>
        <v>9</v>
      </c>
      <c r="K18">
        <v>4</v>
      </c>
      <c r="L18" s="4">
        <f>IF(OR(Table1[[#This Row],[Performance_Score]]&lt;1, Table1[[#This Row],[Performance_Score]]&gt;5), " ", IF(Table1[[#This Row],[Performance_Score]]="N/A", " ", Table1[[#This Row],[Performance_Score]]))</f>
        <v>4</v>
      </c>
      <c r="M18" t="s">
        <v>26</v>
      </c>
      <c r="N18" t="str">
        <f>PROPER(TRIM(Table1[[#This Row],[City]]))</f>
        <v>Dhaka</v>
      </c>
      <c r="O18" s="1">
        <v>43368</v>
      </c>
      <c r="P18" s="1">
        <f ca="1">IF(Table1[[#This Row],[Join_Date]]&gt;TODAY(), " ",Table1[[#This Row],[Join_Date]])</f>
        <v>43368</v>
      </c>
      <c r="Q18" s="3" t="s">
        <v>35</v>
      </c>
      <c r="R18" t="str">
        <f>PROPER(TRIM(Table1[[#This Row],[Remote_Work]]))</f>
        <v>No</v>
      </c>
      <c r="S18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19" spans="1:19" x14ac:dyDescent="0.25">
      <c r="A19" s="3">
        <v>1018</v>
      </c>
      <c r="B19" t="s">
        <v>52</v>
      </c>
      <c r="C19" t="str">
        <f>PROPER(TRIM(Table1[[#This Row],[Name]]))</f>
        <v>Barbara Thomas</v>
      </c>
      <c r="D19">
        <v>33</v>
      </c>
      <c r="E19">
        <f>IF(OR(Table1[[#This Row],[Age]]&lt; 0, Table1[[#This Row],[Age]]&gt;100), " ", Table1[[#This Row],[Age]])</f>
        <v>33</v>
      </c>
      <c r="F19" t="s">
        <v>37</v>
      </c>
      <c r="G19">
        <v>82000</v>
      </c>
      <c r="H19">
        <f>IF(OR(Table1[[#This Row],[Salary]]&lt;10000, Table1[[#This Row],[Salary]]&gt;200000), " ", Table1[[#This Row],[Salary]])</f>
        <v>82000</v>
      </c>
      <c r="I19">
        <v>7</v>
      </c>
      <c r="J19">
        <f>IF(OR(Table1[[#This Row],[Years_of_Experience]]&lt;0, Table1[[#This Row],[Years_of_Experience]]&gt;40), " ",IF(Table1[[#This Row],[Years_of_Experience]]="N/A", " ", Table1[[#This Row],[Years_of_Experience]]))</f>
        <v>7</v>
      </c>
      <c r="K19">
        <v>4</v>
      </c>
      <c r="L19" s="4">
        <f>IF(OR(Table1[[#This Row],[Performance_Score]]&lt;1, Table1[[#This Row],[Performance_Score]]&gt;5), " ", IF(Table1[[#This Row],[Performance_Score]]="N/A", " ", Table1[[#This Row],[Performance_Score]]))</f>
        <v>4</v>
      </c>
      <c r="M19" t="s">
        <v>16</v>
      </c>
      <c r="N19" t="str">
        <f>PROPER(TRIM(Table1[[#This Row],[City]]))</f>
        <v>Dhaka</v>
      </c>
      <c r="O19" s="1">
        <v>43794</v>
      </c>
      <c r="P19" s="1">
        <f ca="1">IF(Table1[[#This Row],[Join_Date]]&gt;TODAY(), " ",Table1[[#This Row],[Join_Date]])</f>
        <v>43794</v>
      </c>
      <c r="Q19" s="3" t="s">
        <v>18</v>
      </c>
      <c r="R19" t="str">
        <f>PROPER(TRIM(Table1[[#This Row],[Remote_Work]]))</f>
        <v>Yes</v>
      </c>
      <c r="S19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20" spans="1:19" x14ac:dyDescent="0.25">
      <c r="A20" s="3">
        <v>1019</v>
      </c>
      <c r="B20" t="s">
        <v>54</v>
      </c>
      <c r="C20" t="str">
        <f>PROPER(TRIM(Table1[[#This Row],[Name]]))</f>
        <v>Richard Jackson</v>
      </c>
      <c r="D20">
        <v>29</v>
      </c>
      <c r="E20">
        <f>IF(OR(Table1[[#This Row],[Age]]&lt; 0, Table1[[#This Row],[Age]]&gt;100), " ", Table1[[#This Row],[Age]])</f>
        <v>29</v>
      </c>
      <c r="F20" t="s">
        <v>11</v>
      </c>
      <c r="G20">
        <v>76000</v>
      </c>
      <c r="H20">
        <f>IF(OR(Table1[[#This Row],[Salary]]&lt;10000, Table1[[#This Row],[Salary]]&gt;200000), " ", Table1[[#This Row],[Salary]])</f>
        <v>76000</v>
      </c>
      <c r="I20">
        <v>5</v>
      </c>
      <c r="J20">
        <f>IF(OR(Table1[[#This Row],[Years_of_Experience]]&lt;0, Table1[[#This Row],[Years_of_Experience]]&gt;40), " ",IF(Table1[[#This Row],[Years_of_Experience]]="N/A", " ", Table1[[#This Row],[Years_of_Experience]]))</f>
        <v>5</v>
      </c>
      <c r="K20" t="s">
        <v>32</v>
      </c>
      <c r="L20" s="4" t="str">
        <f>IF(OR(Table1[[#This Row],[Performance_Score]]&lt;1, Table1[[#This Row],[Performance_Score]]&gt;5), " ", IF(Table1[[#This Row],[Performance_Score]]="N/A", " ", Table1[[#This Row],[Performance_Score]]))</f>
        <v xml:space="preserve"> </v>
      </c>
      <c r="M20" t="s">
        <v>28</v>
      </c>
      <c r="N20" t="str">
        <f>PROPER(TRIM(Table1[[#This Row],[City]]))</f>
        <v>Chittagong</v>
      </c>
      <c r="O20" s="1">
        <v>43981</v>
      </c>
      <c r="P20" s="1">
        <f ca="1">IF(Table1[[#This Row],[Join_Date]]&gt;TODAY(), " ",Table1[[#This Row],[Join_Date]])</f>
        <v>43981</v>
      </c>
      <c r="Q20" s="3" t="s">
        <v>13</v>
      </c>
      <c r="R20" t="str">
        <f>PROPER(TRIM(Table1[[#This Row],[Remote_Work]]))</f>
        <v>Yes</v>
      </c>
      <c r="S20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21" spans="1:19" x14ac:dyDescent="0.25">
      <c r="A21" s="3">
        <v>1020</v>
      </c>
      <c r="B21" t="s">
        <v>55</v>
      </c>
      <c r="C21" t="str">
        <f>PROPER(TRIM(Table1[[#This Row],[Name]]))</f>
        <v>Susan White</v>
      </c>
      <c r="D21">
        <v>40</v>
      </c>
      <c r="E21">
        <f>IF(OR(Table1[[#This Row],[Age]]&lt; 0, Table1[[#This Row],[Age]]&gt;100), " ", Table1[[#This Row],[Age]])</f>
        <v>40</v>
      </c>
      <c r="F21" t="s">
        <v>37</v>
      </c>
      <c r="G21">
        <v>92000</v>
      </c>
      <c r="H21">
        <f>IF(OR(Table1[[#This Row],[Salary]]&lt;10000, Table1[[#This Row],[Salary]]&gt;200000), " ", Table1[[#This Row],[Salary]])</f>
        <v>92000</v>
      </c>
      <c r="I21">
        <v>11</v>
      </c>
      <c r="J21">
        <f>IF(OR(Table1[[#This Row],[Years_of_Experience]]&lt;0, Table1[[#This Row],[Years_of_Experience]]&gt;40), " ",IF(Table1[[#This Row],[Years_of_Experience]]="N/A", " ", Table1[[#This Row],[Years_of_Experience]]))</f>
        <v>11</v>
      </c>
      <c r="K21">
        <v>5</v>
      </c>
      <c r="L21" s="4">
        <f>IF(OR(Table1[[#This Row],[Performance_Score]]&lt;1, Table1[[#This Row],[Performance_Score]]&gt;5), " ", IF(Table1[[#This Row],[Performance_Score]]="N/A", " ", Table1[[#This Row],[Performance_Score]]))</f>
        <v>5</v>
      </c>
      <c r="M21" t="s">
        <v>30</v>
      </c>
      <c r="N21" t="str">
        <f>PROPER(TRIM(Table1[[#This Row],[City]]))</f>
        <v>Sylhet</v>
      </c>
      <c r="O21" s="1">
        <v>42655</v>
      </c>
      <c r="P21" s="1">
        <f ca="1">IF(Table1[[#This Row],[Join_Date]]&gt;TODAY(), " ",Table1[[#This Row],[Join_Date]])</f>
        <v>42655</v>
      </c>
      <c r="Q21" s="3">
        <v>1</v>
      </c>
      <c r="R21" t="str">
        <f>PROPER(TRIM(Table1[[#This Row],[Remote_Work]]))</f>
        <v>1</v>
      </c>
      <c r="S21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22" spans="1:19" x14ac:dyDescent="0.25">
      <c r="A22" s="3">
        <v>1021</v>
      </c>
      <c r="B22" t="s">
        <v>56</v>
      </c>
      <c r="C22" t="str">
        <f>PROPER(TRIM(Table1[[#This Row],[Name]]))</f>
        <v>Joseph Harris</v>
      </c>
      <c r="D22">
        <v>28</v>
      </c>
      <c r="E22">
        <f>IF(OR(Table1[[#This Row],[Age]]&lt; 0, Table1[[#This Row],[Age]]&gt;100), " ", Table1[[#This Row],[Age]])</f>
        <v>28</v>
      </c>
      <c r="F22" t="s">
        <v>11</v>
      </c>
      <c r="G22">
        <v>74000</v>
      </c>
      <c r="H22">
        <f>IF(OR(Table1[[#This Row],[Salary]]&lt;10000, Table1[[#This Row],[Salary]]&gt;200000), " ", Table1[[#This Row],[Salary]])</f>
        <v>74000</v>
      </c>
      <c r="I22">
        <v>4</v>
      </c>
      <c r="J22">
        <f>IF(OR(Table1[[#This Row],[Years_of_Experience]]&lt;0, Table1[[#This Row],[Years_of_Experience]]&gt;40), " ",IF(Table1[[#This Row],[Years_of_Experience]]="N/A", " ", Table1[[#This Row],[Years_of_Experience]]))</f>
        <v>4</v>
      </c>
      <c r="K22">
        <v>3</v>
      </c>
      <c r="L22" s="4">
        <f>IF(OR(Table1[[#This Row],[Performance_Score]]&lt;1, Table1[[#This Row],[Performance_Score]]&gt;5), " ", IF(Table1[[#This Row],[Performance_Score]]="N/A", " ", Table1[[#This Row],[Performance_Score]]))</f>
        <v>3</v>
      </c>
      <c r="M22" t="s">
        <v>12</v>
      </c>
      <c r="N22" t="str">
        <f>PROPER(TRIM(Table1[[#This Row],[City]]))</f>
        <v>Dhaka</v>
      </c>
      <c r="O22" s="1">
        <v>44216</v>
      </c>
      <c r="P22" s="1">
        <f ca="1">IF(Table1[[#This Row],[Join_Date]]&gt;TODAY(), " ",Table1[[#This Row],[Join_Date]])</f>
        <v>44216</v>
      </c>
      <c r="Q22" s="3" t="s">
        <v>38</v>
      </c>
      <c r="R22" t="str">
        <f>PROPER(TRIM(Table1[[#This Row],[Remote_Work]]))</f>
        <v>No</v>
      </c>
      <c r="S22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23" spans="1:19" x14ac:dyDescent="0.25">
      <c r="A23" s="3">
        <v>1022</v>
      </c>
      <c r="B23" t="s">
        <v>57</v>
      </c>
      <c r="C23" t="str">
        <f>PROPER(TRIM(Table1[[#This Row],[Name]]))</f>
        <v>Jessica Martin</v>
      </c>
      <c r="D23">
        <v>35</v>
      </c>
      <c r="E23">
        <f>IF(OR(Table1[[#This Row],[Age]]&lt; 0, Table1[[#This Row],[Age]]&gt;100), " ", Table1[[#This Row],[Age]])</f>
        <v>35</v>
      </c>
      <c r="F23" t="s">
        <v>37</v>
      </c>
      <c r="G23">
        <v>86000</v>
      </c>
      <c r="H23">
        <f>IF(OR(Table1[[#This Row],[Salary]]&lt;10000, Table1[[#This Row],[Salary]]&gt;200000), " ", Table1[[#This Row],[Salary]])</f>
        <v>86000</v>
      </c>
      <c r="I23">
        <v>8</v>
      </c>
      <c r="J23">
        <f>IF(OR(Table1[[#This Row],[Years_of_Experience]]&lt;0, Table1[[#This Row],[Years_of_Experience]]&gt;40), " ",IF(Table1[[#This Row],[Years_of_Experience]]="N/A", " ", Table1[[#This Row],[Years_of_Experience]]))</f>
        <v>8</v>
      </c>
      <c r="K23">
        <v>4</v>
      </c>
      <c r="L23" s="4">
        <f>IF(OR(Table1[[#This Row],[Performance_Score]]&lt;1, Table1[[#This Row],[Performance_Score]]&gt;5), " ", IF(Table1[[#This Row],[Performance_Score]]="N/A", " ", Table1[[#This Row],[Performance_Score]]))</f>
        <v>4</v>
      </c>
      <c r="M23" t="s">
        <v>26</v>
      </c>
      <c r="N23" t="str">
        <f>PROPER(TRIM(Table1[[#This Row],[City]]))</f>
        <v>Dhaka</v>
      </c>
      <c r="O23" s="1">
        <v>43692</v>
      </c>
      <c r="P23" s="1">
        <f ca="1">IF(Table1[[#This Row],[Join_Date]]&gt;TODAY(), " ",Table1[[#This Row],[Join_Date]])</f>
        <v>43692</v>
      </c>
      <c r="Q23" s="3" t="s">
        <v>13</v>
      </c>
      <c r="R23" t="str">
        <f>PROPER(TRIM(Table1[[#This Row],[Remote_Work]]))</f>
        <v>Yes</v>
      </c>
      <c r="S23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24" spans="1:19" x14ac:dyDescent="0.25">
      <c r="A24" s="3">
        <v>1025</v>
      </c>
      <c r="B24" t="s">
        <v>59</v>
      </c>
      <c r="C24" t="str">
        <f>PROPER(TRIM(Table1[[#This Row],[Name]]))</f>
        <v>Thomas Rodriguez</v>
      </c>
      <c r="D24">
        <v>37</v>
      </c>
      <c r="E24">
        <f>IF(OR(Table1[[#This Row],[Age]]&lt; 0, Table1[[#This Row],[Age]]&gt;100), " ", Table1[[#This Row],[Age]])</f>
        <v>37</v>
      </c>
      <c r="F24" t="s">
        <v>11</v>
      </c>
      <c r="G24">
        <v>50000</v>
      </c>
      <c r="H24">
        <f>IF(OR(Table1[[#This Row],[Salary]]&lt;10000, Table1[[#This Row],[Salary]]&gt;200000), " ", Table1[[#This Row],[Salary]])</f>
        <v>50000</v>
      </c>
      <c r="I24">
        <v>10</v>
      </c>
      <c r="J24">
        <f>IF(OR(Table1[[#This Row],[Years_of_Experience]]&lt;0, Table1[[#This Row],[Years_of_Experience]]&gt;40), " ",IF(Table1[[#This Row],[Years_of_Experience]]="N/A", " ", Table1[[#This Row],[Years_of_Experience]]))</f>
        <v>10</v>
      </c>
      <c r="K24">
        <v>4</v>
      </c>
      <c r="L24" s="4">
        <f>IF(OR(Table1[[#This Row],[Performance_Score]]&lt;1, Table1[[#This Row],[Performance_Score]]&gt;5), " ", IF(Table1[[#This Row],[Performance_Score]]="N/A", " ", Table1[[#This Row],[Performance_Score]]))</f>
        <v>4</v>
      </c>
      <c r="M24" t="s">
        <v>30</v>
      </c>
      <c r="N24" t="str">
        <f>PROPER(TRIM(Table1[[#This Row],[City]]))</f>
        <v>Sylhet</v>
      </c>
      <c r="O24" s="1">
        <v>43437</v>
      </c>
      <c r="P24" s="1">
        <f ca="1">IF(Table1[[#This Row],[Join_Date]]&gt;TODAY(), " ",Table1[[#This Row],[Join_Date]])</f>
        <v>43437</v>
      </c>
      <c r="Q24" s="3" t="s">
        <v>18</v>
      </c>
      <c r="R24" t="str">
        <f>PROPER(TRIM(Table1[[#This Row],[Remote_Work]]))</f>
        <v>Yes</v>
      </c>
      <c r="S24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  <row r="25" spans="1:19" x14ac:dyDescent="0.25">
      <c r="A25" s="3">
        <v>1026</v>
      </c>
      <c r="B25" t="s">
        <v>60</v>
      </c>
      <c r="C25" t="str">
        <f>PROPER(TRIM(Table1[[#This Row],[Name]]))</f>
        <v>Nancy Martinez</v>
      </c>
      <c r="D25">
        <v>29</v>
      </c>
      <c r="E25">
        <f>IF(OR(Table1[[#This Row],[Age]]&lt; 0, Table1[[#This Row],[Age]]&gt;100), " ", Table1[[#This Row],[Age]])</f>
        <v>29</v>
      </c>
      <c r="F25" t="s">
        <v>37</v>
      </c>
      <c r="G25">
        <v>73000</v>
      </c>
      <c r="H25">
        <f>IF(OR(Table1[[#This Row],[Salary]]&lt;10000, Table1[[#This Row],[Salary]]&gt;200000), " ", Table1[[#This Row],[Salary]])</f>
        <v>73000</v>
      </c>
      <c r="I25">
        <v>5</v>
      </c>
      <c r="J25">
        <f>IF(OR(Table1[[#This Row],[Years_of_Experience]]&lt;0, Table1[[#This Row],[Years_of_Experience]]&gt;40), " ",IF(Table1[[#This Row],[Years_of_Experience]]="N/A", " ", Table1[[#This Row],[Years_of_Experience]]))</f>
        <v>5</v>
      </c>
      <c r="K25">
        <v>5</v>
      </c>
      <c r="L25" s="4">
        <f>IF(OR(Table1[[#This Row],[Performance_Score]]&lt;1, Table1[[#This Row],[Performance_Score]]&gt;5), " ", IF(Table1[[#This Row],[Performance_Score]]="N/A", " ", Table1[[#This Row],[Performance_Score]]))</f>
        <v>5</v>
      </c>
      <c r="M25" t="s">
        <v>12</v>
      </c>
      <c r="N25" t="str">
        <f>PROPER(TRIM(Table1[[#This Row],[City]]))</f>
        <v>Dhaka</v>
      </c>
      <c r="O25" s="1">
        <v>44308</v>
      </c>
      <c r="P25" s="1">
        <f ca="1">IF(Table1[[#This Row],[Join_Date]]&gt;TODAY(), " ",Table1[[#This Row],[Join_Date]])</f>
        <v>44308</v>
      </c>
      <c r="Q25" s="3" t="s">
        <v>35</v>
      </c>
      <c r="R25" t="str">
        <f>PROPER(TRIM(Table1[[#This Row],[Remote_Work]]))</f>
        <v>No</v>
      </c>
      <c r="S25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False</v>
      </c>
    </row>
    <row r="26" spans="1:19" x14ac:dyDescent="0.25">
      <c r="A26" s="3">
        <v>1027</v>
      </c>
      <c r="B26" t="s">
        <v>61</v>
      </c>
      <c r="C26" t="str">
        <f>PROPER(TRIM(Table1[[#This Row],[Name]]))</f>
        <v>Christopher Lee</v>
      </c>
      <c r="D26">
        <v>33</v>
      </c>
      <c r="E26">
        <f>IF(OR(Table1[[#This Row],[Age]]&lt; 0, Table1[[#This Row],[Age]]&gt;100), " ", Table1[[#This Row],[Age]])</f>
        <v>33</v>
      </c>
      <c r="F26" t="s">
        <v>11</v>
      </c>
      <c r="G26">
        <v>84000</v>
      </c>
      <c r="H26">
        <f>IF(OR(Table1[[#This Row],[Salary]]&lt;10000, Table1[[#This Row],[Salary]]&gt;200000), " ", Table1[[#This Row],[Salary]])</f>
        <v>84000</v>
      </c>
      <c r="I26">
        <v>7</v>
      </c>
      <c r="J26">
        <f>IF(OR(Table1[[#This Row],[Years_of_Experience]]&lt;0, Table1[[#This Row],[Years_of_Experience]]&gt;40), " ",IF(Table1[[#This Row],[Years_of_Experience]]="N/A", " ", Table1[[#This Row],[Years_of_Experience]]))</f>
        <v>7</v>
      </c>
      <c r="K26">
        <v>0</v>
      </c>
      <c r="L26" s="4" t="str">
        <f>IF(OR(Table1[[#This Row],[Performance_Score]]&lt;1, Table1[[#This Row],[Performance_Score]]&gt;5), " ", IF(Table1[[#This Row],[Performance_Score]]="N/A", " ", Table1[[#This Row],[Performance_Score]]))</f>
        <v xml:space="preserve"> </v>
      </c>
      <c r="M26" t="s">
        <v>26</v>
      </c>
      <c r="N26" t="str">
        <f>PROPER(TRIM(Table1[[#This Row],[City]]))</f>
        <v>Dhaka</v>
      </c>
      <c r="O26" s="1">
        <v>43684</v>
      </c>
      <c r="P26" s="1">
        <f ca="1">IF(Table1[[#This Row],[Join_Date]]&gt;TODAY(), " ",Table1[[#This Row],[Join_Date]])</f>
        <v>43684</v>
      </c>
      <c r="Q26" s="3" t="s">
        <v>62</v>
      </c>
      <c r="R26" t="str">
        <f>PROPER(TRIM(Table1[[#This Row],[Remote_Work]]))</f>
        <v>Yes</v>
      </c>
      <c r="S26" s="3" t="str">
        <f>IF(OR(TRIM(Table1[[#This Row],[Remote_Work2]])="Yes", TRIM(Table1[[#This Row],[Remote_Work2]])="y", TRIM(Table1[[#This Row],[Remote_Work2]])="1", TRIM(Table1[[#This Row],[Remote_Work2]])="True"), "True", IF(OR(TRIM(Table1[[#This Row],[Remote_Work2]])="No", TRIM(Table1[[#This Row],[Remote_Work2]])="N", TRIM(Table1[[#This Row],[Remote_Work2]])="0", TRIM(Table1[[#This Row],[Remote_Work2]])="False"), "False", "Unknown"))</f>
        <v>True</v>
      </c>
    </row>
  </sheetData>
  <phoneticPr fontId="18" type="noConversion"/>
  <dataValidations count="4">
    <dataValidation type="custom" allowBlank="1" showInputMessage="1" showErrorMessage="1" sqref="L1:L1048576" xr:uid="{F9AC3C31-1C53-4795-A2AB-7CF46B86E5DF}">
      <formula1>OR(L2=" ", AND(L2&gt;=1, L2&lt;=5))</formula1>
    </dataValidation>
    <dataValidation type="custom" allowBlank="1" showInputMessage="1" showErrorMessage="1" sqref="J1:J1048576" xr:uid="{4754F9C4-8761-49D7-827E-F09126364FD8}">
      <formula1>OR(J2=" ", AND(J2&gt;=0, J2&lt;=40))</formula1>
    </dataValidation>
    <dataValidation type="custom" allowBlank="1" showInputMessage="1" showErrorMessage="1" sqref="H1:H1048576" xr:uid="{307416CE-5D57-41DF-8B23-74745152B6F8}">
      <formula1>OR(H2=" ", AND(H2&gt;=10000, H2&lt;=200000))</formula1>
    </dataValidation>
    <dataValidation type="custom" allowBlank="1" showInputMessage="1" showErrorMessage="1" sqref="E1:E1048576" xr:uid="{65944E60-D48C-4542-900C-177451A3F04B}">
      <formula1>OR(E2=" ", AND(E2&gt;=18, E2&lt;=65))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FCFC-9441-4555-91E1-D31B646549B4}">
  <sheetPr>
    <tabColor rgb="FFFF0000"/>
  </sheetPr>
  <dimension ref="A1:J31"/>
  <sheetViews>
    <sheetView workbookViewId="0">
      <selection activeCell="AC45" sqref="AC45"/>
    </sheetView>
  </sheetViews>
  <sheetFormatPr defaultRowHeight="15" x14ac:dyDescent="0.25"/>
  <cols>
    <col min="1" max="1" width="12.7109375" bestFit="1" customWidth="1"/>
    <col min="2" max="2" width="17.7109375" bestFit="1" customWidth="1"/>
    <col min="3" max="3" width="7.7109375" bestFit="1" customWidth="1"/>
    <col min="4" max="4" width="14.7109375" bestFit="1" customWidth="1"/>
    <col min="5" max="5" width="11" bestFit="1" customWidth="1"/>
    <col min="6" max="6" width="16.7109375" bestFit="1" customWidth="1"/>
    <col min="7" max="7" width="18.5703125" bestFit="1" customWidth="1"/>
    <col min="8" max="8" width="10.5703125" bestFit="1" customWidth="1"/>
    <col min="9" max="9" width="11.28515625" bestFit="1" customWidth="1"/>
    <col min="10" max="10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>
        <v>28</v>
      </c>
      <c r="D2" t="s">
        <v>11</v>
      </c>
      <c r="E2">
        <v>75000</v>
      </c>
      <c r="F2">
        <v>3</v>
      </c>
      <c r="G2">
        <v>4</v>
      </c>
      <c r="H2" t="s">
        <v>12</v>
      </c>
      <c r="I2" s="1">
        <v>43845</v>
      </c>
      <c r="J2" t="s">
        <v>13</v>
      </c>
    </row>
    <row r="3" spans="1:10" x14ac:dyDescent="0.25">
      <c r="A3">
        <v>1002</v>
      </c>
      <c r="B3" t="s">
        <v>14</v>
      </c>
      <c r="C3">
        <v>32</v>
      </c>
      <c r="D3" t="s">
        <v>15</v>
      </c>
      <c r="E3">
        <v>85000</v>
      </c>
      <c r="F3">
        <v>5</v>
      </c>
      <c r="G3">
        <v>5</v>
      </c>
      <c r="H3" t="s">
        <v>16</v>
      </c>
      <c r="I3" t="s">
        <v>17</v>
      </c>
      <c r="J3" t="s">
        <v>18</v>
      </c>
    </row>
    <row r="4" spans="1:10" x14ac:dyDescent="0.25">
      <c r="A4">
        <v>1003</v>
      </c>
      <c r="B4" t="s">
        <v>19</v>
      </c>
      <c r="C4">
        <v>-5</v>
      </c>
      <c r="D4" t="s">
        <v>20</v>
      </c>
      <c r="E4">
        <v>50000</v>
      </c>
      <c r="F4">
        <v>2</v>
      </c>
      <c r="G4">
        <v>8</v>
      </c>
      <c r="H4" t="s">
        <v>12</v>
      </c>
      <c r="I4" t="s">
        <v>21</v>
      </c>
      <c r="J4" t="s">
        <v>22</v>
      </c>
    </row>
    <row r="5" spans="1:10" x14ac:dyDescent="0.25">
      <c r="A5">
        <v>1001</v>
      </c>
      <c r="B5" t="s">
        <v>10</v>
      </c>
      <c r="C5">
        <v>28</v>
      </c>
      <c r="D5" t="s">
        <v>11</v>
      </c>
      <c r="E5">
        <v>75000</v>
      </c>
      <c r="F5">
        <v>3</v>
      </c>
      <c r="G5">
        <v>4</v>
      </c>
      <c r="H5" t="s">
        <v>12</v>
      </c>
      <c r="I5" s="1">
        <v>43845</v>
      </c>
      <c r="J5" t="s">
        <v>13</v>
      </c>
    </row>
    <row r="6" spans="1:10" x14ac:dyDescent="0.25">
      <c r="A6">
        <v>1004</v>
      </c>
      <c r="B6" t="s">
        <v>23</v>
      </c>
      <c r="C6" t="s">
        <v>24</v>
      </c>
      <c r="D6" t="s">
        <v>25</v>
      </c>
      <c r="E6" s="2">
        <v>120000</v>
      </c>
      <c r="F6">
        <v>7</v>
      </c>
      <c r="G6">
        <v>4</v>
      </c>
      <c r="H6" t="s">
        <v>26</v>
      </c>
      <c r="I6" s="1">
        <v>44265</v>
      </c>
      <c r="J6" t="b">
        <v>1</v>
      </c>
    </row>
    <row r="7" spans="1:10" x14ac:dyDescent="0.25">
      <c r="A7">
        <v>1005</v>
      </c>
      <c r="B7" t="s">
        <v>27</v>
      </c>
      <c r="C7">
        <v>45</v>
      </c>
      <c r="D7" t="s">
        <v>11</v>
      </c>
      <c r="E7">
        <v>1000000000</v>
      </c>
      <c r="F7">
        <v>25</v>
      </c>
      <c r="G7">
        <v>3</v>
      </c>
      <c r="H7" t="s">
        <v>28</v>
      </c>
      <c r="I7" s="1">
        <v>43301</v>
      </c>
      <c r="J7">
        <v>1</v>
      </c>
    </row>
    <row r="8" spans="1:10" x14ac:dyDescent="0.25">
      <c r="A8">
        <v>1006</v>
      </c>
      <c r="B8" t="s">
        <v>29</v>
      </c>
      <c r="C8">
        <v>150</v>
      </c>
      <c r="D8" t="s">
        <v>15</v>
      </c>
      <c r="F8">
        <v>15</v>
      </c>
      <c r="G8">
        <v>4</v>
      </c>
      <c r="H8" t="s">
        <v>30</v>
      </c>
      <c r="I8" s="1">
        <v>47618</v>
      </c>
      <c r="J8" t="s">
        <v>18</v>
      </c>
    </row>
    <row r="9" spans="1:10" x14ac:dyDescent="0.25">
      <c r="A9">
        <v>1007</v>
      </c>
      <c r="B9" t="s">
        <v>31</v>
      </c>
      <c r="C9">
        <v>29</v>
      </c>
      <c r="D9" t="s">
        <v>32</v>
      </c>
      <c r="E9">
        <v>65000</v>
      </c>
      <c r="F9">
        <v>-2</v>
      </c>
      <c r="G9">
        <v>5</v>
      </c>
      <c r="H9" t="s">
        <v>16</v>
      </c>
      <c r="I9" s="1">
        <v>44562</v>
      </c>
      <c r="J9" t="s">
        <v>33</v>
      </c>
    </row>
    <row r="10" spans="1:10" x14ac:dyDescent="0.25">
      <c r="A10">
        <v>1008</v>
      </c>
      <c r="B10" t="s">
        <v>34</v>
      </c>
      <c r="C10">
        <v>26</v>
      </c>
      <c r="D10" t="s">
        <v>11</v>
      </c>
      <c r="E10">
        <v>70000</v>
      </c>
      <c r="F10">
        <v>4</v>
      </c>
      <c r="G10">
        <v>4</v>
      </c>
      <c r="H10" t="s">
        <v>12</v>
      </c>
      <c r="I10" s="1">
        <v>44109</v>
      </c>
      <c r="J10" t="s">
        <v>35</v>
      </c>
    </row>
    <row r="11" spans="1:10" x14ac:dyDescent="0.25">
      <c r="A11">
        <v>1009</v>
      </c>
      <c r="B11" t="s">
        <v>36</v>
      </c>
      <c r="C11">
        <v>35</v>
      </c>
      <c r="D11" t="s">
        <v>37</v>
      </c>
      <c r="E11">
        <v>90000</v>
      </c>
      <c r="F11">
        <v>8</v>
      </c>
      <c r="G11">
        <v>0</v>
      </c>
      <c r="H11" t="s">
        <v>28</v>
      </c>
      <c r="I11" s="1">
        <v>43628</v>
      </c>
      <c r="J11" t="s">
        <v>38</v>
      </c>
    </row>
    <row r="12" spans="1:10" x14ac:dyDescent="0.25">
      <c r="A12">
        <v>1010</v>
      </c>
      <c r="B12" t="s">
        <v>39</v>
      </c>
      <c r="C12">
        <v>42</v>
      </c>
      <c r="D12" t="s">
        <v>20</v>
      </c>
      <c r="E12">
        <v>95000</v>
      </c>
      <c r="F12">
        <v>12</v>
      </c>
      <c r="G12">
        <v>5</v>
      </c>
      <c r="H12" t="s">
        <v>30</v>
      </c>
      <c r="I12" s="1">
        <v>42338</v>
      </c>
      <c r="J12" t="s">
        <v>40</v>
      </c>
    </row>
    <row r="13" spans="1:10" x14ac:dyDescent="0.25">
      <c r="A13">
        <v>1002</v>
      </c>
      <c r="B13" t="s">
        <v>14</v>
      </c>
      <c r="C13">
        <v>32</v>
      </c>
      <c r="D13" t="s">
        <v>15</v>
      </c>
      <c r="E13">
        <v>85000</v>
      </c>
      <c r="F13">
        <v>5</v>
      </c>
      <c r="G13">
        <v>5</v>
      </c>
      <c r="H13" t="s">
        <v>16</v>
      </c>
      <c r="I13" t="s">
        <v>17</v>
      </c>
      <c r="J13" t="s">
        <v>18</v>
      </c>
    </row>
    <row r="14" spans="1:10" x14ac:dyDescent="0.25">
      <c r="A14">
        <v>1011</v>
      </c>
      <c r="B14" t="s">
        <v>41</v>
      </c>
      <c r="C14" t="s">
        <v>42</v>
      </c>
      <c r="D14" t="s">
        <v>25</v>
      </c>
      <c r="E14">
        <v>60000</v>
      </c>
      <c r="G14">
        <v>3</v>
      </c>
      <c r="H14" t="s">
        <v>26</v>
      </c>
      <c r="I14" t="s">
        <v>43</v>
      </c>
      <c r="J14" t="b">
        <v>0</v>
      </c>
    </row>
    <row r="15" spans="1:10" x14ac:dyDescent="0.25">
      <c r="A15">
        <v>1012</v>
      </c>
      <c r="B15" t="s">
        <v>44</v>
      </c>
      <c r="C15">
        <v>38</v>
      </c>
      <c r="D15" t="s">
        <v>11</v>
      </c>
      <c r="E15">
        <v>88000</v>
      </c>
      <c r="F15">
        <v>10</v>
      </c>
      <c r="G15">
        <v>4</v>
      </c>
      <c r="H15" t="s">
        <v>12</v>
      </c>
      <c r="I15" s="1">
        <v>42969</v>
      </c>
      <c r="J15">
        <v>0</v>
      </c>
    </row>
    <row r="16" spans="1:10" x14ac:dyDescent="0.25">
      <c r="A16">
        <v>1013</v>
      </c>
      <c r="B16" t="s">
        <v>45</v>
      </c>
      <c r="C16">
        <v>29</v>
      </c>
      <c r="D16" t="s">
        <v>15</v>
      </c>
      <c r="E16">
        <v>72000</v>
      </c>
      <c r="F16">
        <v>5</v>
      </c>
      <c r="G16">
        <v>4</v>
      </c>
      <c r="H16" t="s">
        <v>16</v>
      </c>
      <c r="I16" s="1">
        <v>43875</v>
      </c>
      <c r="J16" t="s">
        <v>18</v>
      </c>
    </row>
    <row r="17" spans="1:10" x14ac:dyDescent="0.25">
      <c r="A17">
        <v>1014</v>
      </c>
      <c r="B17" t="s">
        <v>46</v>
      </c>
      <c r="C17">
        <v>31</v>
      </c>
      <c r="E17">
        <v>78000</v>
      </c>
      <c r="F17">
        <v>6</v>
      </c>
      <c r="G17">
        <v>5</v>
      </c>
      <c r="H17" t="s">
        <v>28</v>
      </c>
      <c r="I17" t="s">
        <v>47</v>
      </c>
      <c r="J17" t="s">
        <v>13</v>
      </c>
    </row>
    <row r="18" spans="1:10" x14ac:dyDescent="0.25">
      <c r="A18">
        <v>1015</v>
      </c>
      <c r="B18" t="s">
        <v>48</v>
      </c>
      <c r="C18">
        <v>44</v>
      </c>
      <c r="D18" t="s">
        <v>11</v>
      </c>
      <c r="E18">
        <v>110000</v>
      </c>
      <c r="F18">
        <v>50</v>
      </c>
      <c r="G18">
        <v>3</v>
      </c>
      <c r="H18" t="s">
        <v>30</v>
      </c>
      <c r="I18" s="1">
        <v>42465</v>
      </c>
      <c r="J18" t="b">
        <v>1</v>
      </c>
    </row>
    <row r="19" spans="1:10" x14ac:dyDescent="0.25">
      <c r="A19">
        <v>1016</v>
      </c>
      <c r="B19" t="s">
        <v>49</v>
      </c>
      <c r="C19">
        <v>27</v>
      </c>
      <c r="D19" t="s">
        <v>37</v>
      </c>
      <c r="E19">
        <v>67000</v>
      </c>
      <c r="F19">
        <v>4</v>
      </c>
      <c r="G19">
        <v>10</v>
      </c>
      <c r="H19" t="s">
        <v>12</v>
      </c>
      <c r="I19" s="1">
        <v>44395</v>
      </c>
      <c r="J19" t="s">
        <v>50</v>
      </c>
    </row>
    <row r="20" spans="1:10" x14ac:dyDescent="0.25">
      <c r="A20">
        <v>1003</v>
      </c>
      <c r="B20" t="s">
        <v>19</v>
      </c>
      <c r="C20">
        <v>-5</v>
      </c>
      <c r="D20" t="s">
        <v>20</v>
      </c>
      <c r="E20">
        <v>50000</v>
      </c>
      <c r="F20">
        <v>2</v>
      </c>
      <c r="G20">
        <v>8</v>
      </c>
      <c r="H20" t="s">
        <v>12</v>
      </c>
      <c r="I20" t="s">
        <v>21</v>
      </c>
      <c r="J20" t="s">
        <v>22</v>
      </c>
    </row>
    <row r="21" spans="1:10" x14ac:dyDescent="0.25">
      <c r="A21">
        <v>1017</v>
      </c>
      <c r="B21" t="s">
        <v>51</v>
      </c>
      <c r="C21">
        <v>36</v>
      </c>
      <c r="D21" t="s">
        <v>20</v>
      </c>
      <c r="E21">
        <v>10</v>
      </c>
      <c r="F21">
        <v>9</v>
      </c>
      <c r="G21">
        <v>4</v>
      </c>
      <c r="H21" t="s">
        <v>26</v>
      </c>
      <c r="I21" s="1">
        <v>43368</v>
      </c>
      <c r="J21" t="s">
        <v>35</v>
      </c>
    </row>
    <row r="22" spans="1:10" x14ac:dyDescent="0.25">
      <c r="A22">
        <v>1018</v>
      </c>
      <c r="B22" t="s">
        <v>52</v>
      </c>
      <c r="C22">
        <v>33</v>
      </c>
      <c r="D22" t="s">
        <v>25</v>
      </c>
      <c r="E22">
        <v>82000</v>
      </c>
      <c r="F22">
        <v>7</v>
      </c>
      <c r="G22">
        <v>4</v>
      </c>
      <c r="H22" t="s">
        <v>16</v>
      </c>
      <c r="I22" t="s">
        <v>53</v>
      </c>
      <c r="J22" t="s">
        <v>18</v>
      </c>
    </row>
    <row r="23" spans="1:10" x14ac:dyDescent="0.25">
      <c r="A23">
        <v>1019</v>
      </c>
      <c r="B23" t="s">
        <v>54</v>
      </c>
      <c r="C23">
        <v>29</v>
      </c>
      <c r="D23" t="s">
        <v>11</v>
      </c>
      <c r="E23">
        <v>76000</v>
      </c>
      <c r="F23">
        <v>5</v>
      </c>
      <c r="H23" t="s">
        <v>28</v>
      </c>
      <c r="I23" s="1">
        <v>43981</v>
      </c>
      <c r="J23" t="s">
        <v>13</v>
      </c>
    </row>
    <row r="24" spans="1:10" x14ac:dyDescent="0.25">
      <c r="A24">
        <v>1020</v>
      </c>
      <c r="B24" t="s">
        <v>55</v>
      </c>
      <c r="C24">
        <v>40</v>
      </c>
      <c r="D24" t="s">
        <v>15</v>
      </c>
      <c r="E24">
        <v>92000</v>
      </c>
      <c r="F24">
        <v>11</v>
      </c>
      <c r="G24">
        <v>5</v>
      </c>
      <c r="H24" t="s">
        <v>30</v>
      </c>
      <c r="I24" s="1">
        <v>42714</v>
      </c>
      <c r="J24">
        <v>1</v>
      </c>
    </row>
    <row r="25" spans="1:10" x14ac:dyDescent="0.25">
      <c r="A25">
        <v>1021</v>
      </c>
      <c r="B25" t="s">
        <v>56</v>
      </c>
      <c r="C25">
        <v>28</v>
      </c>
      <c r="D25" t="s">
        <v>11</v>
      </c>
      <c r="E25">
        <v>74000</v>
      </c>
      <c r="F25">
        <v>4</v>
      </c>
      <c r="G25">
        <v>3</v>
      </c>
      <c r="H25" t="s">
        <v>12</v>
      </c>
      <c r="I25" s="1">
        <v>44216</v>
      </c>
      <c r="J25" t="s">
        <v>38</v>
      </c>
    </row>
    <row r="26" spans="1:10" x14ac:dyDescent="0.25">
      <c r="A26">
        <v>1022</v>
      </c>
      <c r="B26" t="s">
        <v>57</v>
      </c>
      <c r="C26">
        <v>35</v>
      </c>
      <c r="D26" t="s">
        <v>37</v>
      </c>
      <c r="E26">
        <v>86000</v>
      </c>
      <c r="F26">
        <v>8</v>
      </c>
      <c r="G26">
        <v>4</v>
      </c>
      <c r="H26" t="s">
        <v>26</v>
      </c>
      <c r="I26" t="s">
        <v>58</v>
      </c>
      <c r="J26" t="s">
        <v>13</v>
      </c>
    </row>
    <row r="27" spans="1:10" x14ac:dyDescent="0.25">
      <c r="A27">
        <v>1025</v>
      </c>
      <c r="B27" t="s">
        <v>59</v>
      </c>
      <c r="C27">
        <v>37</v>
      </c>
      <c r="D27" t="s">
        <v>11</v>
      </c>
      <c r="E27">
        <v>50000</v>
      </c>
      <c r="F27">
        <v>10</v>
      </c>
      <c r="G27">
        <v>4</v>
      </c>
      <c r="H27" t="s">
        <v>30</v>
      </c>
      <c r="I27" s="1">
        <v>43171</v>
      </c>
      <c r="J27" t="s">
        <v>18</v>
      </c>
    </row>
    <row r="28" spans="1:10" x14ac:dyDescent="0.25">
      <c r="A28">
        <v>1005</v>
      </c>
      <c r="B28" t="s">
        <v>27</v>
      </c>
      <c r="C28">
        <v>45</v>
      </c>
      <c r="D28" t="s">
        <v>11</v>
      </c>
      <c r="E28">
        <v>1000000000</v>
      </c>
      <c r="F28">
        <v>25</v>
      </c>
      <c r="G28">
        <v>3</v>
      </c>
      <c r="H28" t="s">
        <v>28</v>
      </c>
      <c r="I28" s="1">
        <v>43301</v>
      </c>
      <c r="J28">
        <v>1</v>
      </c>
    </row>
    <row r="29" spans="1:10" x14ac:dyDescent="0.25">
      <c r="A29">
        <v>1026</v>
      </c>
      <c r="B29" t="s">
        <v>60</v>
      </c>
      <c r="C29">
        <v>29</v>
      </c>
      <c r="D29" t="s">
        <v>15</v>
      </c>
      <c r="E29">
        <v>73000</v>
      </c>
      <c r="F29">
        <v>5</v>
      </c>
      <c r="G29">
        <v>5</v>
      </c>
      <c r="H29" t="s">
        <v>12</v>
      </c>
      <c r="I29" s="1">
        <v>44308</v>
      </c>
      <c r="J29" t="s">
        <v>35</v>
      </c>
    </row>
    <row r="30" spans="1:10" x14ac:dyDescent="0.25">
      <c r="A30">
        <v>1027</v>
      </c>
      <c r="B30" t="s">
        <v>61</v>
      </c>
      <c r="C30">
        <v>33</v>
      </c>
      <c r="D30" t="s">
        <v>11</v>
      </c>
      <c r="E30">
        <v>84000</v>
      </c>
      <c r="F30">
        <v>7</v>
      </c>
      <c r="G30">
        <v>0</v>
      </c>
      <c r="H30" t="s">
        <v>26</v>
      </c>
      <c r="I30" s="1">
        <v>43654</v>
      </c>
      <c r="J30" t="s">
        <v>62</v>
      </c>
    </row>
    <row r="31" spans="1:10" x14ac:dyDescent="0.25">
      <c r="A31">
        <v>1007</v>
      </c>
      <c r="B31" t="s">
        <v>31</v>
      </c>
      <c r="C31">
        <v>29</v>
      </c>
      <c r="D31" t="s">
        <v>32</v>
      </c>
      <c r="E31">
        <v>65000</v>
      </c>
      <c r="F31">
        <v>-2</v>
      </c>
      <c r="G31">
        <v>5</v>
      </c>
      <c r="H31" t="s">
        <v>16</v>
      </c>
      <c r="I31" s="1">
        <v>44562</v>
      </c>
      <c r="J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01_README</vt:lpstr>
      <vt:lpstr>02_SUMMARY</vt:lpstr>
      <vt:lpstr>03_CLEANED_DATA</vt:lpstr>
      <vt:lpstr>04_WORKINGS</vt:lpstr>
      <vt:lpstr>05_RAW_DATA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winnifrednze@gmail.com</cp:lastModifiedBy>
  <dcterms:created xsi:type="dcterms:W3CDTF">2026-03-29T18:54:53Z</dcterms:created>
  <dcterms:modified xsi:type="dcterms:W3CDTF">2026-04-20T22:02:04Z</dcterms:modified>
</cp:coreProperties>
</file>