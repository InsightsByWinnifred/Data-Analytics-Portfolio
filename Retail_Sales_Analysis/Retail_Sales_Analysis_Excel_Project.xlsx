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slicers/slicer1.xml" ContentType="application/vnd.ms-excel.slicer+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2.xml" ContentType="application/vnd.ms-excel.slicer+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chart24.xml" ContentType="application/vnd.openxmlformats-officedocument.drawingml.chart+xml"/>
  <Override PartName="/xl/charts/style21.xml" ContentType="application/vnd.ms-office.chartstyle+xml"/>
  <Override PartName="/xl/charts/colors21.xml" ContentType="application/vnd.ms-office.chartcolorstyle+xml"/>
  <Override PartName="/xl/charts/chart2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hidePivotFieldList="1" defaultThemeVersion="166925"/>
  <mc:AlternateContent xmlns:mc="http://schemas.openxmlformats.org/markup-compatibility/2006">
    <mc:Choice Requires="x15">
      <x15ac:absPath xmlns:x15ac="http://schemas.microsoft.com/office/spreadsheetml/2010/11/ac" url="C:\Users\DELL\Desktop\Done data analytics projects\"/>
    </mc:Choice>
  </mc:AlternateContent>
  <xr:revisionPtr revIDLastSave="0" documentId="13_ncr:1_{69B6D5CB-BF70-469C-A8DF-05AD319D2D6E}" xr6:coauthVersionLast="47" xr6:coauthVersionMax="47" xr10:uidLastSave="{00000000-0000-0000-0000-000000000000}"/>
  <bookViews>
    <workbookView xWindow="0" yWindow="0" windowWidth="20490" windowHeight="10920" activeTab="6" xr2:uid="{00000000-000D-0000-FFFF-FFFF00000000}"/>
  </bookViews>
  <sheets>
    <sheet name="01_README" sheetId="12" r:id="rId1"/>
    <sheet name="02_RAW_DATA" sheetId="1" state="hidden" r:id="rId2"/>
    <sheet name="03_WORKINGS" sheetId="7" state="hidden" r:id="rId3"/>
    <sheet name="04_CLEANED_DATA" sheetId="8" state="hidden" r:id="rId4"/>
    <sheet name="05_PIVOT_TABLES" sheetId="9" state="hidden" r:id="rId5"/>
    <sheet name="06_DASHBOARD_OVERVIEW" sheetId="13" r:id="rId6"/>
    <sheet name="07_DASHBOAD_DEEP_DIVE" sheetId="14" r:id="rId7"/>
  </sheets>
  <definedNames>
    <definedName name="Slicer_Age_Group">#N/A</definedName>
    <definedName name="Slicer_Gender">#N/A</definedName>
    <definedName name="Slicer_Month_Name">#N/A</definedName>
    <definedName name="Slicer_Product_Category">#N/A</definedName>
    <definedName name="Slicer_Year">#N/A</definedName>
  </definedNames>
  <calcPr calcId="18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Lst>
</workbook>
</file>

<file path=xl/calcChain.xml><?xml version="1.0" encoding="utf-8"?>
<calcChain xmlns="http://schemas.openxmlformats.org/spreadsheetml/2006/main">
  <c r="K7" i="13" l="1"/>
  <c r="BG5" i="9"/>
  <c r="BG4" i="9"/>
  <c r="BG3" i="9"/>
  <c r="L1001" i="7"/>
  <c r="I1001" i="7"/>
  <c r="E1001" i="7"/>
  <c r="D1001" i="7"/>
  <c r="C1001" i="7"/>
  <c r="L1000" i="7"/>
  <c r="I1000" i="7"/>
  <c r="E1000" i="7"/>
  <c r="D1000" i="7"/>
  <c r="C1000" i="7"/>
  <c r="L999" i="7"/>
  <c r="I999" i="7"/>
  <c r="E999" i="7"/>
  <c r="D999" i="7"/>
  <c r="C999" i="7"/>
  <c r="L998" i="7"/>
  <c r="I998" i="7"/>
  <c r="E998" i="7"/>
  <c r="D998" i="7"/>
  <c r="C998" i="7"/>
  <c r="L997" i="7"/>
  <c r="I997" i="7"/>
  <c r="E997" i="7"/>
  <c r="D997" i="7"/>
  <c r="C997" i="7"/>
  <c r="L996" i="7"/>
  <c r="I996" i="7"/>
  <c r="E996" i="7"/>
  <c r="D996" i="7"/>
  <c r="C996" i="7"/>
  <c r="L995" i="7"/>
  <c r="I995" i="7"/>
  <c r="E995" i="7"/>
  <c r="D995" i="7"/>
  <c r="C995" i="7"/>
  <c r="L994" i="7"/>
  <c r="I994" i="7"/>
  <c r="E994" i="7"/>
  <c r="D994" i="7"/>
  <c r="C994" i="7"/>
  <c r="L993" i="7"/>
  <c r="I993" i="7"/>
  <c r="E993" i="7"/>
  <c r="D993" i="7"/>
  <c r="C993" i="7"/>
  <c r="L992" i="7"/>
  <c r="I992" i="7"/>
  <c r="E992" i="7"/>
  <c r="D992" i="7"/>
  <c r="C992" i="7"/>
  <c r="L991" i="7"/>
  <c r="I991" i="7"/>
  <c r="E991" i="7"/>
  <c r="D991" i="7"/>
  <c r="C991" i="7"/>
  <c r="L990" i="7"/>
  <c r="I990" i="7"/>
  <c r="E990" i="7"/>
  <c r="D990" i="7"/>
  <c r="C990" i="7"/>
  <c r="L989" i="7"/>
  <c r="I989" i="7"/>
  <c r="E989" i="7"/>
  <c r="D989" i="7"/>
  <c r="C989" i="7"/>
  <c r="L988" i="7"/>
  <c r="I988" i="7"/>
  <c r="E988" i="7"/>
  <c r="D988" i="7"/>
  <c r="C988" i="7"/>
  <c r="L987" i="7"/>
  <c r="I987" i="7"/>
  <c r="E987" i="7"/>
  <c r="D987" i="7"/>
  <c r="C987" i="7"/>
  <c r="L986" i="7"/>
  <c r="I986" i="7"/>
  <c r="E986" i="7"/>
  <c r="D986" i="7"/>
  <c r="C986" i="7"/>
  <c r="L985" i="7"/>
  <c r="I985" i="7"/>
  <c r="E985" i="7"/>
  <c r="D985" i="7"/>
  <c r="C985" i="7"/>
  <c r="L984" i="7"/>
  <c r="I984" i="7"/>
  <c r="E984" i="7"/>
  <c r="D984" i="7"/>
  <c r="C984" i="7"/>
  <c r="L983" i="7"/>
  <c r="I983" i="7"/>
  <c r="E983" i="7"/>
  <c r="D983" i="7"/>
  <c r="C983" i="7"/>
  <c r="L982" i="7"/>
  <c r="I982" i="7"/>
  <c r="E982" i="7"/>
  <c r="D982" i="7"/>
  <c r="C982" i="7"/>
  <c r="L981" i="7"/>
  <c r="I981" i="7"/>
  <c r="E981" i="7"/>
  <c r="D981" i="7"/>
  <c r="C981" i="7"/>
  <c r="L980" i="7"/>
  <c r="I980" i="7"/>
  <c r="E980" i="7"/>
  <c r="D980" i="7"/>
  <c r="C980" i="7"/>
  <c r="L979" i="7"/>
  <c r="I979" i="7"/>
  <c r="E979" i="7"/>
  <c r="D979" i="7"/>
  <c r="C979" i="7"/>
  <c r="L978" i="7"/>
  <c r="I978" i="7"/>
  <c r="E978" i="7"/>
  <c r="D978" i="7"/>
  <c r="C978" i="7"/>
  <c r="L977" i="7"/>
  <c r="I977" i="7"/>
  <c r="E977" i="7"/>
  <c r="D977" i="7"/>
  <c r="C977" i="7"/>
  <c r="L976" i="7"/>
  <c r="I976" i="7"/>
  <c r="E976" i="7"/>
  <c r="D976" i="7"/>
  <c r="C976" i="7"/>
  <c r="L975" i="7"/>
  <c r="I975" i="7"/>
  <c r="E975" i="7"/>
  <c r="D975" i="7"/>
  <c r="C975" i="7"/>
  <c r="L974" i="7"/>
  <c r="I974" i="7"/>
  <c r="E974" i="7"/>
  <c r="D974" i="7"/>
  <c r="C974" i="7"/>
  <c r="L973" i="7"/>
  <c r="I973" i="7"/>
  <c r="E973" i="7"/>
  <c r="D973" i="7"/>
  <c r="C973" i="7"/>
  <c r="L972" i="7"/>
  <c r="I972" i="7"/>
  <c r="E972" i="7"/>
  <c r="D972" i="7"/>
  <c r="C972" i="7"/>
  <c r="L971" i="7"/>
  <c r="I971" i="7"/>
  <c r="E971" i="7"/>
  <c r="D971" i="7"/>
  <c r="C971" i="7"/>
  <c r="L970" i="7"/>
  <c r="I970" i="7"/>
  <c r="E970" i="7"/>
  <c r="D970" i="7"/>
  <c r="C970" i="7"/>
  <c r="L969" i="7"/>
  <c r="I969" i="7"/>
  <c r="E969" i="7"/>
  <c r="D969" i="7"/>
  <c r="C969" i="7"/>
  <c r="L968" i="7"/>
  <c r="I968" i="7"/>
  <c r="E968" i="7"/>
  <c r="D968" i="7"/>
  <c r="C968" i="7"/>
  <c r="L967" i="7"/>
  <c r="I967" i="7"/>
  <c r="E967" i="7"/>
  <c r="D967" i="7"/>
  <c r="C967" i="7"/>
  <c r="L966" i="7"/>
  <c r="I966" i="7"/>
  <c r="E966" i="7"/>
  <c r="D966" i="7"/>
  <c r="C966" i="7"/>
  <c r="L965" i="7"/>
  <c r="I965" i="7"/>
  <c r="E965" i="7"/>
  <c r="D965" i="7"/>
  <c r="C965" i="7"/>
  <c r="L964" i="7"/>
  <c r="I964" i="7"/>
  <c r="E964" i="7"/>
  <c r="D964" i="7"/>
  <c r="C964" i="7"/>
  <c r="L963" i="7"/>
  <c r="I963" i="7"/>
  <c r="E963" i="7"/>
  <c r="D963" i="7"/>
  <c r="C963" i="7"/>
  <c r="L962" i="7"/>
  <c r="I962" i="7"/>
  <c r="E962" i="7"/>
  <c r="D962" i="7"/>
  <c r="C962" i="7"/>
  <c r="L961" i="7"/>
  <c r="I961" i="7"/>
  <c r="E961" i="7"/>
  <c r="D961" i="7"/>
  <c r="C961" i="7"/>
  <c r="L960" i="7"/>
  <c r="I960" i="7"/>
  <c r="E960" i="7"/>
  <c r="D960" i="7"/>
  <c r="C960" i="7"/>
  <c r="L959" i="7"/>
  <c r="I959" i="7"/>
  <c r="E959" i="7"/>
  <c r="D959" i="7"/>
  <c r="C959" i="7"/>
  <c r="L958" i="7"/>
  <c r="I958" i="7"/>
  <c r="E958" i="7"/>
  <c r="D958" i="7"/>
  <c r="C958" i="7"/>
  <c r="L957" i="7"/>
  <c r="I957" i="7"/>
  <c r="E957" i="7"/>
  <c r="D957" i="7"/>
  <c r="C957" i="7"/>
  <c r="L956" i="7"/>
  <c r="I956" i="7"/>
  <c r="E956" i="7"/>
  <c r="D956" i="7"/>
  <c r="C956" i="7"/>
  <c r="L955" i="7"/>
  <c r="I955" i="7"/>
  <c r="E955" i="7"/>
  <c r="D955" i="7"/>
  <c r="C955" i="7"/>
  <c r="L954" i="7"/>
  <c r="I954" i="7"/>
  <c r="E954" i="7"/>
  <c r="D954" i="7"/>
  <c r="C954" i="7"/>
  <c r="L953" i="7"/>
  <c r="I953" i="7"/>
  <c r="E953" i="7"/>
  <c r="D953" i="7"/>
  <c r="C953" i="7"/>
  <c r="L952" i="7"/>
  <c r="I952" i="7"/>
  <c r="E952" i="7"/>
  <c r="D952" i="7"/>
  <c r="C952" i="7"/>
  <c r="L951" i="7"/>
  <c r="I951" i="7"/>
  <c r="E951" i="7"/>
  <c r="D951" i="7"/>
  <c r="C951" i="7"/>
  <c r="L950" i="7"/>
  <c r="I950" i="7"/>
  <c r="E950" i="7"/>
  <c r="D950" i="7"/>
  <c r="C950" i="7"/>
  <c r="L949" i="7"/>
  <c r="I949" i="7"/>
  <c r="E949" i="7"/>
  <c r="D949" i="7"/>
  <c r="C949" i="7"/>
  <c r="L948" i="7"/>
  <c r="I948" i="7"/>
  <c r="E948" i="7"/>
  <c r="D948" i="7"/>
  <c r="C948" i="7"/>
  <c r="L947" i="7"/>
  <c r="I947" i="7"/>
  <c r="E947" i="7"/>
  <c r="D947" i="7"/>
  <c r="C947" i="7"/>
  <c r="L946" i="7"/>
  <c r="I946" i="7"/>
  <c r="E946" i="7"/>
  <c r="D946" i="7"/>
  <c r="C946" i="7"/>
  <c r="L945" i="7"/>
  <c r="I945" i="7"/>
  <c r="E945" i="7"/>
  <c r="D945" i="7"/>
  <c r="C945" i="7"/>
  <c r="L944" i="7"/>
  <c r="I944" i="7"/>
  <c r="E944" i="7"/>
  <c r="D944" i="7"/>
  <c r="C944" i="7"/>
  <c r="L943" i="7"/>
  <c r="I943" i="7"/>
  <c r="E943" i="7"/>
  <c r="D943" i="7"/>
  <c r="C943" i="7"/>
  <c r="L942" i="7"/>
  <c r="I942" i="7"/>
  <c r="E942" i="7"/>
  <c r="D942" i="7"/>
  <c r="C942" i="7"/>
  <c r="L941" i="7"/>
  <c r="I941" i="7"/>
  <c r="E941" i="7"/>
  <c r="D941" i="7"/>
  <c r="C941" i="7"/>
  <c r="L940" i="7"/>
  <c r="I940" i="7"/>
  <c r="E940" i="7"/>
  <c r="D940" i="7"/>
  <c r="C940" i="7"/>
  <c r="L939" i="7"/>
  <c r="I939" i="7"/>
  <c r="E939" i="7"/>
  <c r="D939" i="7"/>
  <c r="C939" i="7"/>
  <c r="L938" i="7"/>
  <c r="I938" i="7"/>
  <c r="E938" i="7"/>
  <c r="D938" i="7"/>
  <c r="C938" i="7"/>
  <c r="L937" i="7"/>
  <c r="I937" i="7"/>
  <c r="E937" i="7"/>
  <c r="D937" i="7"/>
  <c r="C937" i="7"/>
  <c r="L936" i="7"/>
  <c r="I936" i="7"/>
  <c r="E936" i="7"/>
  <c r="D936" i="7"/>
  <c r="C936" i="7"/>
  <c r="L935" i="7"/>
  <c r="I935" i="7"/>
  <c r="E935" i="7"/>
  <c r="D935" i="7"/>
  <c r="C935" i="7"/>
  <c r="L934" i="7"/>
  <c r="I934" i="7"/>
  <c r="E934" i="7"/>
  <c r="D934" i="7"/>
  <c r="C934" i="7"/>
  <c r="L933" i="7"/>
  <c r="I933" i="7"/>
  <c r="E933" i="7"/>
  <c r="D933" i="7"/>
  <c r="C933" i="7"/>
  <c r="L932" i="7"/>
  <c r="I932" i="7"/>
  <c r="E932" i="7"/>
  <c r="D932" i="7"/>
  <c r="C932" i="7"/>
  <c r="L931" i="7"/>
  <c r="I931" i="7"/>
  <c r="E931" i="7"/>
  <c r="D931" i="7"/>
  <c r="C931" i="7"/>
  <c r="L930" i="7"/>
  <c r="I930" i="7"/>
  <c r="E930" i="7"/>
  <c r="D930" i="7"/>
  <c r="C930" i="7"/>
  <c r="L929" i="7"/>
  <c r="I929" i="7"/>
  <c r="E929" i="7"/>
  <c r="D929" i="7"/>
  <c r="C929" i="7"/>
  <c r="L928" i="7"/>
  <c r="I928" i="7"/>
  <c r="E928" i="7"/>
  <c r="D928" i="7"/>
  <c r="C928" i="7"/>
  <c r="L927" i="7"/>
  <c r="I927" i="7"/>
  <c r="E927" i="7"/>
  <c r="D927" i="7"/>
  <c r="C927" i="7"/>
  <c r="L926" i="7"/>
  <c r="I926" i="7"/>
  <c r="E926" i="7"/>
  <c r="D926" i="7"/>
  <c r="C926" i="7"/>
  <c r="L925" i="7"/>
  <c r="I925" i="7"/>
  <c r="E925" i="7"/>
  <c r="D925" i="7"/>
  <c r="C925" i="7"/>
  <c r="L924" i="7"/>
  <c r="I924" i="7"/>
  <c r="E924" i="7"/>
  <c r="D924" i="7"/>
  <c r="C924" i="7"/>
  <c r="L923" i="7"/>
  <c r="I923" i="7"/>
  <c r="E923" i="7"/>
  <c r="D923" i="7"/>
  <c r="C923" i="7"/>
  <c r="L922" i="7"/>
  <c r="I922" i="7"/>
  <c r="E922" i="7"/>
  <c r="D922" i="7"/>
  <c r="C922" i="7"/>
  <c r="L921" i="7"/>
  <c r="I921" i="7"/>
  <c r="E921" i="7"/>
  <c r="D921" i="7"/>
  <c r="C921" i="7"/>
  <c r="L920" i="7"/>
  <c r="I920" i="7"/>
  <c r="E920" i="7"/>
  <c r="D920" i="7"/>
  <c r="C920" i="7"/>
  <c r="L919" i="7"/>
  <c r="I919" i="7"/>
  <c r="E919" i="7"/>
  <c r="D919" i="7"/>
  <c r="C919" i="7"/>
  <c r="L918" i="7"/>
  <c r="I918" i="7"/>
  <c r="E918" i="7"/>
  <c r="D918" i="7"/>
  <c r="C918" i="7"/>
  <c r="L917" i="7"/>
  <c r="I917" i="7"/>
  <c r="E917" i="7"/>
  <c r="D917" i="7"/>
  <c r="C917" i="7"/>
  <c r="L916" i="7"/>
  <c r="I916" i="7"/>
  <c r="E916" i="7"/>
  <c r="D916" i="7"/>
  <c r="C916" i="7"/>
  <c r="L915" i="7"/>
  <c r="I915" i="7"/>
  <c r="E915" i="7"/>
  <c r="D915" i="7"/>
  <c r="C915" i="7"/>
  <c r="L914" i="7"/>
  <c r="I914" i="7"/>
  <c r="E914" i="7"/>
  <c r="D914" i="7"/>
  <c r="C914" i="7"/>
  <c r="L913" i="7"/>
  <c r="I913" i="7"/>
  <c r="E913" i="7"/>
  <c r="D913" i="7"/>
  <c r="C913" i="7"/>
  <c r="L912" i="7"/>
  <c r="I912" i="7"/>
  <c r="E912" i="7"/>
  <c r="D912" i="7"/>
  <c r="C912" i="7"/>
  <c r="L911" i="7"/>
  <c r="I911" i="7"/>
  <c r="E911" i="7"/>
  <c r="D911" i="7"/>
  <c r="C911" i="7"/>
  <c r="L910" i="7"/>
  <c r="I910" i="7"/>
  <c r="E910" i="7"/>
  <c r="D910" i="7"/>
  <c r="C910" i="7"/>
  <c r="L909" i="7"/>
  <c r="I909" i="7"/>
  <c r="E909" i="7"/>
  <c r="D909" i="7"/>
  <c r="C909" i="7"/>
  <c r="L908" i="7"/>
  <c r="I908" i="7"/>
  <c r="E908" i="7"/>
  <c r="D908" i="7"/>
  <c r="C908" i="7"/>
  <c r="L907" i="7"/>
  <c r="I907" i="7"/>
  <c r="E907" i="7"/>
  <c r="D907" i="7"/>
  <c r="C907" i="7"/>
  <c r="L906" i="7"/>
  <c r="I906" i="7"/>
  <c r="E906" i="7"/>
  <c r="D906" i="7"/>
  <c r="C906" i="7"/>
  <c r="L905" i="7"/>
  <c r="I905" i="7"/>
  <c r="E905" i="7"/>
  <c r="D905" i="7"/>
  <c r="C905" i="7"/>
  <c r="L904" i="7"/>
  <c r="I904" i="7"/>
  <c r="E904" i="7"/>
  <c r="D904" i="7"/>
  <c r="C904" i="7"/>
  <c r="L903" i="7"/>
  <c r="I903" i="7"/>
  <c r="E903" i="7"/>
  <c r="D903" i="7"/>
  <c r="C903" i="7"/>
  <c r="L902" i="7"/>
  <c r="I902" i="7"/>
  <c r="E902" i="7"/>
  <c r="D902" i="7"/>
  <c r="C902" i="7"/>
  <c r="L901" i="7"/>
  <c r="I901" i="7"/>
  <c r="E901" i="7"/>
  <c r="D901" i="7"/>
  <c r="C901" i="7"/>
  <c r="L900" i="7"/>
  <c r="I900" i="7"/>
  <c r="E900" i="7"/>
  <c r="D900" i="7"/>
  <c r="C900" i="7"/>
  <c r="L899" i="7"/>
  <c r="I899" i="7"/>
  <c r="E899" i="7"/>
  <c r="D899" i="7"/>
  <c r="C899" i="7"/>
  <c r="L898" i="7"/>
  <c r="I898" i="7"/>
  <c r="E898" i="7"/>
  <c r="D898" i="7"/>
  <c r="C898" i="7"/>
  <c r="L897" i="7"/>
  <c r="I897" i="7"/>
  <c r="E897" i="7"/>
  <c r="D897" i="7"/>
  <c r="C897" i="7"/>
  <c r="L896" i="7"/>
  <c r="I896" i="7"/>
  <c r="E896" i="7"/>
  <c r="D896" i="7"/>
  <c r="C896" i="7"/>
  <c r="L895" i="7"/>
  <c r="I895" i="7"/>
  <c r="E895" i="7"/>
  <c r="D895" i="7"/>
  <c r="C895" i="7"/>
  <c r="L894" i="7"/>
  <c r="I894" i="7"/>
  <c r="E894" i="7"/>
  <c r="D894" i="7"/>
  <c r="C894" i="7"/>
  <c r="L893" i="7"/>
  <c r="I893" i="7"/>
  <c r="E893" i="7"/>
  <c r="D893" i="7"/>
  <c r="C893" i="7"/>
  <c r="L892" i="7"/>
  <c r="I892" i="7"/>
  <c r="E892" i="7"/>
  <c r="D892" i="7"/>
  <c r="C892" i="7"/>
  <c r="L891" i="7"/>
  <c r="I891" i="7"/>
  <c r="E891" i="7"/>
  <c r="D891" i="7"/>
  <c r="C891" i="7"/>
  <c r="L890" i="7"/>
  <c r="I890" i="7"/>
  <c r="E890" i="7"/>
  <c r="D890" i="7"/>
  <c r="C890" i="7"/>
  <c r="L889" i="7"/>
  <c r="I889" i="7"/>
  <c r="E889" i="7"/>
  <c r="D889" i="7"/>
  <c r="C889" i="7"/>
  <c r="L888" i="7"/>
  <c r="I888" i="7"/>
  <c r="E888" i="7"/>
  <c r="D888" i="7"/>
  <c r="C888" i="7"/>
  <c r="L887" i="7"/>
  <c r="I887" i="7"/>
  <c r="E887" i="7"/>
  <c r="D887" i="7"/>
  <c r="C887" i="7"/>
  <c r="L886" i="7"/>
  <c r="I886" i="7"/>
  <c r="E886" i="7"/>
  <c r="D886" i="7"/>
  <c r="C886" i="7"/>
  <c r="L885" i="7"/>
  <c r="I885" i="7"/>
  <c r="E885" i="7"/>
  <c r="D885" i="7"/>
  <c r="C885" i="7"/>
  <c r="L884" i="7"/>
  <c r="I884" i="7"/>
  <c r="E884" i="7"/>
  <c r="D884" i="7"/>
  <c r="C884" i="7"/>
  <c r="L883" i="7"/>
  <c r="I883" i="7"/>
  <c r="E883" i="7"/>
  <c r="D883" i="7"/>
  <c r="C883" i="7"/>
  <c r="L882" i="7"/>
  <c r="I882" i="7"/>
  <c r="E882" i="7"/>
  <c r="D882" i="7"/>
  <c r="C882" i="7"/>
  <c r="L881" i="7"/>
  <c r="I881" i="7"/>
  <c r="E881" i="7"/>
  <c r="D881" i="7"/>
  <c r="C881" i="7"/>
  <c r="L880" i="7"/>
  <c r="I880" i="7"/>
  <c r="E880" i="7"/>
  <c r="D880" i="7"/>
  <c r="C880" i="7"/>
  <c r="L879" i="7"/>
  <c r="I879" i="7"/>
  <c r="E879" i="7"/>
  <c r="D879" i="7"/>
  <c r="C879" i="7"/>
  <c r="L878" i="7"/>
  <c r="I878" i="7"/>
  <c r="E878" i="7"/>
  <c r="D878" i="7"/>
  <c r="C878" i="7"/>
  <c r="L877" i="7"/>
  <c r="I877" i="7"/>
  <c r="E877" i="7"/>
  <c r="D877" i="7"/>
  <c r="C877" i="7"/>
  <c r="L876" i="7"/>
  <c r="I876" i="7"/>
  <c r="E876" i="7"/>
  <c r="D876" i="7"/>
  <c r="C876" i="7"/>
  <c r="L875" i="7"/>
  <c r="I875" i="7"/>
  <c r="E875" i="7"/>
  <c r="D875" i="7"/>
  <c r="C875" i="7"/>
  <c r="L874" i="7"/>
  <c r="I874" i="7"/>
  <c r="E874" i="7"/>
  <c r="D874" i="7"/>
  <c r="C874" i="7"/>
  <c r="L873" i="7"/>
  <c r="I873" i="7"/>
  <c r="E873" i="7"/>
  <c r="D873" i="7"/>
  <c r="C873" i="7"/>
  <c r="L872" i="7"/>
  <c r="I872" i="7"/>
  <c r="E872" i="7"/>
  <c r="D872" i="7"/>
  <c r="C872" i="7"/>
  <c r="L871" i="7"/>
  <c r="I871" i="7"/>
  <c r="E871" i="7"/>
  <c r="D871" i="7"/>
  <c r="C871" i="7"/>
  <c r="L870" i="7"/>
  <c r="I870" i="7"/>
  <c r="E870" i="7"/>
  <c r="D870" i="7"/>
  <c r="C870" i="7"/>
  <c r="L869" i="7"/>
  <c r="I869" i="7"/>
  <c r="E869" i="7"/>
  <c r="D869" i="7"/>
  <c r="C869" i="7"/>
  <c r="L868" i="7"/>
  <c r="I868" i="7"/>
  <c r="E868" i="7"/>
  <c r="D868" i="7"/>
  <c r="C868" i="7"/>
  <c r="L867" i="7"/>
  <c r="I867" i="7"/>
  <c r="E867" i="7"/>
  <c r="D867" i="7"/>
  <c r="C867" i="7"/>
  <c r="L866" i="7"/>
  <c r="I866" i="7"/>
  <c r="E866" i="7"/>
  <c r="D866" i="7"/>
  <c r="C866" i="7"/>
  <c r="L865" i="7"/>
  <c r="I865" i="7"/>
  <c r="E865" i="7"/>
  <c r="D865" i="7"/>
  <c r="C865" i="7"/>
  <c r="L864" i="7"/>
  <c r="I864" i="7"/>
  <c r="E864" i="7"/>
  <c r="D864" i="7"/>
  <c r="C864" i="7"/>
  <c r="L863" i="7"/>
  <c r="I863" i="7"/>
  <c r="E863" i="7"/>
  <c r="D863" i="7"/>
  <c r="C863" i="7"/>
  <c r="L862" i="7"/>
  <c r="I862" i="7"/>
  <c r="E862" i="7"/>
  <c r="D862" i="7"/>
  <c r="C862" i="7"/>
  <c r="L861" i="7"/>
  <c r="I861" i="7"/>
  <c r="E861" i="7"/>
  <c r="D861" i="7"/>
  <c r="C861" i="7"/>
  <c r="L860" i="7"/>
  <c r="I860" i="7"/>
  <c r="E860" i="7"/>
  <c r="D860" i="7"/>
  <c r="C860" i="7"/>
  <c r="L859" i="7"/>
  <c r="I859" i="7"/>
  <c r="E859" i="7"/>
  <c r="D859" i="7"/>
  <c r="C859" i="7"/>
  <c r="L858" i="7"/>
  <c r="I858" i="7"/>
  <c r="E858" i="7"/>
  <c r="D858" i="7"/>
  <c r="C858" i="7"/>
  <c r="L857" i="7"/>
  <c r="I857" i="7"/>
  <c r="E857" i="7"/>
  <c r="D857" i="7"/>
  <c r="C857" i="7"/>
  <c r="L856" i="7"/>
  <c r="I856" i="7"/>
  <c r="E856" i="7"/>
  <c r="D856" i="7"/>
  <c r="C856" i="7"/>
  <c r="L855" i="7"/>
  <c r="I855" i="7"/>
  <c r="E855" i="7"/>
  <c r="D855" i="7"/>
  <c r="C855" i="7"/>
  <c r="L854" i="7"/>
  <c r="I854" i="7"/>
  <c r="E854" i="7"/>
  <c r="D854" i="7"/>
  <c r="C854" i="7"/>
  <c r="L853" i="7"/>
  <c r="I853" i="7"/>
  <c r="E853" i="7"/>
  <c r="D853" i="7"/>
  <c r="C853" i="7"/>
  <c r="L852" i="7"/>
  <c r="I852" i="7"/>
  <c r="E852" i="7"/>
  <c r="D852" i="7"/>
  <c r="C852" i="7"/>
  <c r="L851" i="7"/>
  <c r="I851" i="7"/>
  <c r="E851" i="7"/>
  <c r="D851" i="7"/>
  <c r="C851" i="7"/>
  <c r="L850" i="7"/>
  <c r="I850" i="7"/>
  <c r="E850" i="7"/>
  <c r="D850" i="7"/>
  <c r="C850" i="7"/>
  <c r="L849" i="7"/>
  <c r="I849" i="7"/>
  <c r="E849" i="7"/>
  <c r="D849" i="7"/>
  <c r="C849" i="7"/>
  <c r="L848" i="7"/>
  <c r="I848" i="7"/>
  <c r="E848" i="7"/>
  <c r="D848" i="7"/>
  <c r="C848" i="7"/>
  <c r="L847" i="7"/>
  <c r="I847" i="7"/>
  <c r="E847" i="7"/>
  <c r="D847" i="7"/>
  <c r="C847" i="7"/>
  <c r="L846" i="7"/>
  <c r="I846" i="7"/>
  <c r="E846" i="7"/>
  <c r="D846" i="7"/>
  <c r="C846" i="7"/>
  <c r="L845" i="7"/>
  <c r="I845" i="7"/>
  <c r="E845" i="7"/>
  <c r="D845" i="7"/>
  <c r="C845" i="7"/>
  <c r="L844" i="7"/>
  <c r="I844" i="7"/>
  <c r="E844" i="7"/>
  <c r="D844" i="7"/>
  <c r="C844" i="7"/>
  <c r="L843" i="7"/>
  <c r="I843" i="7"/>
  <c r="E843" i="7"/>
  <c r="D843" i="7"/>
  <c r="C843" i="7"/>
  <c r="L842" i="7"/>
  <c r="I842" i="7"/>
  <c r="E842" i="7"/>
  <c r="D842" i="7"/>
  <c r="C842" i="7"/>
  <c r="L841" i="7"/>
  <c r="I841" i="7"/>
  <c r="E841" i="7"/>
  <c r="D841" i="7"/>
  <c r="C841" i="7"/>
  <c r="L840" i="7"/>
  <c r="I840" i="7"/>
  <c r="E840" i="7"/>
  <c r="D840" i="7"/>
  <c r="C840" i="7"/>
  <c r="L839" i="7"/>
  <c r="I839" i="7"/>
  <c r="E839" i="7"/>
  <c r="D839" i="7"/>
  <c r="C839" i="7"/>
  <c r="L838" i="7"/>
  <c r="I838" i="7"/>
  <c r="E838" i="7"/>
  <c r="D838" i="7"/>
  <c r="C838" i="7"/>
  <c r="L837" i="7"/>
  <c r="I837" i="7"/>
  <c r="E837" i="7"/>
  <c r="D837" i="7"/>
  <c r="C837" i="7"/>
  <c r="L836" i="7"/>
  <c r="I836" i="7"/>
  <c r="E836" i="7"/>
  <c r="D836" i="7"/>
  <c r="C836" i="7"/>
  <c r="L835" i="7"/>
  <c r="I835" i="7"/>
  <c r="E835" i="7"/>
  <c r="D835" i="7"/>
  <c r="C835" i="7"/>
  <c r="L834" i="7"/>
  <c r="I834" i="7"/>
  <c r="E834" i="7"/>
  <c r="D834" i="7"/>
  <c r="C834" i="7"/>
  <c r="L833" i="7"/>
  <c r="I833" i="7"/>
  <c r="E833" i="7"/>
  <c r="D833" i="7"/>
  <c r="C833" i="7"/>
  <c r="L832" i="7"/>
  <c r="I832" i="7"/>
  <c r="E832" i="7"/>
  <c r="D832" i="7"/>
  <c r="C832" i="7"/>
  <c r="L831" i="7"/>
  <c r="I831" i="7"/>
  <c r="E831" i="7"/>
  <c r="D831" i="7"/>
  <c r="C831" i="7"/>
  <c r="L830" i="7"/>
  <c r="I830" i="7"/>
  <c r="E830" i="7"/>
  <c r="D830" i="7"/>
  <c r="C830" i="7"/>
  <c r="L829" i="7"/>
  <c r="I829" i="7"/>
  <c r="E829" i="7"/>
  <c r="D829" i="7"/>
  <c r="C829" i="7"/>
  <c r="L828" i="7"/>
  <c r="I828" i="7"/>
  <c r="E828" i="7"/>
  <c r="D828" i="7"/>
  <c r="C828" i="7"/>
  <c r="L827" i="7"/>
  <c r="I827" i="7"/>
  <c r="E827" i="7"/>
  <c r="D827" i="7"/>
  <c r="C827" i="7"/>
  <c r="L826" i="7"/>
  <c r="I826" i="7"/>
  <c r="E826" i="7"/>
  <c r="D826" i="7"/>
  <c r="C826" i="7"/>
  <c r="L825" i="7"/>
  <c r="I825" i="7"/>
  <c r="E825" i="7"/>
  <c r="D825" i="7"/>
  <c r="C825" i="7"/>
  <c r="L824" i="7"/>
  <c r="I824" i="7"/>
  <c r="E824" i="7"/>
  <c r="D824" i="7"/>
  <c r="C824" i="7"/>
  <c r="L823" i="7"/>
  <c r="I823" i="7"/>
  <c r="E823" i="7"/>
  <c r="D823" i="7"/>
  <c r="C823" i="7"/>
  <c r="L822" i="7"/>
  <c r="I822" i="7"/>
  <c r="E822" i="7"/>
  <c r="D822" i="7"/>
  <c r="C822" i="7"/>
  <c r="L821" i="7"/>
  <c r="I821" i="7"/>
  <c r="E821" i="7"/>
  <c r="D821" i="7"/>
  <c r="C821" i="7"/>
  <c r="L820" i="7"/>
  <c r="I820" i="7"/>
  <c r="E820" i="7"/>
  <c r="D820" i="7"/>
  <c r="C820" i="7"/>
  <c r="L819" i="7"/>
  <c r="I819" i="7"/>
  <c r="E819" i="7"/>
  <c r="D819" i="7"/>
  <c r="C819" i="7"/>
  <c r="L818" i="7"/>
  <c r="I818" i="7"/>
  <c r="E818" i="7"/>
  <c r="D818" i="7"/>
  <c r="C818" i="7"/>
  <c r="L817" i="7"/>
  <c r="I817" i="7"/>
  <c r="E817" i="7"/>
  <c r="D817" i="7"/>
  <c r="C817" i="7"/>
  <c r="L816" i="7"/>
  <c r="I816" i="7"/>
  <c r="E816" i="7"/>
  <c r="D816" i="7"/>
  <c r="C816" i="7"/>
  <c r="L815" i="7"/>
  <c r="I815" i="7"/>
  <c r="E815" i="7"/>
  <c r="D815" i="7"/>
  <c r="C815" i="7"/>
  <c r="L814" i="7"/>
  <c r="I814" i="7"/>
  <c r="E814" i="7"/>
  <c r="D814" i="7"/>
  <c r="C814" i="7"/>
  <c r="L813" i="7"/>
  <c r="I813" i="7"/>
  <c r="E813" i="7"/>
  <c r="D813" i="7"/>
  <c r="C813" i="7"/>
  <c r="L812" i="7"/>
  <c r="I812" i="7"/>
  <c r="E812" i="7"/>
  <c r="D812" i="7"/>
  <c r="C812" i="7"/>
  <c r="L811" i="7"/>
  <c r="I811" i="7"/>
  <c r="E811" i="7"/>
  <c r="D811" i="7"/>
  <c r="C811" i="7"/>
  <c r="L810" i="7"/>
  <c r="I810" i="7"/>
  <c r="E810" i="7"/>
  <c r="D810" i="7"/>
  <c r="C810" i="7"/>
  <c r="L809" i="7"/>
  <c r="I809" i="7"/>
  <c r="E809" i="7"/>
  <c r="D809" i="7"/>
  <c r="C809" i="7"/>
  <c r="L808" i="7"/>
  <c r="I808" i="7"/>
  <c r="E808" i="7"/>
  <c r="D808" i="7"/>
  <c r="C808" i="7"/>
  <c r="L807" i="7"/>
  <c r="I807" i="7"/>
  <c r="E807" i="7"/>
  <c r="D807" i="7"/>
  <c r="C807" i="7"/>
  <c r="L806" i="7"/>
  <c r="I806" i="7"/>
  <c r="E806" i="7"/>
  <c r="D806" i="7"/>
  <c r="C806" i="7"/>
  <c r="L805" i="7"/>
  <c r="I805" i="7"/>
  <c r="E805" i="7"/>
  <c r="D805" i="7"/>
  <c r="C805" i="7"/>
  <c r="L804" i="7"/>
  <c r="I804" i="7"/>
  <c r="E804" i="7"/>
  <c r="D804" i="7"/>
  <c r="C804" i="7"/>
  <c r="L803" i="7"/>
  <c r="I803" i="7"/>
  <c r="E803" i="7"/>
  <c r="D803" i="7"/>
  <c r="C803" i="7"/>
  <c r="L802" i="7"/>
  <c r="I802" i="7"/>
  <c r="E802" i="7"/>
  <c r="D802" i="7"/>
  <c r="C802" i="7"/>
  <c r="L801" i="7"/>
  <c r="I801" i="7"/>
  <c r="E801" i="7"/>
  <c r="D801" i="7"/>
  <c r="C801" i="7"/>
  <c r="L800" i="7"/>
  <c r="I800" i="7"/>
  <c r="E800" i="7"/>
  <c r="D800" i="7"/>
  <c r="C800" i="7"/>
  <c r="L799" i="7"/>
  <c r="I799" i="7"/>
  <c r="E799" i="7"/>
  <c r="D799" i="7"/>
  <c r="C799" i="7"/>
  <c r="L798" i="7"/>
  <c r="I798" i="7"/>
  <c r="E798" i="7"/>
  <c r="D798" i="7"/>
  <c r="C798" i="7"/>
  <c r="L797" i="7"/>
  <c r="I797" i="7"/>
  <c r="E797" i="7"/>
  <c r="D797" i="7"/>
  <c r="C797" i="7"/>
  <c r="L796" i="7"/>
  <c r="I796" i="7"/>
  <c r="E796" i="7"/>
  <c r="D796" i="7"/>
  <c r="C796" i="7"/>
  <c r="L795" i="7"/>
  <c r="I795" i="7"/>
  <c r="E795" i="7"/>
  <c r="D795" i="7"/>
  <c r="C795" i="7"/>
  <c r="L794" i="7"/>
  <c r="I794" i="7"/>
  <c r="E794" i="7"/>
  <c r="D794" i="7"/>
  <c r="C794" i="7"/>
  <c r="L793" i="7"/>
  <c r="I793" i="7"/>
  <c r="E793" i="7"/>
  <c r="D793" i="7"/>
  <c r="C793" i="7"/>
  <c r="L792" i="7"/>
  <c r="I792" i="7"/>
  <c r="E792" i="7"/>
  <c r="D792" i="7"/>
  <c r="C792" i="7"/>
  <c r="L791" i="7"/>
  <c r="I791" i="7"/>
  <c r="E791" i="7"/>
  <c r="D791" i="7"/>
  <c r="C791" i="7"/>
  <c r="L790" i="7"/>
  <c r="I790" i="7"/>
  <c r="E790" i="7"/>
  <c r="D790" i="7"/>
  <c r="C790" i="7"/>
  <c r="L789" i="7"/>
  <c r="I789" i="7"/>
  <c r="E789" i="7"/>
  <c r="D789" i="7"/>
  <c r="C789" i="7"/>
  <c r="L788" i="7"/>
  <c r="I788" i="7"/>
  <c r="E788" i="7"/>
  <c r="D788" i="7"/>
  <c r="C788" i="7"/>
  <c r="L787" i="7"/>
  <c r="I787" i="7"/>
  <c r="E787" i="7"/>
  <c r="D787" i="7"/>
  <c r="C787" i="7"/>
  <c r="L786" i="7"/>
  <c r="I786" i="7"/>
  <c r="E786" i="7"/>
  <c r="D786" i="7"/>
  <c r="C786" i="7"/>
  <c r="L785" i="7"/>
  <c r="I785" i="7"/>
  <c r="E785" i="7"/>
  <c r="D785" i="7"/>
  <c r="C785" i="7"/>
  <c r="L784" i="7"/>
  <c r="I784" i="7"/>
  <c r="E784" i="7"/>
  <c r="D784" i="7"/>
  <c r="C784" i="7"/>
  <c r="L783" i="7"/>
  <c r="I783" i="7"/>
  <c r="E783" i="7"/>
  <c r="D783" i="7"/>
  <c r="C783" i="7"/>
  <c r="L782" i="7"/>
  <c r="I782" i="7"/>
  <c r="E782" i="7"/>
  <c r="D782" i="7"/>
  <c r="C782" i="7"/>
  <c r="L781" i="7"/>
  <c r="I781" i="7"/>
  <c r="E781" i="7"/>
  <c r="D781" i="7"/>
  <c r="C781" i="7"/>
  <c r="L780" i="7"/>
  <c r="I780" i="7"/>
  <c r="E780" i="7"/>
  <c r="D780" i="7"/>
  <c r="C780" i="7"/>
  <c r="L779" i="7"/>
  <c r="I779" i="7"/>
  <c r="E779" i="7"/>
  <c r="D779" i="7"/>
  <c r="C779" i="7"/>
  <c r="L778" i="7"/>
  <c r="I778" i="7"/>
  <c r="E778" i="7"/>
  <c r="D778" i="7"/>
  <c r="C778" i="7"/>
  <c r="L777" i="7"/>
  <c r="I777" i="7"/>
  <c r="E777" i="7"/>
  <c r="D777" i="7"/>
  <c r="C777" i="7"/>
  <c r="L776" i="7"/>
  <c r="I776" i="7"/>
  <c r="E776" i="7"/>
  <c r="D776" i="7"/>
  <c r="C776" i="7"/>
  <c r="L775" i="7"/>
  <c r="I775" i="7"/>
  <c r="E775" i="7"/>
  <c r="D775" i="7"/>
  <c r="C775" i="7"/>
  <c r="L774" i="7"/>
  <c r="I774" i="7"/>
  <c r="E774" i="7"/>
  <c r="D774" i="7"/>
  <c r="C774" i="7"/>
  <c r="L773" i="7"/>
  <c r="I773" i="7"/>
  <c r="E773" i="7"/>
  <c r="D773" i="7"/>
  <c r="C773" i="7"/>
  <c r="L772" i="7"/>
  <c r="I772" i="7"/>
  <c r="E772" i="7"/>
  <c r="D772" i="7"/>
  <c r="C772" i="7"/>
  <c r="L771" i="7"/>
  <c r="I771" i="7"/>
  <c r="E771" i="7"/>
  <c r="D771" i="7"/>
  <c r="C771" i="7"/>
  <c r="L770" i="7"/>
  <c r="I770" i="7"/>
  <c r="E770" i="7"/>
  <c r="D770" i="7"/>
  <c r="C770" i="7"/>
  <c r="L769" i="7"/>
  <c r="I769" i="7"/>
  <c r="E769" i="7"/>
  <c r="D769" i="7"/>
  <c r="C769" i="7"/>
  <c r="L768" i="7"/>
  <c r="I768" i="7"/>
  <c r="E768" i="7"/>
  <c r="D768" i="7"/>
  <c r="C768" i="7"/>
  <c r="L767" i="7"/>
  <c r="I767" i="7"/>
  <c r="E767" i="7"/>
  <c r="D767" i="7"/>
  <c r="C767" i="7"/>
  <c r="L766" i="7"/>
  <c r="I766" i="7"/>
  <c r="E766" i="7"/>
  <c r="D766" i="7"/>
  <c r="C766" i="7"/>
  <c r="L765" i="7"/>
  <c r="I765" i="7"/>
  <c r="E765" i="7"/>
  <c r="D765" i="7"/>
  <c r="C765" i="7"/>
  <c r="L764" i="7"/>
  <c r="I764" i="7"/>
  <c r="E764" i="7"/>
  <c r="D764" i="7"/>
  <c r="C764" i="7"/>
  <c r="L763" i="7"/>
  <c r="I763" i="7"/>
  <c r="E763" i="7"/>
  <c r="D763" i="7"/>
  <c r="C763" i="7"/>
  <c r="L762" i="7"/>
  <c r="I762" i="7"/>
  <c r="E762" i="7"/>
  <c r="D762" i="7"/>
  <c r="C762" i="7"/>
  <c r="L761" i="7"/>
  <c r="I761" i="7"/>
  <c r="E761" i="7"/>
  <c r="D761" i="7"/>
  <c r="C761" i="7"/>
  <c r="L760" i="7"/>
  <c r="I760" i="7"/>
  <c r="E760" i="7"/>
  <c r="D760" i="7"/>
  <c r="C760" i="7"/>
  <c r="L759" i="7"/>
  <c r="I759" i="7"/>
  <c r="E759" i="7"/>
  <c r="D759" i="7"/>
  <c r="C759" i="7"/>
  <c r="L758" i="7"/>
  <c r="I758" i="7"/>
  <c r="E758" i="7"/>
  <c r="D758" i="7"/>
  <c r="C758" i="7"/>
  <c r="L757" i="7"/>
  <c r="I757" i="7"/>
  <c r="E757" i="7"/>
  <c r="D757" i="7"/>
  <c r="C757" i="7"/>
  <c r="L756" i="7"/>
  <c r="I756" i="7"/>
  <c r="E756" i="7"/>
  <c r="D756" i="7"/>
  <c r="C756" i="7"/>
  <c r="L755" i="7"/>
  <c r="I755" i="7"/>
  <c r="E755" i="7"/>
  <c r="D755" i="7"/>
  <c r="C755" i="7"/>
  <c r="L754" i="7"/>
  <c r="I754" i="7"/>
  <c r="E754" i="7"/>
  <c r="D754" i="7"/>
  <c r="C754" i="7"/>
  <c r="L753" i="7"/>
  <c r="I753" i="7"/>
  <c r="E753" i="7"/>
  <c r="D753" i="7"/>
  <c r="C753" i="7"/>
  <c r="L752" i="7"/>
  <c r="I752" i="7"/>
  <c r="E752" i="7"/>
  <c r="D752" i="7"/>
  <c r="C752" i="7"/>
  <c r="L751" i="7"/>
  <c r="I751" i="7"/>
  <c r="E751" i="7"/>
  <c r="D751" i="7"/>
  <c r="C751" i="7"/>
  <c r="L750" i="7"/>
  <c r="I750" i="7"/>
  <c r="E750" i="7"/>
  <c r="D750" i="7"/>
  <c r="C750" i="7"/>
  <c r="L749" i="7"/>
  <c r="I749" i="7"/>
  <c r="E749" i="7"/>
  <c r="D749" i="7"/>
  <c r="C749" i="7"/>
  <c r="L748" i="7"/>
  <c r="I748" i="7"/>
  <c r="E748" i="7"/>
  <c r="D748" i="7"/>
  <c r="C748" i="7"/>
  <c r="L747" i="7"/>
  <c r="I747" i="7"/>
  <c r="E747" i="7"/>
  <c r="D747" i="7"/>
  <c r="C747" i="7"/>
  <c r="L746" i="7"/>
  <c r="I746" i="7"/>
  <c r="E746" i="7"/>
  <c r="D746" i="7"/>
  <c r="C746" i="7"/>
  <c r="L745" i="7"/>
  <c r="I745" i="7"/>
  <c r="E745" i="7"/>
  <c r="D745" i="7"/>
  <c r="C745" i="7"/>
  <c r="L744" i="7"/>
  <c r="I744" i="7"/>
  <c r="E744" i="7"/>
  <c r="D744" i="7"/>
  <c r="C744" i="7"/>
  <c r="L743" i="7"/>
  <c r="I743" i="7"/>
  <c r="E743" i="7"/>
  <c r="D743" i="7"/>
  <c r="C743" i="7"/>
  <c r="L742" i="7"/>
  <c r="I742" i="7"/>
  <c r="E742" i="7"/>
  <c r="D742" i="7"/>
  <c r="C742" i="7"/>
  <c r="L741" i="7"/>
  <c r="I741" i="7"/>
  <c r="E741" i="7"/>
  <c r="D741" i="7"/>
  <c r="C741" i="7"/>
  <c r="L740" i="7"/>
  <c r="I740" i="7"/>
  <c r="E740" i="7"/>
  <c r="D740" i="7"/>
  <c r="C740" i="7"/>
  <c r="L739" i="7"/>
  <c r="I739" i="7"/>
  <c r="E739" i="7"/>
  <c r="D739" i="7"/>
  <c r="C739" i="7"/>
  <c r="L738" i="7"/>
  <c r="I738" i="7"/>
  <c r="E738" i="7"/>
  <c r="D738" i="7"/>
  <c r="C738" i="7"/>
  <c r="L737" i="7"/>
  <c r="I737" i="7"/>
  <c r="E737" i="7"/>
  <c r="D737" i="7"/>
  <c r="C737" i="7"/>
  <c r="L736" i="7"/>
  <c r="I736" i="7"/>
  <c r="E736" i="7"/>
  <c r="D736" i="7"/>
  <c r="C736" i="7"/>
  <c r="L735" i="7"/>
  <c r="I735" i="7"/>
  <c r="E735" i="7"/>
  <c r="D735" i="7"/>
  <c r="C735" i="7"/>
  <c r="L734" i="7"/>
  <c r="I734" i="7"/>
  <c r="E734" i="7"/>
  <c r="D734" i="7"/>
  <c r="C734" i="7"/>
  <c r="L733" i="7"/>
  <c r="I733" i="7"/>
  <c r="E733" i="7"/>
  <c r="D733" i="7"/>
  <c r="C733" i="7"/>
  <c r="L732" i="7"/>
  <c r="I732" i="7"/>
  <c r="E732" i="7"/>
  <c r="D732" i="7"/>
  <c r="C732" i="7"/>
  <c r="L731" i="7"/>
  <c r="I731" i="7"/>
  <c r="E731" i="7"/>
  <c r="D731" i="7"/>
  <c r="C731" i="7"/>
  <c r="L730" i="7"/>
  <c r="I730" i="7"/>
  <c r="E730" i="7"/>
  <c r="D730" i="7"/>
  <c r="C730" i="7"/>
  <c r="L729" i="7"/>
  <c r="I729" i="7"/>
  <c r="E729" i="7"/>
  <c r="D729" i="7"/>
  <c r="C729" i="7"/>
  <c r="L728" i="7"/>
  <c r="I728" i="7"/>
  <c r="E728" i="7"/>
  <c r="D728" i="7"/>
  <c r="C728" i="7"/>
  <c r="L727" i="7"/>
  <c r="I727" i="7"/>
  <c r="E727" i="7"/>
  <c r="D727" i="7"/>
  <c r="C727" i="7"/>
  <c r="L726" i="7"/>
  <c r="I726" i="7"/>
  <c r="E726" i="7"/>
  <c r="D726" i="7"/>
  <c r="C726" i="7"/>
  <c r="L725" i="7"/>
  <c r="I725" i="7"/>
  <c r="E725" i="7"/>
  <c r="D725" i="7"/>
  <c r="C725" i="7"/>
  <c r="L724" i="7"/>
  <c r="I724" i="7"/>
  <c r="E724" i="7"/>
  <c r="D724" i="7"/>
  <c r="C724" i="7"/>
  <c r="L723" i="7"/>
  <c r="I723" i="7"/>
  <c r="E723" i="7"/>
  <c r="D723" i="7"/>
  <c r="C723" i="7"/>
  <c r="L722" i="7"/>
  <c r="I722" i="7"/>
  <c r="E722" i="7"/>
  <c r="D722" i="7"/>
  <c r="C722" i="7"/>
  <c r="L721" i="7"/>
  <c r="I721" i="7"/>
  <c r="E721" i="7"/>
  <c r="D721" i="7"/>
  <c r="C721" i="7"/>
  <c r="L720" i="7"/>
  <c r="I720" i="7"/>
  <c r="E720" i="7"/>
  <c r="D720" i="7"/>
  <c r="C720" i="7"/>
  <c r="L719" i="7"/>
  <c r="I719" i="7"/>
  <c r="E719" i="7"/>
  <c r="D719" i="7"/>
  <c r="C719" i="7"/>
  <c r="L718" i="7"/>
  <c r="I718" i="7"/>
  <c r="E718" i="7"/>
  <c r="D718" i="7"/>
  <c r="C718" i="7"/>
  <c r="L717" i="7"/>
  <c r="I717" i="7"/>
  <c r="E717" i="7"/>
  <c r="D717" i="7"/>
  <c r="C717" i="7"/>
  <c r="L716" i="7"/>
  <c r="I716" i="7"/>
  <c r="E716" i="7"/>
  <c r="D716" i="7"/>
  <c r="C716" i="7"/>
  <c r="L715" i="7"/>
  <c r="I715" i="7"/>
  <c r="E715" i="7"/>
  <c r="D715" i="7"/>
  <c r="C715" i="7"/>
  <c r="L714" i="7"/>
  <c r="I714" i="7"/>
  <c r="E714" i="7"/>
  <c r="D714" i="7"/>
  <c r="C714" i="7"/>
  <c r="L713" i="7"/>
  <c r="I713" i="7"/>
  <c r="E713" i="7"/>
  <c r="D713" i="7"/>
  <c r="C713" i="7"/>
  <c r="L712" i="7"/>
  <c r="I712" i="7"/>
  <c r="E712" i="7"/>
  <c r="D712" i="7"/>
  <c r="C712" i="7"/>
  <c r="L711" i="7"/>
  <c r="I711" i="7"/>
  <c r="E711" i="7"/>
  <c r="D711" i="7"/>
  <c r="C711" i="7"/>
  <c r="L710" i="7"/>
  <c r="I710" i="7"/>
  <c r="E710" i="7"/>
  <c r="D710" i="7"/>
  <c r="C710" i="7"/>
  <c r="L709" i="7"/>
  <c r="I709" i="7"/>
  <c r="E709" i="7"/>
  <c r="D709" i="7"/>
  <c r="C709" i="7"/>
  <c r="L708" i="7"/>
  <c r="I708" i="7"/>
  <c r="E708" i="7"/>
  <c r="D708" i="7"/>
  <c r="C708" i="7"/>
  <c r="L707" i="7"/>
  <c r="I707" i="7"/>
  <c r="E707" i="7"/>
  <c r="D707" i="7"/>
  <c r="C707" i="7"/>
  <c r="L706" i="7"/>
  <c r="I706" i="7"/>
  <c r="E706" i="7"/>
  <c r="D706" i="7"/>
  <c r="C706" i="7"/>
  <c r="L705" i="7"/>
  <c r="I705" i="7"/>
  <c r="E705" i="7"/>
  <c r="D705" i="7"/>
  <c r="C705" i="7"/>
  <c r="L704" i="7"/>
  <c r="I704" i="7"/>
  <c r="E704" i="7"/>
  <c r="D704" i="7"/>
  <c r="C704" i="7"/>
  <c r="L703" i="7"/>
  <c r="I703" i="7"/>
  <c r="E703" i="7"/>
  <c r="D703" i="7"/>
  <c r="C703" i="7"/>
  <c r="L702" i="7"/>
  <c r="I702" i="7"/>
  <c r="E702" i="7"/>
  <c r="D702" i="7"/>
  <c r="C702" i="7"/>
  <c r="L701" i="7"/>
  <c r="I701" i="7"/>
  <c r="E701" i="7"/>
  <c r="D701" i="7"/>
  <c r="C701" i="7"/>
  <c r="L700" i="7"/>
  <c r="I700" i="7"/>
  <c r="E700" i="7"/>
  <c r="D700" i="7"/>
  <c r="C700" i="7"/>
  <c r="L699" i="7"/>
  <c r="I699" i="7"/>
  <c r="E699" i="7"/>
  <c r="D699" i="7"/>
  <c r="C699" i="7"/>
  <c r="L698" i="7"/>
  <c r="I698" i="7"/>
  <c r="E698" i="7"/>
  <c r="D698" i="7"/>
  <c r="C698" i="7"/>
  <c r="L697" i="7"/>
  <c r="I697" i="7"/>
  <c r="E697" i="7"/>
  <c r="D697" i="7"/>
  <c r="C697" i="7"/>
  <c r="L696" i="7"/>
  <c r="I696" i="7"/>
  <c r="E696" i="7"/>
  <c r="D696" i="7"/>
  <c r="C696" i="7"/>
  <c r="L695" i="7"/>
  <c r="I695" i="7"/>
  <c r="E695" i="7"/>
  <c r="D695" i="7"/>
  <c r="C695" i="7"/>
  <c r="L694" i="7"/>
  <c r="I694" i="7"/>
  <c r="E694" i="7"/>
  <c r="D694" i="7"/>
  <c r="C694" i="7"/>
  <c r="L693" i="7"/>
  <c r="I693" i="7"/>
  <c r="E693" i="7"/>
  <c r="D693" i="7"/>
  <c r="C693" i="7"/>
  <c r="L692" i="7"/>
  <c r="I692" i="7"/>
  <c r="E692" i="7"/>
  <c r="D692" i="7"/>
  <c r="C692" i="7"/>
  <c r="L691" i="7"/>
  <c r="I691" i="7"/>
  <c r="E691" i="7"/>
  <c r="D691" i="7"/>
  <c r="C691" i="7"/>
  <c r="L690" i="7"/>
  <c r="I690" i="7"/>
  <c r="E690" i="7"/>
  <c r="D690" i="7"/>
  <c r="C690" i="7"/>
  <c r="L689" i="7"/>
  <c r="I689" i="7"/>
  <c r="E689" i="7"/>
  <c r="D689" i="7"/>
  <c r="C689" i="7"/>
  <c r="L688" i="7"/>
  <c r="I688" i="7"/>
  <c r="E688" i="7"/>
  <c r="D688" i="7"/>
  <c r="C688" i="7"/>
  <c r="L687" i="7"/>
  <c r="I687" i="7"/>
  <c r="E687" i="7"/>
  <c r="D687" i="7"/>
  <c r="C687" i="7"/>
  <c r="L686" i="7"/>
  <c r="I686" i="7"/>
  <c r="E686" i="7"/>
  <c r="D686" i="7"/>
  <c r="C686" i="7"/>
  <c r="L685" i="7"/>
  <c r="I685" i="7"/>
  <c r="E685" i="7"/>
  <c r="D685" i="7"/>
  <c r="C685" i="7"/>
  <c r="L684" i="7"/>
  <c r="I684" i="7"/>
  <c r="E684" i="7"/>
  <c r="D684" i="7"/>
  <c r="C684" i="7"/>
  <c r="L683" i="7"/>
  <c r="I683" i="7"/>
  <c r="E683" i="7"/>
  <c r="D683" i="7"/>
  <c r="C683" i="7"/>
  <c r="L682" i="7"/>
  <c r="I682" i="7"/>
  <c r="E682" i="7"/>
  <c r="D682" i="7"/>
  <c r="C682" i="7"/>
  <c r="L681" i="7"/>
  <c r="I681" i="7"/>
  <c r="E681" i="7"/>
  <c r="D681" i="7"/>
  <c r="C681" i="7"/>
  <c r="L680" i="7"/>
  <c r="I680" i="7"/>
  <c r="E680" i="7"/>
  <c r="D680" i="7"/>
  <c r="C680" i="7"/>
  <c r="L679" i="7"/>
  <c r="I679" i="7"/>
  <c r="E679" i="7"/>
  <c r="D679" i="7"/>
  <c r="C679" i="7"/>
  <c r="L678" i="7"/>
  <c r="I678" i="7"/>
  <c r="E678" i="7"/>
  <c r="D678" i="7"/>
  <c r="C678" i="7"/>
  <c r="L677" i="7"/>
  <c r="I677" i="7"/>
  <c r="E677" i="7"/>
  <c r="D677" i="7"/>
  <c r="C677" i="7"/>
  <c r="L676" i="7"/>
  <c r="I676" i="7"/>
  <c r="E676" i="7"/>
  <c r="D676" i="7"/>
  <c r="C676" i="7"/>
  <c r="L675" i="7"/>
  <c r="I675" i="7"/>
  <c r="E675" i="7"/>
  <c r="D675" i="7"/>
  <c r="C675" i="7"/>
  <c r="L674" i="7"/>
  <c r="I674" i="7"/>
  <c r="E674" i="7"/>
  <c r="D674" i="7"/>
  <c r="C674" i="7"/>
  <c r="L673" i="7"/>
  <c r="I673" i="7"/>
  <c r="E673" i="7"/>
  <c r="D673" i="7"/>
  <c r="C673" i="7"/>
  <c r="L672" i="7"/>
  <c r="I672" i="7"/>
  <c r="E672" i="7"/>
  <c r="D672" i="7"/>
  <c r="C672" i="7"/>
  <c r="L671" i="7"/>
  <c r="I671" i="7"/>
  <c r="E671" i="7"/>
  <c r="D671" i="7"/>
  <c r="C671" i="7"/>
  <c r="L670" i="7"/>
  <c r="I670" i="7"/>
  <c r="E670" i="7"/>
  <c r="D670" i="7"/>
  <c r="C670" i="7"/>
  <c r="L669" i="7"/>
  <c r="I669" i="7"/>
  <c r="E669" i="7"/>
  <c r="D669" i="7"/>
  <c r="C669" i="7"/>
  <c r="L668" i="7"/>
  <c r="I668" i="7"/>
  <c r="E668" i="7"/>
  <c r="D668" i="7"/>
  <c r="C668" i="7"/>
  <c r="L667" i="7"/>
  <c r="I667" i="7"/>
  <c r="E667" i="7"/>
  <c r="D667" i="7"/>
  <c r="C667" i="7"/>
  <c r="L666" i="7"/>
  <c r="I666" i="7"/>
  <c r="E666" i="7"/>
  <c r="D666" i="7"/>
  <c r="C666" i="7"/>
  <c r="L665" i="7"/>
  <c r="I665" i="7"/>
  <c r="E665" i="7"/>
  <c r="D665" i="7"/>
  <c r="C665" i="7"/>
  <c r="L664" i="7"/>
  <c r="I664" i="7"/>
  <c r="E664" i="7"/>
  <c r="D664" i="7"/>
  <c r="C664" i="7"/>
  <c r="L663" i="7"/>
  <c r="I663" i="7"/>
  <c r="E663" i="7"/>
  <c r="D663" i="7"/>
  <c r="C663" i="7"/>
  <c r="L662" i="7"/>
  <c r="I662" i="7"/>
  <c r="E662" i="7"/>
  <c r="D662" i="7"/>
  <c r="C662" i="7"/>
  <c r="L661" i="7"/>
  <c r="I661" i="7"/>
  <c r="E661" i="7"/>
  <c r="D661" i="7"/>
  <c r="C661" i="7"/>
  <c r="L660" i="7"/>
  <c r="I660" i="7"/>
  <c r="E660" i="7"/>
  <c r="D660" i="7"/>
  <c r="C660" i="7"/>
  <c r="L659" i="7"/>
  <c r="I659" i="7"/>
  <c r="E659" i="7"/>
  <c r="D659" i="7"/>
  <c r="C659" i="7"/>
  <c r="L658" i="7"/>
  <c r="I658" i="7"/>
  <c r="E658" i="7"/>
  <c r="D658" i="7"/>
  <c r="C658" i="7"/>
  <c r="L657" i="7"/>
  <c r="I657" i="7"/>
  <c r="E657" i="7"/>
  <c r="D657" i="7"/>
  <c r="C657" i="7"/>
  <c r="L656" i="7"/>
  <c r="I656" i="7"/>
  <c r="E656" i="7"/>
  <c r="D656" i="7"/>
  <c r="C656" i="7"/>
  <c r="L655" i="7"/>
  <c r="I655" i="7"/>
  <c r="E655" i="7"/>
  <c r="D655" i="7"/>
  <c r="C655" i="7"/>
  <c r="L654" i="7"/>
  <c r="I654" i="7"/>
  <c r="E654" i="7"/>
  <c r="D654" i="7"/>
  <c r="C654" i="7"/>
  <c r="L653" i="7"/>
  <c r="I653" i="7"/>
  <c r="E653" i="7"/>
  <c r="D653" i="7"/>
  <c r="C653" i="7"/>
  <c r="L652" i="7"/>
  <c r="I652" i="7"/>
  <c r="E652" i="7"/>
  <c r="D652" i="7"/>
  <c r="C652" i="7"/>
  <c r="L651" i="7"/>
  <c r="I651" i="7"/>
  <c r="E651" i="7"/>
  <c r="D651" i="7"/>
  <c r="C651" i="7"/>
  <c r="L650" i="7"/>
  <c r="I650" i="7"/>
  <c r="E650" i="7"/>
  <c r="D650" i="7"/>
  <c r="C650" i="7"/>
  <c r="L649" i="7"/>
  <c r="I649" i="7"/>
  <c r="E649" i="7"/>
  <c r="D649" i="7"/>
  <c r="C649" i="7"/>
  <c r="L648" i="7"/>
  <c r="I648" i="7"/>
  <c r="E648" i="7"/>
  <c r="D648" i="7"/>
  <c r="C648" i="7"/>
  <c r="L647" i="7"/>
  <c r="I647" i="7"/>
  <c r="E647" i="7"/>
  <c r="D647" i="7"/>
  <c r="C647" i="7"/>
  <c r="L646" i="7"/>
  <c r="I646" i="7"/>
  <c r="E646" i="7"/>
  <c r="D646" i="7"/>
  <c r="C646" i="7"/>
  <c r="L645" i="7"/>
  <c r="I645" i="7"/>
  <c r="E645" i="7"/>
  <c r="D645" i="7"/>
  <c r="C645" i="7"/>
  <c r="L644" i="7"/>
  <c r="I644" i="7"/>
  <c r="E644" i="7"/>
  <c r="D644" i="7"/>
  <c r="C644" i="7"/>
  <c r="L643" i="7"/>
  <c r="I643" i="7"/>
  <c r="E643" i="7"/>
  <c r="D643" i="7"/>
  <c r="C643" i="7"/>
  <c r="L642" i="7"/>
  <c r="I642" i="7"/>
  <c r="E642" i="7"/>
  <c r="D642" i="7"/>
  <c r="C642" i="7"/>
  <c r="L641" i="7"/>
  <c r="I641" i="7"/>
  <c r="E641" i="7"/>
  <c r="D641" i="7"/>
  <c r="C641" i="7"/>
  <c r="L640" i="7"/>
  <c r="I640" i="7"/>
  <c r="E640" i="7"/>
  <c r="D640" i="7"/>
  <c r="C640" i="7"/>
  <c r="L639" i="7"/>
  <c r="I639" i="7"/>
  <c r="E639" i="7"/>
  <c r="D639" i="7"/>
  <c r="C639" i="7"/>
  <c r="L638" i="7"/>
  <c r="I638" i="7"/>
  <c r="E638" i="7"/>
  <c r="D638" i="7"/>
  <c r="C638" i="7"/>
  <c r="L637" i="7"/>
  <c r="I637" i="7"/>
  <c r="E637" i="7"/>
  <c r="D637" i="7"/>
  <c r="C637" i="7"/>
  <c r="L636" i="7"/>
  <c r="I636" i="7"/>
  <c r="E636" i="7"/>
  <c r="D636" i="7"/>
  <c r="C636" i="7"/>
  <c r="L635" i="7"/>
  <c r="I635" i="7"/>
  <c r="E635" i="7"/>
  <c r="D635" i="7"/>
  <c r="C635" i="7"/>
  <c r="L634" i="7"/>
  <c r="I634" i="7"/>
  <c r="E634" i="7"/>
  <c r="D634" i="7"/>
  <c r="C634" i="7"/>
  <c r="L633" i="7"/>
  <c r="I633" i="7"/>
  <c r="E633" i="7"/>
  <c r="D633" i="7"/>
  <c r="C633" i="7"/>
  <c r="L632" i="7"/>
  <c r="I632" i="7"/>
  <c r="E632" i="7"/>
  <c r="D632" i="7"/>
  <c r="C632" i="7"/>
  <c r="L631" i="7"/>
  <c r="I631" i="7"/>
  <c r="E631" i="7"/>
  <c r="D631" i="7"/>
  <c r="C631" i="7"/>
  <c r="L630" i="7"/>
  <c r="I630" i="7"/>
  <c r="E630" i="7"/>
  <c r="D630" i="7"/>
  <c r="C630" i="7"/>
  <c r="L629" i="7"/>
  <c r="I629" i="7"/>
  <c r="E629" i="7"/>
  <c r="D629" i="7"/>
  <c r="C629" i="7"/>
  <c r="L628" i="7"/>
  <c r="I628" i="7"/>
  <c r="E628" i="7"/>
  <c r="D628" i="7"/>
  <c r="C628" i="7"/>
  <c r="L627" i="7"/>
  <c r="I627" i="7"/>
  <c r="E627" i="7"/>
  <c r="D627" i="7"/>
  <c r="C627" i="7"/>
  <c r="L626" i="7"/>
  <c r="I626" i="7"/>
  <c r="E626" i="7"/>
  <c r="D626" i="7"/>
  <c r="C626" i="7"/>
  <c r="L625" i="7"/>
  <c r="I625" i="7"/>
  <c r="E625" i="7"/>
  <c r="D625" i="7"/>
  <c r="C625" i="7"/>
  <c r="L624" i="7"/>
  <c r="I624" i="7"/>
  <c r="E624" i="7"/>
  <c r="D624" i="7"/>
  <c r="C624" i="7"/>
  <c r="L623" i="7"/>
  <c r="I623" i="7"/>
  <c r="E623" i="7"/>
  <c r="D623" i="7"/>
  <c r="C623" i="7"/>
  <c r="L622" i="7"/>
  <c r="I622" i="7"/>
  <c r="E622" i="7"/>
  <c r="D622" i="7"/>
  <c r="C622" i="7"/>
  <c r="L621" i="7"/>
  <c r="I621" i="7"/>
  <c r="E621" i="7"/>
  <c r="D621" i="7"/>
  <c r="C621" i="7"/>
  <c r="L620" i="7"/>
  <c r="I620" i="7"/>
  <c r="E620" i="7"/>
  <c r="D620" i="7"/>
  <c r="C620" i="7"/>
  <c r="L619" i="7"/>
  <c r="I619" i="7"/>
  <c r="E619" i="7"/>
  <c r="D619" i="7"/>
  <c r="C619" i="7"/>
  <c r="L618" i="7"/>
  <c r="I618" i="7"/>
  <c r="E618" i="7"/>
  <c r="D618" i="7"/>
  <c r="C618" i="7"/>
  <c r="L617" i="7"/>
  <c r="I617" i="7"/>
  <c r="E617" i="7"/>
  <c r="D617" i="7"/>
  <c r="C617" i="7"/>
  <c r="L616" i="7"/>
  <c r="I616" i="7"/>
  <c r="E616" i="7"/>
  <c r="D616" i="7"/>
  <c r="C616" i="7"/>
  <c r="L615" i="7"/>
  <c r="I615" i="7"/>
  <c r="E615" i="7"/>
  <c r="D615" i="7"/>
  <c r="C615" i="7"/>
  <c r="L614" i="7"/>
  <c r="I614" i="7"/>
  <c r="E614" i="7"/>
  <c r="D614" i="7"/>
  <c r="C614" i="7"/>
  <c r="L613" i="7"/>
  <c r="I613" i="7"/>
  <c r="E613" i="7"/>
  <c r="D613" i="7"/>
  <c r="C613" i="7"/>
  <c r="L612" i="7"/>
  <c r="I612" i="7"/>
  <c r="E612" i="7"/>
  <c r="D612" i="7"/>
  <c r="C612" i="7"/>
  <c r="L611" i="7"/>
  <c r="I611" i="7"/>
  <c r="E611" i="7"/>
  <c r="D611" i="7"/>
  <c r="C611" i="7"/>
  <c r="L610" i="7"/>
  <c r="I610" i="7"/>
  <c r="E610" i="7"/>
  <c r="D610" i="7"/>
  <c r="C610" i="7"/>
  <c r="L609" i="7"/>
  <c r="I609" i="7"/>
  <c r="E609" i="7"/>
  <c r="D609" i="7"/>
  <c r="C609" i="7"/>
  <c r="L608" i="7"/>
  <c r="I608" i="7"/>
  <c r="E608" i="7"/>
  <c r="D608" i="7"/>
  <c r="C608" i="7"/>
  <c r="L607" i="7"/>
  <c r="I607" i="7"/>
  <c r="E607" i="7"/>
  <c r="D607" i="7"/>
  <c r="C607" i="7"/>
  <c r="L606" i="7"/>
  <c r="I606" i="7"/>
  <c r="E606" i="7"/>
  <c r="D606" i="7"/>
  <c r="C606" i="7"/>
  <c r="L605" i="7"/>
  <c r="I605" i="7"/>
  <c r="E605" i="7"/>
  <c r="D605" i="7"/>
  <c r="C605" i="7"/>
  <c r="L604" i="7"/>
  <c r="I604" i="7"/>
  <c r="E604" i="7"/>
  <c r="D604" i="7"/>
  <c r="C604" i="7"/>
  <c r="L603" i="7"/>
  <c r="I603" i="7"/>
  <c r="E603" i="7"/>
  <c r="D603" i="7"/>
  <c r="C603" i="7"/>
  <c r="L602" i="7"/>
  <c r="I602" i="7"/>
  <c r="E602" i="7"/>
  <c r="D602" i="7"/>
  <c r="C602" i="7"/>
  <c r="L601" i="7"/>
  <c r="I601" i="7"/>
  <c r="E601" i="7"/>
  <c r="D601" i="7"/>
  <c r="C601" i="7"/>
  <c r="L600" i="7"/>
  <c r="I600" i="7"/>
  <c r="E600" i="7"/>
  <c r="D600" i="7"/>
  <c r="C600" i="7"/>
  <c r="L599" i="7"/>
  <c r="I599" i="7"/>
  <c r="E599" i="7"/>
  <c r="D599" i="7"/>
  <c r="C599" i="7"/>
  <c r="L598" i="7"/>
  <c r="I598" i="7"/>
  <c r="E598" i="7"/>
  <c r="D598" i="7"/>
  <c r="C598" i="7"/>
  <c r="L597" i="7"/>
  <c r="I597" i="7"/>
  <c r="E597" i="7"/>
  <c r="D597" i="7"/>
  <c r="C597" i="7"/>
  <c r="L596" i="7"/>
  <c r="I596" i="7"/>
  <c r="E596" i="7"/>
  <c r="D596" i="7"/>
  <c r="C596" i="7"/>
  <c r="L595" i="7"/>
  <c r="I595" i="7"/>
  <c r="E595" i="7"/>
  <c r="D595" i="7"/>
  <c r="C595" i="7"/>
  <c r="L594" i="7"/>
  <c r="I594" i="7"/>
  <c r="E594" i="7"/>
  <c r="D594" i="7"/>
  <c r="C594" i="7"/>
  <c r="L593" i="7"/>
  <c r="I593" i="7"/>
  <c r="E593" i="7"/>
  <c r="D593" i="7"/>
  <c r="C593" i="7"/>
  <c r="L592" i="7"/>
  <c r="I592" i="7"/>
  <c r="E592" i="7"/>
  <c r="D592" i="7"/>
  <c r="C592" i="7"/>
  <c r="L591" i="7"/>
  <c r="I591" i="7"/>
  <c r="E591" i="7"/>
  <c r="D591" i="7"/>
  <c r="C591" i="7"/>
  <c r="L590" i="7"/>
  <c r="I590" i="7"/>
  <c r="E590" i="7"/>
  <c r="D590" i="7"/>
  <c r="C590" i="7"/>
  <c r="L589" i="7"/>
  <c r="I589" i="7"/>
  <c r="E589" i="7"/>
  <c r="D589" i="7"/>
  <c r="C589" i="7"/>
  <c r="L588" i="7"/>
  <c r="I588" i="7"/>
  <c r="E588" i="7"/>
  <c r="D588" i="7"/>
  <c r="C588" i="7"/>
  <c r="L587" i="7"/>
  <c r="I587" i="7"/>
  <c r="E587" i="7"/>
  <c r="D587" i="7"/>
  <c r="C587" i="7"/>
  <c r="L586" i="7"/>
  <c r="I586" i="7"/>
  <c r="E586" i="7"/>
  <c r="D586" i="7"/>
  <c r="C586" i="7"/>
  <c r="L585" i="7"/>
  <c r="I585" i="7"/>
  <c r="E585" i="7"/>
  <c r="D585" i="7"/>
  <c r="C585" i="7"/>
  <c r="L584" i="7"/>
  <c r="I584" i="7"/>
  <c r="E584" i="7"/>
  <c r="D584" i="7"/>
  <c r="C584" i="7"/>
  <c r="L583" i="7"/>
  <c r="I583" i="7"/>
  <c r="E583" i="7"/>
  <c r="D583" i="7"/>
  <c r="C583" i="7"/>
  <c r="L582" i="7"/>
  <c r="I582" i="7"/>
  <c r="E582" i="7"/>
  <c r="D582" i="7"/>
  <c r="C582" i="7"/>
  <c r="L581" i="7"/>
  <c r="I581" i="7"/>
  <c r="E581" i="7"/>
  <c r="D581" i="7"/>
  <c r="C581" i="7"/>
  <c r="L580" i="7"/>
  <c r="I580" i="7"/>
  <c r="E580" i="7"/>
  <c r="D580" i="7"/>
  <c r="C580" i="7"/>
  <c r="L579" i="7"/>
  <c r="I579" i="7"/>
  <c r="E579" i="7"/>
  <c r="D579" i="7"/>
  <c r="C579" i="7"/>
  <c r="L578" i="7"/>
  <c r="I578" i="7"/>
  <c r="E578" i="7"/>
  <c r="D578" i="7"/>
  <c r="C578" i="7"/>
  <c r="L577" i="7"/>
  <c r="I577" i="7"/>
  <c r="E577" i="7"/>
  <c r="D577" i="7"/>
  <c r="C577" i="7"/>
  <c r="L576" i="7"/>
  <c r="I576" i="7"/>
  <c r="E576" i="7"/>
  <c r="D576" i="7"/>
  <c r="C576" i="7"/>
  <c r="L575" i="7"/>
  <c r="I575" i="7"/>
  <c r="E575" i="7"/>
  <c r="D575" i="7"/>
  <c r="C575" i="7"/>
  <c r="L574" i="7"/>
  <c r="I574" i="7"/>
  <c r="E574" i="7"/>
  <c r="D574" i="7"/>
  <c r="C574" i="7"/>
  <c r="L573" i="7"/>
  <c r="I573" i="7"/>
  <c r="E573" i="7"/>
  <c r="D573" i="7"/>
  <c r="C573" i="7"/>
  <c r="L572" i="7"/>
  <c r="I572" i="7"/>
  <c r="E572" i="7"/>
  <c r="D572" i="7"/>
  <c r="C572" i="7"/>
  <c r="L571" i="7"/>
  <c r="I571" i="7"/>
  <c r="E571" i="7"/>
  <c r="D571" i="7"/>
  <c r="C571" i="7"/>
  <c r="L570" i="7"/>
  <c r="I570" i="7"/>
  <c r="E570" i="7"/>
  <c r="D570" i="7"/>
  <c r="C570" i="7"/>
  <c r="L569" i="7"/>
  <c r="I569" i="7"/>
  <c r="E569" i="7"/>
  <c r="D569" i="7"/>
  <c r="C569" i="7"/>
  <c r="L568" i="7"/>
  <c r="I568" i="7"/>
  <c r="E568" i="7"/>
  <c r="D568" i="7"/>
  <c r="C568" i="7"/>
  <c r="L567" i="7"/>
  <c r="I567" i="7"/>
  <c r="E567" i="7"/>
  <c r="D567" i="7"/>
  <c r="C567" i="7"/>
  <c r="L566" i="7"/>
  <c r="I566" i="7"/>
  <c r="E566" i="7"/>
  <c r="D566" i="7"/>
  <c r="C566" i="7"/>
  <c r="L565" i="7"/>
  <c r="I565" i="7"/>
  <c r="E565" i="7"/>
  <c r="D565" i="7"/>
  <c r="C565" i="7"/>
  <c r="L564" i="7"/>
  <c r="I564" i="7"/>
  <c r="E564" i="7"/>
  <c r="D564" i="7"/>
  <c r="C564" i="7"/>
  <c r="L563" i="7"/>
  <c r="I563" i="7"/>
  <c r="E563" i="7"/>
  <c r="D563" i="7"/>
  <c r="C563" i="7"/>
  <c r="L562" i="7"/>
  <c r="I562" i="7"/>
  <c r="E562" i="7"/>
  <c r="D562" i="7"/>
  <c r="C562" i="7"/>
  <c r="L561" i="7"/>
  <c r="I561" i="7"/>
  <c r="E561" i="7"/>
  <c r="D561" i="7"/>
  <c r="C561" i="7"/>
  <c r="L560" i="7"/>
  <c r="I560" i="7"/>
  <c r="E560" i="7"/>
  <c r="D560" i="7"/>
  <c r="C560" i="7"/>
  <c r="L559" i="7"/>
  <c r="I559" i="7"/>
  <c r="E559" i="7"/>
  <c r="D559" i="7"/>
  <c r="C559" i="7"/>
  <c r="L558" i="7"/>
  <c r="I558" i="7"/>
  <c r="E558" i="7"/>
  <c r="D558" i="7"/>
  <c r="C558" i="7"/>
  <c r="L557" i="7"/>
  <c r="I557" i="7"/>
  <c r="E557" i="7"/>
  <c r="D557" i="7"/>
  <c r="C557" i="7"/>
  <c r="L556" i="7"/>
  <c r="I556" i="7"/>
  <c r="E556" i="7"/>
  <c r="D556" i="7"/>
  <c r="C556" i="7"/>
  <c r="L555" i="7"/>
  <c r="I555" i="7"/>
  <c r="E555" i="7"/>
  <c r="D555" i="7"/>
  <c r="C555" i="7"/>
  <c r="L554" i="7"/>
  <c r="I554" i="7"/>
  <c r="E554" i="7"/>
  <c r="D554" i="7"/>
  <c r="C554" i="7"/>
  <c r="L553" i="7"/>
  <c r="I553" i="7"/>
  <c r="E553" i="7"/>
  <c r="D553" i="7"/>
  <c r="C553" i="7"/>
  <c r="L552" i="7"/>
  <c r="I552" i="7"/>
  <c r="E552" i="7"/>
  <c r="D552" i="7"/>
  <c r="C552" i="7"/>
  <c r="L551" i="7"/>
  <c r="I551" i="7"/>
  <c r="E551" i="7"/>
  <c r="D551" i="7"/>
  <c r="C551" i="7"/>
  <c r="L550" i="7"/>
  <c r="I550" i="7"/>
  <c r="E550" i="7"/>
  <c r="D550" i="7"/>
  <c r="C550" i="7"/>
  <c r="L549" i="7"/>
  <c r="I549" i="7"/>
  <c r="E549" i="7"/>
  <c r="D549" i="7"/>
  <c r="C549" i="7"/>
  <c r="L548" i="7"/>
  <c r="I548" i="7"/>
  <c r="E548" i="7"/>
  <c r="D548" i="7"/>
  <c r="C548" i="7"/>
  <c r="L547" i="7"/>
  <c r="I547" i="7"/>
  <c r="E547" i="7"/>
  <c r="D547" i="7"/>
  <c r="C547" i="7"/>
  <c r="L546" i="7"/>
  <c r="I546" i="7"/>
  <c r="E546" i="7"/>
  <c r="D546" i="7"/>
  <c r="C546" i="7"/>
  <c r="L545" i="7"/>
  <c r="I545" i="7"/>
  <c r="E545" i="7"/>
  <c r="D545" i="7"/>
  <c r="C545" i="7"/>
  <c r="L544" i="7"/>
  <c r="I544" i="7"/>
  <c r="E544" i="7"/>
  <c r="D544" i="7"/>
  <c r="C544" i="7"/>
  <c r="L543" i="7"/>
  <c r="I543" i="7"/>
  <c r="E543" i="7"/>
  <c r="D543" i="7"/>
  <c r="C543" i="7"/>
  <c r="L542" i="7"/>
  <c r="I542" i="7"/>
  <c r="E542" i="7"/>
  <c r="D542" i="7"/>
  <c r="C542" i="7"/>
  <c r="L541" i="7"/>
  <c r="I541" i="7"/>
  <c r="E541" i="7"/>
  <c r="D541" i="7"/>
  <c r="C541" i="7"/>
  <c r="L540" i="7"/>
  <c r="I540" i="7"/>
  <c r="E540" i="7"/>
  <c r="D540" i="7"/>
  <c r="C540" i="7"/>
  <c r="L539" i="7"/>
  <c r="I539" i="7"/>
  <c r="E539" i="7"/>
  <c r="D539" i="7"/>
  <c r="C539" i="7"/>
  <c r="L538" i="7"/>
  <c r="I538" i="7"/>
  <c r="E538" i="7"/>
  <c r="D538" i="7"/>
  <c r="C538" i="7"/>
  <c r="L537" i="7"/>
  <c r="I537" i="7"/>
  <c r="E537" i="7"/>
  <c r="D537" i="7"/>
  <c r="C537" i="7"/>
  <c r="L536" i="7"/>
  <c r="I536" i="7"/>
  <c r="E536" i="7"/>
  <c r="D536" i="7"/>
  <c r="C536" i="7"/>
  <c r="L535" i="7"/>
  <c r="I535" i="7"/>
  <c r="E535" i="7"/>
  <c r="D535" i="7"/>
  <c r="C535" i="7"/>
  <c r="L534" i="7"/>
  <c r="I534" i="7"/>
  <c r="E534" i="7"/>
  <c r="D534" i="7"/>
  <c r="C534" i="7"/>
  <c r="L533" i="7"/>
  <c r="I533" i="7"/>
  <c r="E533" i="7"/>
  <c r="D533" i="7"/>
  <c r="C533" i="7"/>
  <c r="L532" i="7"/>
  <c r="I532" i="7"/>
  <c r="E532" i="7"/>
  <c r="D532" i="7"/>
  <c r="C532" i="7"/>
  <c r="L531" i="7"/>
  <c r="I531" i="7"/>
  <c r="E531" i="7"/>
  <c r="D531" i="7"/>
  <c r="C531" i="7"/>
  <c r="L530" i="7"/>
  <c r="I530" i="7"/>
  <c r="E530" i="7"/>
  <c r="D530" i="7"/>
  <c r="C530" i="7"/>
  <c r="L529" i="7"/>
  <c r="I529" i="7"/>
  <c r="E529" i="7"/>
  <c r="D529" i="7"/>
  <c r="C529" i="7"/>
  <c r="L528" i="7"/>
  <c r="I528" i="7"/>
  <c r="E528" i="7"/>
  <c r="D528" i="7"/>
  <c r="C528" i="7"/>
  <c r="L527" i="7"/>
  <c r="I527" i="7"/>
  <c r="E527" i="7"/>
  <c r="D527" i="7"/>
  <c r="C527" i="7"/>
  <c r="L526" i="7"/>
  <c r="I526" i="7"/>
  <c r="E526" i="7"/>
  <c r="D526" i="7"/>
  <c r="C526" i="7"/>
  <c r="L525" i="7"/>
  <c r="I525" i="7"/>
  <c r="E525" i="7"/>
  <c r="D525" i="7"/>
  <c r="C525" i="7"/>
  <c r="L524" i="7"/>
  <c r="I524" i="7"/>
  <c r="E524" i="7"/>
  <c r="D524" i="7"/>
  <c r="C524" i="7"/>
  <c r="L523" i="7"/>
  <c r="I523" i="7"/>
  <c r="E523" i="7"/>
  <c r="D523" i="7"/>
  <c r="C523" i="7"/>
  <c r="L522" i="7"/>
  <c r="I522" i="7"/>
  <c r="E522" i="7"/>
  <c r="D522" i="7"/>
  <c r="C522" i="7"/>
  <c r="L521" i="7"/>
  <c r="I521" i="7"/>
  <c r="E521" i="7"/>
  <c r="D521" i="7"/>
  <c r="C521" i="7"/>
  <c r="L520" i="7"/>
  <c r="I520" i="7"/>
  <c r="E520" i="7"/>
  <c r="D520" i="7"/>
  <c r="C520" i="7"/>
  <c r="L519" i="7"/>
  <c r="I519" i="7"/>
  <c r="E519" i="7"/>
  <c r="D519" i="7"/>
  <c r="C519" i="7"/>
  <c r="L518" i="7"/>
  <c r="I518" i="7"/>
  <c r="E518" i="7"/>
  <c r="D518" i="7"/>
  <c r="C518" i="7"/>
  <c r="L517" i="7"/>
  <c r="I517" i="7"/>
  <c r="E517" i="7"/>
  <c r="D517" i="7"/>
  <c r="C517" i="7"/>
  <c r="L516" i="7"/>
  <c r="I516" i="7"/>
  <c r="E516" i="7"/>
  <c r="D516" i="7"/>
  <c r="C516" i="7"/>
  <c r="L515" i="7"/>
  <c r="I515" i="7"/>
  <c r="E515" i="7"/>
  <c r="D515" i="7"/>
  <c r="C515" i="7"/>
  <c r="L514" i="7"/>
  <c r="I514" i="7"/>
  <c r="E514" i="7"/>
  <c r="D514" i="7"/>
  <c r="C514" i="7"/>
  <c r="L513" i="7"/>
  <c r="I513" i="7"/>
  <c r="E513" i="7"/>
  <c r="D513" i="7"/>
  <c r="C513" i="7"/>
  <c r="L512" i="7"/>
  <c r="I512" i="7"/>
  <c r="E512" i="7"/>
  <c r="D512" i="7"/>
  <c r="C512" i="7"/>
  <c r="L511" i="7"/>
  <c r="I511" i="7"/>
  <c r="E511" i="7"/>
  <c r="D511" i="7"/>
  <c r="C511" i="7"/>
  <c r="L510" i="7"/>
  <c r="I510" i="7"/>
  <c r="E510" i="7"/>
  <c r="D510" i="7"/>
  <c r="C510" i="7"/>
  <c r="L509" i="7"/>
  <c r="I509" i="7"/>
  <c r="E509" i="7"/>
  <c r="D509" i="7"/>
  <c r="C509" i="7"/>
  <c r="L508" i="7"/>
  <c r="I508" i="7"/>
  <c r="E508" i="7"/>
  <c r="D508" i="7"/>
  <c r="C508" i="7"/>
  <c r="L507" i="7"/>
  <c r="I507" i="7"/>
  <c r="E507" i="7"/>
  <c r="D507" i="7"/>
  <c r="C507" i="7"/>
  <c r="L506" i="7"/>
  <c r="I506" i="7"/>
  <c r="E506" i="7"/>
  <c r="D506" i="7"/>
  <c r="C506" i="7"/>
  <c r="L505" i="7"/>
  <c r="I505" i="7"/>
  <c r="E505" i="7"/>
  <c r="D505" i="7"/>
  <c r="C505" i="7"/>
  <c r="L504" i="7"/>
  <c r="I504" i="7"/>
  <c r="E504" i="7"/>
  <c r="D504" i="7"/>
  <c r="C504" i="7"/>
  <c r="L503" i="7"/>
  <c r="I503" i="7"/>
  <c r="E503" i="7"/>
  <c r="D503" i="7"/>
  <c r="C503" i="7"/>
  <c r="L502" i="7"/>
  <c r="I502" i="7"/>
  <c r="E502" i="7"/>
  <c r="D502" i="7"/>
  <c r="C502" i="7"/>
  <c r="L501" i="7"/>
  <c r="I501" i="7"/>
  <c r="E501" i="7"/>
  <c r="D501" i="7"/>
  <c r="C501" i="7"/>
  <c r="L500" i="7"/>
  <c r="I500" i="7"/>
  <c r="E500" i="7"/>
  <c r="D500" i="7"/>
  <c r="C500" i="7"/>
  <c r="L499" i="7"/>
  <c r="I499" i="7"/>
  <c r="E499" i="7"/>
  <c r="D499" i="7"/>
  <c r="C499" i="7"/>
  <c r="L498" i="7"/>
  <c r="I498" i="7"/>
  <c r="E498" i="7"/>
  <c r="D498" i="7"/>
  <c r="C498" i="7"/>
  <c r="L497" i="7"/>
  <c r="I497" i="7"/>
  <c r="E497" i="7"/>
  <c r="D497" i="7"/>
  <c r="C497" i="7"/>
  <c r="L496" i="7"/>
  <c r="I496" i="7"/>
  <c r="E496" i="7"/>
  <c r="D496" i="7"/>
  <c r="C496" i="7"/>
  <c r="L495" i="7"/>
  <c r="I495" i="7"/>
  <c r="E495" i="7"/>
  <c r="D495" i="7"/>
  <c r="C495" i="7"/>
  <c r="L494" i="7"/>
  <c r="I494" i="7"/>
  <c r="E494" i="7"/>
  <c r="D494" i="7"/>
  <c r="C494" i="7"/>
  <c r="L493" i="7"/>
  <c r="I493" i="7"/>
  <c r="E493" i="7"/>
  <c r="D493" i="7"/>
  <c r="C493" i="7"/>
  <c r="L492" i="7"/>
  <c r="I492" i="7"/>
  <c r="E492" i="7"/>
  <c r="D492" i="7"/>
  <c r="C492" i="7"/>
  <c r="L491" i="7"/>
  <c r="I491" i="7"/>
  <c r="E491" i="7"/>
  <c r="D491" i="7"/>
  <c r="C491" i="7"/>
  <c r="L490" i="7"/>
  <c r="I490" i="7"/>
  <c r="E490" i="7"/>
  <c r="D490" i="7"/>
  <c r="C490" i="7"/>
  <c r="L489" i="7"/>
  <c r="I489" i="7"/>
  <c r="E489" i="7"/>
  <c r="D489" i="7"/>
  <c r="C489" i="7"/>
  <c r="L488" i="7"/>
  <c r="I488" i="7"/>
  <c r="E488" i="7"/>
  <c r="D488" i="7"/>
  <c r="C488" i="7"/>
  <c r="L487" i="7"/>
  <c r="I487" i="7"/>
  <c r="E487" i="7"/>
  <c r="D487" i="7"/>
  <c r="C487" i="7"/>
  <c r="L486" i="7"/>
  <c r="I486" i="7"/>
  <c r="E486" i="7"/>
  <c r="D486" i="7"/>
  <c r="C486" i="7"/>
  <c r="L485" i="7"/>
  <c r="I485" i="7"/>
  <c r="E485" i="7"/>
  <c r="D485" i="7"/>
  <c r="C485" i="7"/>
  <c r="L484" i="7"/>
  <c r="I484" i="7"/>
  <c r="E484" i="7"/>
  <c r="D484" i="7"/>
  <c r="C484" i="7"/>
  <c r="L483" i="7"/>
  <c r="I483" i="7"/>
  <c r="E483" i="7"/>
  <c r="D483" i="7"/>
  <c r="C483" i="7"/>
  <c r="L482" i="7"/>
  <c r="I482" i="7"/>
  <c r="E482" i="7"/>
  <c r="D482" i="7"/>
  <c r="C482" i="7"/>
  <c r="L481" i="7"/>
  <c r="I481" i="7"/>
  <c r="E481" i="7"/>
  <c r="D481" i="7"/>
  <c r="C481" i="7"/>
  <c r="L480" i="7"/>
  <c r="I480" i="7"/>
  <c r="E480" i="7"/>
  <c r="D480" i="7"/>
  <c r="C480" i="7"/>
  <c r="L479" i="7"/>
  <c r="I479" i="7"/>
  <c r="E479" i="7"/>
  <c r="D479" i="7"/>
  <c r="C479" i="7"/>
  <c r="L478" i="7"/>
  <c r="I478" i="7"/>
  <c r="E478" i="7"/>
  <c r="D478" i="7"/>
  <c r="C478" i="7"/>
  <c r="L477" i="7"/>
  <c r="I477" i="7"/>
  <c r="E477" i="7"/>
  <c r="D477" i="7"/>
  <c r="C477" i="7"/>
  <c r="L476" i="7"/>
  <c r="I476" i="7"/>
  <c r="E476" i="7"/>
  <c r="D476" i="7"/>
  <c r="C476" i="7"/>
  <c r="L475" i="7"/>
  <c r="I475" i="7"/>
  <c r="E475" i="7"/>
  <c r="D475" i="7"/>
  <c r="C475" i="7"/>
  <c r="L474" i="7"/>
  <c r="I474" i="7"/>
  <c r="E474" i="7"/>
  <c r="D474" i="7"/>
  <c r="C474" i="7"/>
  <c r="L473" i="7"/>
  <c r="I473" i="7"/>
  <c r="E473" i="7"/>
  <c r="D473" i="7"/>
  <c r="C473" i="7"/>
  <c r="L472" i="7"/>
  <c r="I472" i="7"/>
  <c r="E472" i="7"/>
  <c r="D472" i="7"/>
  <c r="C472" i="7"/>
  <c r="L471" i="7"/>
  <c r="I471" i="7"/>
  <c r="E471" i="7"/>
  <c r="D471" i="7"/>
  <c r="C471" i="7"/>
  <c r="L470" i="7"/>
  <c r="I470" i="7"/>
  <c r="E470" i="7"/>
  <c r="D470" i="7"/>
  <c r="C470" i="7"/>
  <c r="L469" i="7"/>
  <c r="I469" i="7"/>
  <c r="E469" i="7"/>
  <c r="D469" i="7"/>
  <c r="C469" i="7"/>
  <c r="L468" i="7"/>
  <c r="I468" i="7"/>
  <c r="E468" i="7"/>
  <c r="D468" i="7"/>
  <c r="C468" i="7"/>
  <c r="L467" i="7"/>
  <c r="I467" i="7"/>
  <c r="E467" i="7"/>
  <c r="D467" i="7"/>
  <c r="C467" i="7"/>
  <c r="L466" i="7"/>
  <c r="I466" i="7"/>
  <c r="E466" i="7"/>
  <c r="D466" i="7"/>
  <c r="C466" i="7"/>
  <c r="L465" i="7"/>
  <c r="I465" i="7"/>
  <c r="E465" i="7"/>
  <c r="D465" i="7"/>
  <c r="C465" i="7"/>
  <c r="L464" i="7"/>
  <c r="I464" i="7"/>
  <c r="E464" i="7"/>
  <c r="D464" i="7"/>
  <c r="C464" i="7"/>
  <c r="L463" i="7"/>
  <c r="I463" i="7"/>
  <c r="E463" i="7"/>
  <c r="D463" i="7"/>
  <c r="C463" i="7"/>
  <c r="L462" i="7"/>
  <c r="I462" i="7"/>
  <c r="E462" i="7"/>
  <c r="D462" i="7"/>
  <c r="C462" i="7"/>
  <c r="L461" i="7"/>
  <c r="I461" i="7"/>
  <c r="E461" i="7"/>
  <c r="D461" i="7"/>
  <c r="C461" i="7"/>
  <c r="L460" i="7"/>
  <c r="I460" i="7"/>
  <c r="E460" i="7"/>
  <c r="D460" i="7"/>
  <c r="C460" i="7"/>
  <c r="L459" i="7"/>
  <c r="I459" i="7"/>
  <c r="E459" i="7"/>
  <c r="D459" i="7"/>
  <c r="C459" i="7"/>
  <c r="L458" i="7"/>
  <c r="I458" i="7"/>
  <c r="E458" i="7"/>
  <c r="D458" i="7"/>
  <c r="C458" i="7"/>
  <c r="L457" i="7"/>
  <c r="I457" i="7"/>
  <c r="E457" i="7"/>
  <c r="D457" i="7"/>
  <c r="C457" i="7"/>
  <c r="L456" i="7"/>
  <c r="I456" i="7"/>
  <c r="E456" i="7"/>
  <c r="D456" i="7"/>
  <c r="C456" i="7"/>
  <c r="L455" i="7"/>
  <c r="I455" i="7"/>
  <c r="E455" i="7"/>
  <c r="D455" i="7"/>
  <c r="C455" i="7"/>
  <c r="L454" i="7"/>
  <c r="I454" i="7"/>
  <c r="E454" i="7"/>
  <c r="D454" i="7"/>
  <c r="C454" i="7"/>
  <c r="L453" i="7"/>
  <c r="I453" i="7"/>
  <c r="E453" i="7"/>
  <c r="D453" i="7"/>
  <c r="C453" i="7"/>
  <c r="L452" i="7"/>
  <c r="I452" i="7"/>
  <c r="E452" i="7"/>
  <c r="D452" i="7"/>
  <c r="C452" i="7"/>
  <c r="L451" i="7"/>
  <c r="I451" i="7"/>
  <c r="E451" i="7"/>
  <c r="D451" i="7"/>
  <c r="C451" i="7"/>
  <c r="L450" i="7"/>
  <c r="I450" i="7"/>
  <c r="E450" i="7"/>
  <c r="D450" i="7"/>
  <c r="C450" i="7"/>
  <c r="L449" i="7"/>
  <c r="I449" i="7"/>
  <c r="E449" i="7"/>
  <c r="D449" i="7"/>
  <c r="C449" i="7"/>
  <c r="L448" i="7"/>
  <c r="I448" i="7"/>
  <c r="E448" i="7"/>
  <c r="D448" i="7"/>
  <c r="C448" i="7"/>
  <c r="L447" i="7"/>
  <c r="I447" i="7"/>
  <c r="E447" i="7"/>
  <c r="D447" i="7"/>
  <c r="C447" i="7"/>
  <c r="L446" i="7"/>
  <c r="I446" i="7"/>
  <c r="E446" i="7"/>
  <c r="D446" i="7"/>
  <c r="C446" i="7"/>
  <c r="L445" i="7"/>
  <c r="I445" i="7"/>
  <c r="E445" i="7"/>
  <c r="D445" i="7"/>
  <c r="C445" i="7"/>
  <c r="L444" i="7"/>
  <c r="I444" i="7"/>
  <c r="E444" i="7"/>
  <c r="D444" i="7"/>
  <c r="C444" i="7"/>
  <c r="L443" i="7"/>
  <c r="I443" i="7"/>
  <c r="E443" i="7"/>
  <c r="D443" i="7"/>
  <c r="C443" i="7"/>
  <c r="L442" i="7"/>
  <c r="I442" i="7"/>
  <c r="E442" i="7"/>
  <c r="D442" i="7"/>
  <c r="C442" i="7"/>
  <c r="L441" i="7"/>
  <c r="I441" i="7"/>
  <c r="E441" i="7"/>
  <c r="D441" i="7"/>
  <c r="C441" i="7"/>
  <c r="L440" i="7"/>
  <c r="I440" i="7"/>
  <c r="E440" i="7"/>
  <c r="D440" i="7"/>
  <c r="C440" i="7"/>
  <c r="L439" i="7"/>
  <c r="I439" i="7"/>
  <c r="E439" i="7"/>
  <c r="D439" i="7"/>
  <c r="C439" i="7"/>
  <c r="L438" i="7"/>
  <c r="I438" i="7"/>
  <c r="E438" i="7"/>
  <c r="D438" i="7"/>
  <c r="C438" i="7"/>
  <c r="L437" i="7"/>
  <c r="I437" i="7"/>
  <c r="E437" i="7"/>
  <c r="D437" i="7"/>
  <c r="C437" i="7"/>
  <c r="L436" i="7"/>
  <c r="I436" i="7"/>
  <c r="E436" i="7"/>
  <c r="D436" i="7"/>
  <c r="C436" i="7"/>
  <c r="L435" i="7"/>
  <c r="I435" i="7"/>
  <c r="E435" i="7"/>
  <c r="D435" i="7"/>
  <c r="C435" i="7"/>
  <c r="L434" i="7"/>
  <c r="I434" i="7"/>
  <c r="E434" i="7"/>
  <c r="D434" i="7"/>
  <c r="C434" i="7"/>
  <c r="L433" i="7"/>
  <c r="I433" i="7"/>
  <c r="E433" i="7"/>
  <c r="D433" i="7"/>
  <c r="C433" i="7"/>
  <c r="L432" i="7"/>
  <c r="I432" i="7"/>
  <c r="E432" i="7"/>
  <c r="D432" i="7"/>
  <c r="C432" i="7"/>
  <c r="L431" i="7"/>
  <c r="I431" i="7"/>
  <c r="E431" i="7"/>
  <c r="D431" i="7"/>
  <c r="C431" i="7"/>
  <c r="L430" i="7"/>
  <c r="I430" i="7"/>
  <c r="E430" i="7"/>
  <c r="D430" i="7"/>
  <c r="C430" i="7"/>
  <c r="L429" i="7"/>
  <c r="I429" i="7"/>
  <c r="E429" i="7"/>
  <c r="D429" i="7"/>
  <c r="C429" i="7"/>
  <c r="L428" i="7"/>
  <c r="I428" i="7"/>
  <c r="E428" i="7"/>
  <c r="D428" i="7"/>
  <c r="C428" i="7"/>
  <c r="L427" i="7"/>
  <c r="I427" i="7"/>
  <c r="E427" i="7"/>
  <c r="D427" i="7"/>
  <c r="C427" i="7"/>
  <c r="L426" i="7"/>
  <c r="I426" i="7"/>
  <c r="E426" i="7"/>
  <c r="D426" i="7"/>
  <c r="C426" i="7"/>
  <c r="L425" i="7"/>
  <c r="I425" i="7"/>
  <c r="E425" i="7"/>
  <c r="D425" i="7"/>
  <c r="C425" i="7"/>
  <c r="L424" i="7"/>
  <c r="I424" i="7"/>
  <c r="E424" i="7"/>
  <c r="D424" i="7"/>
  <c r="C424" i="7"/>
  <c r="L423" i="7"/>
  <c r="I423" i="7"/>
  <c r="E423" i="7"/>
  <c r="D423" i="7"/>
  <c r="C423" i="7"/>
  <c r="L422" i="7"/>
  <c r="I422" i="7"/>
  <c r="E422" i="7"/>
  <c r="D422" i="7"/>
  <c r="C422" i="7"/>
  <c r="L421" i="7"/>
  <c r="I421" i="7"/>
  <c r="E421" i="7"/>
  <c r="D421" i="7"/>
  <c r="C421" i="7"/>
  <c r="L420" i="7"/>
  <c r="I420" i="7"/>
  <c r="E420" i="7"/>
  <c r="D420" i="7"/>
  <c r="C420" i="7"/>
  <c r="L419" i="7"/>
  <c r="I419" i="7"/>
  <c r="E419" i="7"/>
  <c r="D419" i="7"/>
  <c r="C419" i="7"/>
  <c r="L418" i="7"/>
  <c r="I418" i="7"/>
  <c r="E418" i="7"/>
  <c r="D418" i="7"/>
  <c r="C418" i="7"/>
  <c r="L417" i="7"/>
  <c r="I417" i="7"/>
  <c r="E417" i="7"/>
  <c r="D417" i="7"/>
  <c r="C417" i="7"/>
  <c r="L416" i="7"/>
  <c r="I416" i="7"/>
  <c r="E416" i="7"/>
  <c r="D416" i="7"/>
  <c r="C416" i="7"/>
  <c r="L415" i="7"/>
  <c r="I415" i="7"/>
  <c r="E415" i="7"/>
  <c r="D415" i="7"/>
  <c r="C415" i="7"/>
  <c r="L414" i="7"/>
  <c r="I414" i="7"/>
  <c r="E414" i="7"/>
  <c r="D414" i="7"/>
  <c r="C414" i="7"/>
  <c r="L413" i="7"/>
  <c r="I413" i="7"/>
  <c r="E413" i="7"/>
  <c r="D413" i="7"/>
  <c r="C413" i="7"/>
  <c r="L412" i="7"/>
  <c r="I412" i="7"/>
  <c r="E412" i="7"/>
  <c r="D412" i="7"/>
  <c r="C412" i="7"/>
  <c r="L411" i="7"/>
  <c r="I411" i="7"/>
  <c r="E411" i="7"/>
  <c r="D411" i="7"/>
  <c r="C411" i="7"/>
  <c r="L410" i="7"/>
  <c r="I410" i="7"/>
  <c r="E410" i="7"/>
  <c r="D410" i="7"/>
  <c r="C410" i="7"/>
  <c r="L409" i="7"/>
  <c r="I409" i="7"/>
  <c r="E409" i="7"/>
  <c r="D409" i="7"/>
  <c r="C409" i="7"/>
  <c r="L408" i="7"/>
  <c r="I408" i="7"/>
  <c r="E408" i="7"/>
  <c r="D408" i="7"/>
  <c r="C408" i="7"/>
  <c r="L407" i="7"/>
  <c r="I407" i="7"/>
  <c r="E407" i="7"/>
  <c r="D407" i="7"/>
  <c r="C407" i="7"/>
  <c r="L406" i="7"/>
  <c r="I406" i="7"/>
  <c r="E406" i="7"/>
  <c r="D406" i="7"/>
  <c r="C406" i="7"/>
  <c r="L405" i="7"/>
  <c r="I405" i="7"/>
  <c r="E405" i="7"/>
  <c r="D405" i="7"/>
  <c r="C405" i="7"/>
  <c r="L404" i="7"/>
  <c r="I404" i="7"/>
  <c r="E404" i="7"/>
  <c r="D404" i="7"/>
  <c r="C404" i="7"/>
  <c r="L403" i="7"/>
  <c r="I403" i="7"/>
  <c r="E403" i="7"/>
  <c r="D403" i="7"/>
  <c r="C403" i="7"/>
  <c r="L402" i="7"/>
  <c r="I402" i="7"/>
  <c r="E402" i="7"/>
  <c r="D402" i="7"/>
  <c r="C402" i="7"/>
  <c r="L401" i="7"/>
  <c r="I401" i="7"/>
  <c r="E401" i="7"/>
  <c r="D401" i="7"/>
  <c r="C401" i="7"/>
  <c r="L400" i="7"/>
  <c r="I400" i="7"/>
  <c r="E400" i="7"/>
  <c r="D400" i="7"/>
  <c r="C400" i="7"/>
  <c r="L399" i="7"/>
  <c r="I399" i="7"/>
  <c r="E399" i="7"/>
  <c r="D399" i="7"/>
  <c r="C399" i="7"/>
  <c r="L398" i="7"/>
  <c r="I398" i="7"/>
  <c r="E398" i="7"/>
  <c r="D398" i="7"/>
  <c r="C398" i="7"/>
  <c r="L397" i="7"/>
  <c r="I397" i="7"/>
  <c r="E397" i="7"/>
  <c r="D397" i="7"/>
  <c r="C397" i="7"/>
  <c r="L396" i="7"/>
  <c r="I396" i="7"/>
  <c r="E396" i="7"/>
  <c r="D396" i="7"/>
  <c r="C396" i="7"/>
  <c r="L395" i="7"/>
  <c r="I395" i="7"/>
  <c r="E395" i="7"/>
  <c r="D395" i="7"/>
  <c r="C395" i="7"/>
  <c r="L394" i="7"/>
  <c r="I394" i="7"/>
  <c r="E394" i="7"/>
  <c r="D394" i="7"/>
  <c r="C394" i="7"/>
  <c r="L393" i="7"/>
  <c r="I393" i="7"/>
  <c r="E393" i="7"/>
  <c r="D393" i="7"/>
  <c r="C393" i="7"/>
  <c r="L392" i="7"/>
  <c r="I392" i="7"/>
  <c r="E392" i="7"/>
  <c r="D392" i="7"/>
  <c r="C392" i="7"/>
  <c r="L391" i="7"/>
  <c r="I391" i="7"/>
  <c r="E391" i="7"/>
  <c r="D391" i="7"/>
  <c r="C391" i="7"/>
  <c r="L390" i="7"/>
  <c r="I390" i="7"/>
  <c r="E390" i="7"/>
  <c r="D390" i="7"/>
  <c r="C390" i="7"/>
  <c r="L389" i="7"/>
  <c r="I389" i="7"/>
  <c r="E389" i="7"/>
  <c r="D389" i="7"/>
  <c r="C389" i="7"/>
  <c r="L388" i="7"/>
  <c r="I388" i="7"/>
  <c r="E388" i="7"/>
  <c r="D388" i="7"/>
  <c r="C388" i="7"/>
  <c r="L387" i="7"/>
  <c r="I387" i="7"/>
  <c r="E387" i="7"/>
  <c r="D387" i="7"/>
  <c r="C387" i="7"/>
  <c r="L386" i="7"/>
  <c r="I386" i="7"/>
  <c r="E386" i="7"/>
  <c r="D386" i="7"/>
  <c r="C386" i="7"/>
  <c r="L385" i="7"/>
  <c r="I385" i="7"/>
  <c r="E385" i="7"/>
  <c r="D385" i="7"/>
  <c r="C385" i="7"/>
  <c r="L384" i="7"/>
  <c r="I384" i="7"/>
  <c r="E384" i="7"/>
  <c r="D384" i="7"/>
  <c r="C384" i="7"/>
  <c r="L383" i="7"/>
  <c r="I383" i="7"/>
  <c r="E383" i="7"/>
  <c r="D383" i="7"/>
  <c r="C383" i="7"/>
  <c r="L382" i="7"/>
  <c r="I382" i="7"/>
  <c r="E382" i="7"/>
  <c r="D382" i="7"/>
  <c r="C382" i="7"/>
  <c r="L381" i="7"/>
  <c r="I381" i="7"/>
  <c r="E381" i="7"/>
  <c r="D381" i="7"/>
  <c r="C381" i="7"/>
  <c r="L380" i="7"/>
  <c r="I380" i="7"/>
  <c r="E380" i="7"/>
  <c r="D380" i="7"/>
  <c r="C380" i="7"/>
  <c r="L379" i="7"/>
  <c r="I379" i="7"/>
  <c r="E379" i="7"/>
  <c r="D379" i="7"/>
  <c r="C379" i="7"/>
  <c r="L378" i="7"/>
  <c r="I378" i="7"/>
  <c r="E378" i="7"/>
  <c r="D378" i="7"/>
  <c r="C378" i="7"/>
  <c r="L377" i="7"/>
  <c r="I377" i="7"/>
  <c r="E377" i="7"/>
  <c r="D377" i="7"/>
  <c r="C377" i="7"/>
  <c r="L376" i="7"/>
  <c r="I376" i="7"/>
  <c r="E376" i="7"/>
  <c r="D376" i="7"/>
  <c r="C376" i="7"/>
  <c r="L375" i="7"/>
  <c r="I375" i="7"/>
  <c r="E375" i="7"/>
  <c r="D375" i="7"/>
  <c r="C375" i="7"/>
  <c r="L374" i="7"/>
  <c r="I374" i="7"/>
  <c r="E374" i="7"/>
  <c r="D374" i="7"/>
  <c r="C374" i="7"/>
  <c r="L373" i="7"/>
  <c r="I373" i="7"/>
  <c r="E373" i="7"/>
  <c r="D373" i="7"/>
  <c r="C373" i="7"/>
  <c r="L372" i="7"/>
  <c r="I372" i="7"/>
  <c r="E372" i="7"/>
  <c r="D372" i="7"/>
  <c r="C372" i="7"/>
  <c r="L371" i="7"/>
  <c r="I371" i="7"/>
  <c r="E371" i="7"/>
  <c r="D371" i="7"/>
  <c r="C371" i="7"/>
  <c r="L370" i="7"/>
  <c r="I370" i="7"/>
  <c r="E370" i="7"/>
  <c r="D370" i="7"/>
  <c r="C370" i="7"/>
  <c r="L369" i="7"/>
  <c r="I369" i="7"/>
  <c r="E369" i="7"/>
  <c r="D369" i="7"/>
  <c r="C369" i="7"/>
  <c r="L368" i="7"/>
  <c r="I368" i="7"/>
  <c r="E368" i="7"/>
  <c r="D368" i="7"/>
  <c r="C368" i="7"/>
  <c r="L367" i="7"/>
  <c r="I367" i="7"/>
  <c r="E367" i="7"/>
  <c r="D367" i="7"/>
  <c r="C367" i="7"/>
  <c r="L366" i="7"/>
  <c r="I366" i="7"/>
  <c r="E366" i="7"/>
  <c r="D366" i="7"/>
  <c r="C366" i="7"/>
  <c r="L365" i="7"/>
  <c r="I365" i="7"/>
  <c r="E365" i="7"/>
  <c r="D365" i="7"/>
  <c r="C365" i="7"/>
  <c r="L364" i="7"/>
  <c r="I364" i="7"/>
  <c r="E364" i="7"/>
  <c r="D364" i="7"/>
  <c r="C364" i="7"/>
  <c r="L363" i="7"/>
  <c r="I363" i="7"/>
  <c r="E363" i="7"/>
  <c r="D363" i="7"/>
  <c r="C363" i="7"/>
  <c r="L362" i="7"/>
  <c r="I362" i="7"/>
  <c r="E362" i="7"/>
  <c r="D362" i="7"/>
  <c r="C362" i="7"/>
  <c r="L361" i="7"/>
  <c r="I361" i="7"/>
  <c r="E361" i="7"/>
  <c r="D361" i="7"/>
  <c r="C361" i="7"/>
  <c r="L360" i="7"/>
  <c r="I360" i="7"/>
  <c r="E360" i="7"/>
  <c r="D360" i="7"/>
  <c r="C360" i="7"/>
  <c r="L359" i="7"/>
  <c r="I359" i="7"/>
  <c r="E359" i="7"/>
  <c r="D359" i="7"/>
  <c r="C359" i="7"/>
  <c r="L358" i="7"/>
  <c r="I358" i="7"/>
  <c r="E358" i="7"/>
  <c r="D358" i="7"/>
  <c r="C358" i="7"/>
  <c r="L357" i="7"/>
  <c r="I357" i="7"/>
  <c r="E357" i="7"/>
  <c r="D357" i="7"/>
  <c r="C357" i="7"/>
  <c r="L356" i="7"/>
  <c r="I356" i="7"/>
  <c r="E356" i="7"/>
  <c r="D356" i="7"/>
  <c r="C356" i="7"/>
  <c r="L355" i="7"/>
  <c r="I355" i="7"/>
  <c r="E355" i="7"/>
  <c r="D355" i="7"/>
  <c r="C355" i="7"/>
  <c r="L354" i="7"/>
  <c r="I354" i="7"/>
  <c r="E354" i="7"/>
  <c r="D354" i="7"/>
  <c r="C354" i="7"/>
  <c r="L353" i="7"/>
  <c r="I353" i="7"/>
  <c r="E353" i="7"/>
  <c r="D353" i="7"/>
  <c r="C353" i="7"/>
  <c r="L352" i="7"/>
  <c r="I352" i="7"/>
  <c r="E352" i="7"/>
  <c r="D352" i="7"/>
  <c r="C352" i="7"/>
  <c r="L351" i="7"/>
  <c r="I351" i="7"/>
  <c r="E351" i="7"/>
  <c r="D351" i="7"/>
  <c r="C351" i="7"/>
  <c r="L350" i="7"/>
  <c r="I350" i="7"/>
  <c r="E350" i="7"/>
  <c r="D350" i="7"/>
  <c r="C350" i="7"/>
  <c r="L349" i="7"/>
  <c r="I349" i="7"/>
  <c r="E349" i="7"/>
  <c r="D349" i="7"/>
  <c r="C349" i="7"/>
  <c r="L348" i="7"/>
  <c r="I348" i="7"/>
  <c r="E348" i="7"/>
  <c r="D348" i="7"/>
  <c r="C348" i="7"/>
  <c r="L347" i="7"/>
  <c r="I347" i="7"/>
  <c r="E347" i="7"/>
  <c r="D347" i="7"/>
  <c r="C347" i="7"/>
  <c r="L346" i="7"/>
  <c r="I346" i="7"/>
  <c r="E346" i="7"/>
  <c r="D346" i="7"/>
  <c r="C346" i="7"/>
  <c r="L345" i="7"/>
  <c r="I345" i="7"/>
  <c r="E345" i="7"/>
  <c r="D345" i="7"/>
  <c r="C345" i="7"/>
  <c r="L344" i="7"/>
  <c r="I344" i="7"/>
  <c r="E344" i="7"/>
  <c r="D344" i="7"/>
  <c r="C344" i="7"/>
  <c r="L343" i="7"/>
  <c r="I343" i="7"/>
  <c r="E343" i="7"/>
  <c r="D343" i="7"/>
  <c r="C343" i="7"/>
  <c r="L342" i="7"/>
  <c r="I342" i="7"/>
  <c r="E342" i="7"/>
  <c r="D342" i="7"/>
  <c r="C342" i="7"/>
  <c r="L341" i="7"/>
  <c r="I341" i="7"/>
  <c r="E341" i="7"/>
  <c r="D341" i="7"/>
  <c r="C341" i="7"/>
  <c r="L340" i="7"/>
  <c r="I340" i="7"/>
  <c r="E340" i="7"/>
  <c r="D340" i="7"/>
  <c r="C340" i="7"/>
  <c r="L339" i="7"/>
  <c r="I339" i="7"/>
  <c r="E339" i="7"/>
  <c r="D339" i="7"/>
  <c r="C339" i="7"/>
  <c r="L338" i="7"/>
  <c r="I338" i="7"/>
  <c r="E338" i="7"/>
  <c r="D338" i="7"/>
  <c r="C338" i="7"/>
  <c r="L337" i="7"/>
  <c r="I337" i="7"/>
  <c r="E337" i="7"/>
  <c r="D337" i="7"/>
  <c r="C337" i="7"/>
  <c r="L336" i="7"/>
  <c r="I336" i="7"/>
  <c r="E336" i="7"/>
  <c r="D336" i="7"/>
  <c r="C336" i="7"/>
  <c r="L335" i="7"/>
  <c r="I335" i="7"/>
  <c r="E335" i="7"/>
  <c r="D335" i="7"/>
  <c r="C335" i="7"/>
  <c r="L334" i="7"/>
  <c r="I334" i="7"/>
  <c r="E334" i="7"/>
  <c r="D334" i="7"/>
  <c r="C334" i="7"/>
  <c r="L333" i="7"/>
  <c r="I333" i="7"/>
  <c r="E333" i="7"/>
  <c r="D333" i="7"/>
  <c r="C333" i="7"/>
  <c r="L332" i="7"/>
  <c r="I332" i="7"/>
  <c r="E332" i="7"/>
  <c r="D332" i="7"/>
  <c r="C332" i="7"/>
  <c r="L331" i="7"/>
  <c r="I331" i="7"/>
  <c r="E331" i="7"/>
  <c r="D331" i="7"/>
  <c r="C331" i="7"/>
  <c r="L330" i="7"/>
  <c r="I330" i="7"/>
  <c r="E330" i="7"/>
  <c r="D330" i="7"/>
  <c r="C330" i="7"/>
  <c r="L329" i="7"/>
  <c r="I329" i="7"/>
  <c r="E329" i="7"/>
  <c r="D329" i="7"/>
  <c r="C329" i="7"/>
  <c r="L328" i="7"/>
  <c r="I328" i="7"/>
  <c r="E328" i="7"/>
  <c r="D328" i="7"/>
  <c r="C328" i="7"/>
  <c r="L327" i="7"/>
  <c r="I327" i="7"/>
  <c r="E327" i="7"/>
  <c r="D327" i="7"/>
  <c r="C327" i="7"/>
  <c r="L326" i="7"/>
  <c r="I326" i="7"/>
  <c r="E326" i="7"/>
  <c r="D326" i="7"/>
  <c r="C326" i="7"/>
  <c r="L325" i="7"/>
  <c r="I325" i="7"/>
  <c r="E325" i="7"/>
  <c r="D325" i="7"/>
  <c r="C325" i="7"/>
  <c r="L324" i="7"/>
  <c r="I324" i="7"/>
  <c r="E324" i="7"/>
  <c r="D324" i="7"/>
  <c r="C324" i="7"/>
  <c r="L323" i="7"/>
  <c r="I323" i="7"/>
  <c r="E323" i="7"/>
  <c r="D323" i="7"/>
  <c r="C323" i="7"/>
  <c r="L322" i="7"/>
  <c r="I322" i="7"/>
  <c r="E322" i="7"/>
  <c r="D322" i="7"/>
  <c r="C322" i="7"/>
  <c r="L321" i="7"/>
  <c r="I321" i="7"/>
  <c r="E321" i="7"/>
  <c r="D321" i="7"/>
  <c r="C321" i="7"/>
  <c r="L320" i="7"/>
  <c r="I320" i="7"/>
  <c r="E320" i="7"/>
  <c r="D320" i="7"/>
  <c r="C320" i="7"/>
  <c r="L319" i="7"/>
  <c r="I319" i="7"/>
  <c r="E319" i="7"/>
  <c r="D319" i="7"/>
  <c r="C319" i="7"/>
  <c r="L318" i="7"/>
  <c r="I318" i="7"/>
  <c r="E318" i="7"/>
  <c r="D318" i="7"/>
  <c r="C318" i="7"/>
  <c r="L317" i="7"/>
  <c r="I317" i="7"/>
  <c r="E317" i="7"/>
  <c r="D317" i="7"/>
  <c r="C317" i="7"/>
  <c r="L316" i="7"/>
  <c r="I316" i="7"/>
  <c r="E316" i="7"/>
  <c r="D316" i="7"/>
  <c r="C316" i="7"/>
  <c r="L315" i="7"/>
  <c r="I315" i="7"/>
  <c r="E315" i="7"/>
  <c r="D315" i="7"/>
  <c r="C315" i="7"/>
  <c r="L314" i="7"/>
  <c r="I314" i="7"/>
  <c r="E314" i="7"/>
  <c r="D314" i="7"/>
  <c r="C314" i="7"/>
  <c r="L313" i="7"/>
  <c r="I313" i="7"/>
  <c r="E313" i="7"/>
  <c r="D313" i="7"/>
  <c r="C313" i="7"/>
  <c r="L312" i="7"/>
  <c r="I312" i="7"/>
  <c r="E312" i="7"/>
  <c r="D312" i="7"/>
  <c r="C312" i="7"/>
  <c r="L311" i="7"/>
  <c r="I311" i="7"/>
  <c r="E311" i="7"/>
  <c r="D311" i="7"/>
  <c r="C311" i="7"/>
  <c r="L310" i="7"/>
  <c r="I310" i="7"/>
  <c r="E310" i="7"/>
  <c r="D310" i="7"/>
  <c r="C310" i="7"/>
  <c r="L309" i="7"/>
  <c r="I309" i="7"/>
  <c r="E309" i="7"/>
  <c r="D309" i="7"/>
  <c r="C309" i="7"/>
  <c r="L308" i="7"/>
  <c r="I308" i="7"/>
  <c r="E308" i="7"/>
  <c r="D308" i="7"/>
  <c r="C308" i="7"/>
  <c r="L307" i="7"/>
  <c r="I307" i="7"/>
  <c r="E307" i="7"/>
  <c r="D307" i="7"/>
  <c r="C307" i="7"/>
  <c r="L306" i="7"/>
  <c r="I306" i="7"/>
  <c r="E306" i="7"/>
  <c r="D306" i="7"/>
  <c r="C306" i="7"/>
  <c r="L305" i="7"/>
  <c r="I305" i="7"/>
  <c r="E305" i="7"/>
  <c r="D305" i="7"/>
  <c r="C305" i="7"/>
  <c r="L304" i="7"/>
  <c r="I304" i="7"/>
  <c r="E304" i="7"/>
  <c r="D304" i="7"/>
  <c r="C304" i="7"/>
  <c r="L303" i="7"/>
  <c r="I303" i="7"/>
  <c r="E303" i="7"/>
  <c r="D303" i="7"/>
  <c r="C303" i="7"/>
  <c r="L302" i="7"/>
  <c r="I302" i="7"/>
  <c r="E302" i="7"/>
  <c r="D302" i="7"/>
  <c r="C302" i="7"/>
  <c r="L301" i="7"/>
  <c r="I301" i="7"/>
  <c r="E301" i="7"/>
  <c r="D301" i="7"/>
  <c r="C301" i="7"/>
  <c r="L300" i="7"/>
  <c r="I300" i="7"/>
  <c r="E300" i="7"/>
  <c r="D300" i="7"/>
  <c r="C300" i="7"/>
  <c r="L299" i="7"/>
  <c r="I299" i="7"/>
  <c r="E299" i="7"/>
  <c r="D299" i="7"/>
  <c r="C299" i="7"/>
  <c r="L298" i="7"/>
  <c r="I298" i="7"/>
  <c r="E298" i="7"/>
  <c r="D298" i="7"/>
  <c r="C298" i="7"/>
  <c r="L297" i="7"/>
  <c r="I297" i="7"/>
  <c r="E297" i="7"/>
  <c r="D297" i="7"/>
  <c r="C297" i="7"/>
  <c r="L296" i="7"/>
  <c r="I296" i="7"/>
  <c r="E296" i="7"/>
  <c r="D296" i="7"/>
  <c r="C296" i="7"/>
  <c r="L295" i="7"/>
  <c r="I295" i="7"/>
  <c r="E295" i="7"/>
  <c r="D295" i="7"/>
  <c r="C295" i="7"/>
  <c r="L294" i="7"/>
  <c r="I294" i="7"/>
  <c r="E294" i="7"/>
  <c r="D294" i="7"/>
  <c r="C294" i="7"/>
  <c r="L293" i="7"/>
  <c r="I293" i="7"/>
  <c r="E293" i="7"/>
  <c r="D293" i="7"/>
  <c r="C293" i="7"/>
  <c r="L292" i="7"/>
  <c r="I292" i="7"/>
  <c r="E292" i="7"/>
  <c r="D292" i="7"/>
  <c r="C292" i="7"/>
  <c r="L291" i="7"/>
  <c r="I291" i="7"/>
  <c r="E291" i="7"/>
  <c r="D291" i="7"/>
  <c r="C291" i="7"/>
  <c r="L290" i="7"/>
  <c r="I290" i="7"/>
  <c r="E290" i="7"/>
  <c r="D290" i="7"/>
  <c r="C290" i="7"/>
  <c r="L289" i="7"/>
  <c r="I289" i="7"/>
  <c r="E289" i="7"/>
  <c r="D289" i="7"/>
  <c r="C289" i="7"/>
  <c r="L288" i="7"/>
  <c r="I288" i="7"/>
  <c r="E288" i="7"/>
  <c r="D288" i="7"/>
  <c r="C288" i="7"/>
  <c r="L287" i="7"/>
  <c r="I287" i="7"/>
  <c r="E287" i="7"/>
  <c r="D287" i="7"/>
  <c r="C287" i="7"/>
  <c r="L286" i="7"/>
  <c r="I286" i="7"/>
  <c r="E286" i="7"/>
  <c r="D286" i="7"/>
  <c r="C286" i="7"/>
  <c r="L285" i="7"/>
  <c r="I285" i="7"/>
  <c r="E285" i="7"/>
  <c r="D285" i="7"/>
  <c r="C285" i="7"/>
  <c r="L284" i="7"/>
  <c r="I284" i="7"/>
  <c r="E284" i="7"/>
  <c r="D284" i="7"/>
  <c r="C284" i="7"/>
  <c r="L283" i="7"/>
  <c r="I283" i="7"/>
  <c r="E283" i="7"/>
  <c r="D283" i="7"/>
  <c r="C283" i="7"/>
  <c r="L282" i="7"/>
  <c r="I282" i="7"/>
  <c r="E282" i="7"/>
  <c r="D282" i="7"/>
  <c r="C282" i="7"/>
  <c r="L281" i="7"/>
  <c r="I281" i="7"/>
  <c r="E281" i="7"/>
  <c r="D281" i="7"/>
  <c r="C281" i="7"/>
  <c r="L280" i="7"/>
  <c r="I280" i="7"/>
  <c r="E280" i="7"/>
  <c r="D280" i="7"/>
  <c r="C280" i="7"/>
  <c r="L279" i="7"/>
  <c r="I279" i="7"/>
  <c r="E279" i="7"/>
  <c r="D279" i="7"/>
  <c r="C279" i="7"/>
  <c r="L278" i="7"/>
  <c r="I278" i="7"/>
  <c r="E278" i="7"/>
  <c r="D278" i="7"/>
  <c r="C278" i="7"/>
  <c r="L277" i="7"/>
  <c r="I277" i="7"/>
  <c r="E277" i="7"/>
  <c r="D277" i="7"/>
  <c r="C277" i="7"/>
  <c r="L276" i="7"/>
  <c r="I276" i="7"/>
  <c r="E276" i="7"/>
  <c r="D276" i="7"/>
  <c r="C276" i="7"/>
  <c r="L275" i="7"/>
  <c r="I275" i="7"/>
  <c r="E275" i="7"/>
  <c r="D275" i="7"/>
  <c r="C275" i="7"/>
  <c r="L274" i="7"/>
  <c r="I274" i="7"/>
  <c r="E274" i="7"/>
  <c r="D274" i="7"/>
  <c r="C274" i="7"/>
  <c r="L273" i="7"/>
  <c r="I273" i="7"/>
  <c r="E273" i="7"/>
  <c r="D273" i="7"/>
  <c r="C273" i="7"/>
  <c r="L272" i="7"/>
  <c r="I272" i="7"/>
  <c r="E272" i="7"/>
  <c r="D272" i="7"/>
  <c r="C272" i="7"/>
  <c r="L271" i="7"/>
  <c r="I271" i="7"/>
  <c r="E271" i="7"/>
  <c r="D271" i="7"/>
  <c r="C271" i="7"/>
  <c r="L270" i="7"/>
  <c r="I270" i="7"/>
  <c r="E270" i="7"/>
  <c r="D270" i="7"/>
  <c r="C270" i="7"/>
  <c r="L269" i="7"/>
  <c r="I269" i="7"/>
  <c r="E269" i="7"/>
  <c r="D269" i="7"/>
  <c r="C269" i="7"/>
  <c r="L268" i="7"/>
  <c r="I268" i="7"/>
  <c r="E268" i="7"/>
  <c r="D268" i="7"/>
  <c r="C268" i="7"/>
  <c r="L267" i="7"/>
  <c r="I267" i="7"/>
  <c r="E267" i="7"/>
  <c r="D267" i="7"/>
  <c r="C267" i="7"/>
  <c r="L266" i="7"/>
  <c r="I266" i="7"/>
  <c r="E266" i="7"/>
  <c r="D266" i="7"/>
  <c r="C266" i="7"/>
  <c r="L265" i="7"/>
  <c r="I265" i="7"/>
  <c r="E265" i="7"/>
  <c r="D265" i="7"/>
  <c r="C265" i="7"/>
  <c r="L264" i="7"/>
  <c r="I264" i="7"/>
  <c r="E264" i="7"/>
  <c r="D264" i="7"/>
  <c r="C264" i="7"/>
  <c r="L263" i="7"/>
  <c r="I263" i="7"/>
  <c r="E263" i="7"/>
  <c r="D263" i="7"/>
  <c r="C263" i="7"/>
  <c r="L262" i="7"/>
  <c r="I262" i="7"/>
  <c r="E262" i="7"/>
  <c r="D262" i="7"/>
  <c r="C262" i="7"/>
  <c r="L261" i="7"/>
  <c r="I261" i="7"/>
  <c r="E261" i="7"/>
  <c r="D261" i="7"/>
  <c r="C261" i="7"/>
  <c r="L260" i="7"/>
  <c r="I260" i="7"/>
  <c r="E260" i="7"/>
  <c r="D260" i="7"/>
  <c r="C260" i="7"/>
  <c r="L259" i="7"/>
  <c r="I259" i="7"/>
  <c r="E259" i="7"/>
  <c r="D259" i="7"/>
  <c r="C259" i="7"/>
  <c r="L258" i="7"/>
  <c r="I258" i="7"/>
  <c r="E258" i="7"/>
  <c r="D258" i="7"/>
  <c r="C258" i="7"/>
  <c r="L257" i="7"/>
  <c r="I257" i="7"/>
  <c r="E257" i="7"/>
  <c r="D257" i="7"/>
  <c r="C257" i="7"/>
  <c r="L256" i="7"/>
  <c r="I256" i="7"/>
  <c r="E256" i="7"/>
  <c r="D256" i="7"/>
  <c r="C256" i="7"/>
  <c r="L255" i="7"/>
  <c r="I255" i="7"/>
  <c r="E255" i="7"/>
  <c r="D255" i="7"/>
  <c r="C255" i="7"/>
  <c r="L254" i="7"/>
  <c r="I254" i="7"/>
  <c r="E254" i="7"/>
  <c r="D254" i="7"/>
  <c r="C254" i="7"/>
  <c r="L253" i="7"/>
  <c r="I253" i="7"/>
  <c r="E253" i="7"/>
  <c r="D253" i="7"/>
  <c r="C253" i="7"/>
  <c r="L252" i="7"/>
  <c r="I252" i="7"/>
  <c r="E252" i="7"/>
  <c r="D252" i="7"/>
  <c r="C252" i="7"/>
  <c r="L251" i="7"/>
  <c r="I251" i="7"/>
  <c r="E251" i="7"/>
  <c r="D251" i="7"/>
  <c r="C251" i="7"/>
  <c r="L250" i="7"/>
  <c r="I250" i="7"/>
  <c r="E250" i="7"/>
  <c r="D250" i="7"/>
  <c r="C250" i="7"/>
  <c r="L249" i="7"/>
  <c r="I249" i="7"/>
  <c r="E249" i="7"/>
  <c r="D249" i="7"/>
  <c r="C249" i="7"/>
  <c r="L248" i="7"/>
  <c r="I248" i="7"/>
  <c r="E248" i="7"/>
  <c r="D248" i="7"/>
  <c r="C248" i="7"/>
  <c r="L247" i="7"/>
  <c r="I247" i="7"/>
  <c r="E247" i="7"/>
  <c r="D247" i="7"/>
  <c r="C247" i="7"/>
  <c r="L246" i="7"/>
  <c r="I246" i="7"/>
  <c r="E246" i="7"/>
  <c r="D246" i="7"/>
  <c r="C246" i="7"/>
  <c r="L245" i="7"/>
  <c r="I245" i="7"/>
  <c r="E245" i="7"/>
  <c r="D245" i="7"/>
  <c r="C245" i="7"/>
  <c r="L244" i="7"/>
  <c r="I244" i="7"/>
  <c r="E244" i="7"/>
  <c r="D244" i="7"/>
  <c r="C244" i="7"/>
  <c r="L243" i="7"/>
  <c r="I243" i="7"/>
  <c r="E243" i="7"/>
  <c r="D243" i="7"/>
  <c r="C243" i="7"/>
  <c r="L242" i="7"/>
  <c r="I242" i="7"/>
  <c r="E242" i="7"/>
  <c r="D242" i="7"/>
  <c r="C242" i="7"/>
  <c r="L241" i="7"/>
  <c r="I241" i="7"/>
  <c r="E241" i="7"/>
  <c r="D241" i="7"/>
  <c r="C241" i="7"/>
  <c r="L240" i="7"/>
  <c r="I240" i="7"/>
  <c r="E240" i="7"/>
  <c r="D240" i="7"/>
  <c r="C240" i="7"/>
  <c r="L239" i="7"/>
  <c r="I239" i="7"/>
  <c r="E239" i="7"/>
  <c r="D239" i="7"/>
  <c r="C239" i="7"/>
  <c r="L238" i="7"/>
  <c r="I238" i="7"/>
  <c r="E238" i="7"/>
  <c r="D238" i="7"/>
  <c r="C238" i="7"/>
  <c r="L237" i="7"/>
  <c r="I237" i="7"/>
  <c r="E237" i="7"/>
  <c r="D237" i="7"/>
  <c r="C237" i="7"/>
  <c r="L236" i="7"/>
  <c r="I236" i="7"/>
  <c r="E236" i="7"/>
  <c r="D236" i="7"/>
  <c r="C236" i="7"/>
  <c r="L235" i="7"/>
  <c r="I235" i="7"/>
  <c r="E235" i="7"/>
  <c r="D235" i="7"/>
  <c r="C235" i="7"/>
  <c r="L234" i="7"/>
  <c r="I234" i="7"/>
  <c r="E234" i="7"/>
  <c r="D234" i="7"/>
  <c r="C234" i="7"/>
  <c r="L233" i="7"/>
  <c r="I233" i="7"/>
  <c r="E233" i="7"/>
  <c r="D233" i="7"/>
  <c r="C233" i="7"/>
  <c r="L232" i="7"/>
  <c r="I232" i="7"/>
  <c r="E232" i="7"/>
  <c r="D232" i="7"/>
  <c r="C232" i="7"/>
  <c r="L231" i="7"/>
  <c r="I231" i="7"/>
  <c r="E231" i="7"/>
  <c r="D231" i="7"/>
  <c r="C231" i="7"/>
  <c r="L230" i="7"/>
  <c r="I230" i="7"/>
  <c r="E230" i="7"/>
  <c r="D230" i="7"/>
  <c r="C230" i="7"/>
  <c r="L229" i="7"/>
  <c r="I229" i="7"/>
  <c r="E229" i="7"/>
  <c r="D229" i="7"/>
  <c r="C229" i="7"/>
  <c r="L228" i="7"/>
  <c r="I228" i="7"/>
  <c r="E228" i="7"/>
  <c r="D228" i="7"/>
  <c r="C228" i="7"/>
  <c r="L227" i="7"/>
  <c r="I227" i="7"/>
  <c r="E227" i="7"/>
  <c r="D227" i="7"/>
  <c r="C227" i="7"/>
  <c r="L226" i="7"/>
  <c r="I226" i="7"/>
  <c r="E226" i="7"/>
  <c r="D226" i="7"/>
  <c r="C226" i="7"/>
  <c r="L225" i="7"/>
  <c r="I225" i="7"/>
  <c r="E225" i="7"/>
  <c r="D225" i="7"/>
  <c r="C225" i="7"/>
  <c r="L224" i="7"/>
  <c r="I224" i="7"/>
  <c r="E224" i="7"/>
  <c r="D224" i="7"/>
  <c r="C224" i="7"/>
  <c r="L223" i="7"/>
  <c r="I223" i="7"/>
  <c r="E223" i="7"/>
  <c r="D223" i="7"/>
  <c r="C223" i="7"/>
  <c r="L222" i="7"/>
  <c r="I222" i="7"/>
  <c r="E222" i="7"/>
  <c r="D222" i="7"/>
  <c r="C222" i="7"/>
  <c r="L221" i="7"/>
  <c r="I221" i="7"/>
  <c r="E221" i="7"/>
  <c r="D221" i="7"/>
  <c r="C221" i="7"/>
  <c r="L220" i="7"/>
  <c r="I220" i="7"/>
  <c r="E220" i="7"/>
  <c r="D220" i="7"/>
  <c r="C220" i="7"/>
  <c r="L219" i="7"/>
  <c r="I219" i="7"/>
  <c r="E219" i="7"/>
  <c r="D219" i="7"/>
  <c r="C219" i="7"/>
  <c r="L218" i="7"/>
  <c r="I218" i="7"/>
  <c r="E218" i="7"/>
  <c r="D218" i="7"/>
  <c r="C218" i="7"/>
  <c r="L217" i="7"/>
  <c r="I217" i="7"/>
  <c r="E217" i="7"/>
  <c r="D217" i="7"/>
  <c r="C217" i="7"/>
  <c r="L216" i="7"/>
  <c r="I216" i="7"/>
  <c r="E216" i="7"/>
  <c r="D216" i="7"/>
  <c r="C216" i="7"/>
  <c r="L215" i="7"/>
  <c r="I215" i="7"/>
  <c r="E215" i="7"/>
  <c r="D215" i="7"/>
  <c r="C215" i="7"/>
  <c r="L214" i="7"/>
  <c r="I214" i="7"/>
  <c r="E214" i="7"/>
  <c r="D214" i="7"/>
  <c r="C214" i="7"/>
  <c r="L213" i="7"/>
  <c r="I213" i="7"/>
  <c r="E213" i="7"/>
  <c r="D213" i="7"/>
  <c r="C213" i="7"/>
  <c r="L212" i="7"/>
  <c r="I212" i="7"/>
  <c r="E212" i="7"/>
  <c r="D212" i="7"/>
  <c r="C212" i="7"/>
  <c r="L211" i="7"/>
  <c r="I211" i="7"/>
  <c r="E211" i="7"/>
  <c r="D211" i="7"/>
  <c r="C211" i="7"/>
  <c r="L210" i="7"/>
  <c r="I210" i="7"/>
  <c r="E210" i="7"/>
  <c r="D210" i="7"/>
  <c r="C210" i="7"/>
  <c r="L209" i="7"/>
  <c r="I209" i="7"/>
  <c r="E209" i="7"/>
  <c r="D209" i="7"/>
  <c r="C209" i="7"/>
  <c r="L208" i="7"/>
  <c r="I208" i="7"/>
  <c r="E208" i="7"/>
  <c r="D208" i="7"/>
  <c r="C208" i="7"/>
  <c r="L207" i="7"/>
  <c r="I207" i="7"/>
  <c r="E207" i="7"/>
  <c r="D207" i="7"/>
  <c r="C207" i="7"/>
  <c r="L206" i="7"/>
  <c r="I206" i="7"/>
  <c r="E206" i="7"/>
  <c r="D206" i="7"/>
  <c r="C206" i="7"/>
  <c r="L205" i="7"/>
  <c r="I205" i="7"/>
  <c r="E205" i="7"/>
  <c r="D205" i="7"/>
  <c r="C205" i="7"/>
  <c r="L204" i="7"/>
  <c r="I204" i="7"/>
  <c r="E204" i="7"/>
  <c r="D204" i="7"/>
  <c r="C204" i="7"/>
  <c r="L203" i="7"/>
  <c r="I203" i="7"/>
  <c r="E203" i="7"/>
  <c r="D203" i="7"/>
  <c r="C203" i="7"/>
  <c r="L202" i="7"/>
  <c r="I202" i="7"/>
  <c r="E202" i="7"/>
  <c r="D202" i="7"/>
  <c r="C202" i="7"/>
  <c r="L201" i="7"/>
  <c r="I201" i="7"/>
  <c r="E201" i="7"/>
  <c r="D201" i="7"/>
  <c r="C201" i="7"/>
  <c r="L200" i="7"/>
  <c r="I200" i="7"/>
  <c r="E200" i="7"/>
  <c r="D200" i="7"/>
  <c r="C200" i="7"/>
  <c r="L199" i="7"/>
  <c r="I199" i="7"/>
  <c r="E199" i="7"/>
  <c r="D199" i="7"/>
  <c r="C199" i="7"/>
  <c r="L198" i="7"/>
  <c r="I198" i="7"/>
  <c r="E198" i="7"/>
  <c r="D198" i="7"/>
  <c r="C198" i="7"/>
  <c r="L197" i="7"/>
  <c r="I197" i="7"/>
  <c r="E197" i="7"/>
  <c r="D197" i="7"/>
  <c r="C197" i="7"/>
  <c r="L196" i="7"/>
  <c r="I196" i="7"/>
  <c r="E196" i="7"/>
  <c r="D196" i="7"/>
  <c r="C196" i="7"/>
  <c r="L195" i="7"/>
  <c r="I195" i="7"/>
  <c r="E195" i="7"/>
  <c r="D195" i="7"/>
  <c r="C195" i="7"/>
  <c r="L194" i="7"/>
  <c r="I194" i="7"/>
  <c r="E194" i="7"/>
  <c r="D194" i="7"/>
  <c r="C194" i="7"/>
  <c r="L193" i="7"/>
  <c r="I193" i="7"/>
  <c r="E193" i="7"/>
  <c r="D193" i="7"/>
  <c r="C193" i="7"/>
  <c r="L192" i="7"/>
  <c r="I192" i="7"/>
  <c r="E192" i="7"/>
  <c r="D192" i="7"/>
  <c r="C192" i="7"/>
  <c r="L191" i="7"/>
  <c r="I191" i="7"/>
  <c r="E191" i="7"/>
  <c r="D191" i="7"/>
  <c r="C191" i="7"/>
  <c r="L190" i="7"/>
  <c r="I190" i="7"/>
  <c r="E190" i="7"/>
  <c r="D190" i="7"/>
  <c r="C190" i="7"/>
  <c r="L189" i="7"/>
  <c r="I189" i="7"/>
  <c r="E189" i="7"/>
  <c r="D189" i="7"/>
  <c r="C189" i="7"/>
  <c r="L188" i="7"/>
  <c r="I188" i="7"/>
  <c r="E188" i="7"/>
  <c r="D188" i="7"/>
  <c r="C188" i="7"/>
  <c r="L187" i="7"/>
  <c r="I187" i="7"/>
  <c r="E187" i="7"/>
  <c r="D187" i="7"/>
  <c r="C187" i="7"/>
  <c r="L186" i="7"/>
  <c r="I186" i="7"/>
  <c r="E186" i="7"/>
  <c r="D186" i="7"/>
  <c r="C186" i="7"/>
  <c r="L185" i="7"/>
  <c r="I185" i="7"/>
  <c r="E185" i="7"/>
  <c r="D185" i="7"/>
  <c r="C185" i="7"/>
  <c r="L184" i="7"/>
  <c r="I184" i="7"/>
  <c r="E184" i="7"/>
  <c r="D184" i="7"/>
  <c r="C184" i="7"/>
  <c r="L183" i="7"/>
  <c r="I183" i="7"/>
  <c r="E183" i="7"/>
  <c r="D183" i="7"/>
  <c r="C183" i="7"/>
  <c r="L182" i="7"/>
  <c r="I182" i="7"/>
  <c r="E182" i="7"/>
  <c r="D182" i="7"/>
  <c r="C182" i="7"/>
  <c r="L181" i="7"/>
  <c r="I181" i="7"/>
  <c r="E181" i="7"/>
  <c r="D181" i="7"/>
  <c r="C181" i="7"/>
  <c r="L180" i="7"/>
  <c r="I180" i="7"/>
  <c r="E180" i="7"/>
  <c r="D180" i="7"/>
  <c r="C180" i="7"/>
  <c r="L179" i="7"/>
  <c r="I179" i="7"/>
  <c r="E179" i="7"/>
  <c r="D179" i="7"/>
  <c r="C179" i="7"/>
  <c r="L178" i="7"/>
  <c r="I178" i="7"/>
  <c r="E178" i="7"/>
  <c r="D178" i="7"/>
  <c r="C178" i="7"/>
  <c r="L177" i="7"/>
  <c r="I177" i="7"/>
  <c r="E177" i="7"/>
  <c r="D177" i="7"/>
  <c r="C177" i="7"/>
  <c r="L176" i="7"/>
  <c r="I176" i="7"/>
  <c r="E176" i="7"/>
  <c r="D176" i="7"/>
  <c r="C176" i="7"/>
  <c r="L175" i="7"/>
  <c r="I175" i="7"/>
  <c r="E175" i="7"/>
  <c r="D175" i="7"/>
  <c r="C175" i="7"/>
  <c r="L174" i="7"/>
  <c r="I174" i="7"/>
  <c r="E174" i="7"/>
  <c r="D174" i="7"/>
  <c r="C174" i="7"/>
  <c r="L173" i="7"/>
  <c r="I173" i="7"/>
  <c r="E173" i="7"/>
  <c r="D173" i="7"/>
  <c r="C173" i="7"/>
  <c r="L172" i="7"/>
  <c r="I172" i="7"/>
  <c r="E172" i="7"/>
  <c r="D172" i="7"/>
  <c r="C172" i="7"/>
  <c r="L171" i="7"/>
  <c r="I171" i="7"/>
  <c r="E171" i="7"/>
  <c r="D171" i="7"/>
  <c r="C171" i="7"/>
  <c r="L170" i="7"/>
  <c r="I170" i="7"/>
  <c r="E170" i="7"/>
  <c r="D170" i="7"/>
  <c r="C170" i="7"/>
  <c r="L169" i="7"/>
  <c r="I169" i="7"/>
  <c r="E169" i="7"/>
  <c r="D169" i="7"/>
  <c r="C169" i="7"/>
  <c r="L168" i="7"/>
  <c r="I168" i="7"/>
  <c r="E168" i="7"/>
  <c r="D168" i="7"/>
  <c r="C168" i="7"/>
  <c r="L167" i="7"/>
  <c r="I167" i="7"/>
  <c r="E167" i="7"/>
  <c r="D167" i="7"/>
  <c r="C167" i="7"/>
  <c r="L166" i="7"/>
  <c r="I166" i="7"/>
  <c r="E166" i="7"/>
  <c r="D166" i="7"/>
  <c r="C166" i="7"/>
  <c r="L165" i="7"/>
  <c r="I165" i="7"/>
  <c r="E165" i="7"/>
  <c r="D165" i="7"/>
  <c r="C165" i="7"/>
  <c r="L164" i="7"/>
  <c r="I164" i="7"/>
  <c r="E164" i="7"/>
  <c r="D164" i="7"/>
  <c r="C164" i="7"/>
  <c r="L163" i="7"/>
  <c r="I163" i="7"/>
  <c r="E163" i="7"/>
  <c r="D163" i="7"/>
  <c r="C163" i="7"/>
  <c r="L162" i="7"/>
  <c r="I162" i="7"/>
  <c r="E162" i="7"/>
  <c r="D162" i="7"/>
  <c r="C162" i="7"/>
  <c r="L161" i="7"/>
  <c r="I161" i="7"/>
  <c r="E161" i="7"/>
  <c r="D161" i="7"/>
  <c r="C161" i="7"/>
  <c r="L160" i="7"/>
  <c r="I160" i="7"/>
  <c r="E160" i="7"/>
  <c r="D160" i="7"/>
  <c r="C160" i="7"/>
  <c r="L159" i="7"/>
  <c r="I159" i="7"/>
  <c r="E159" i="7"/>
  <c r="D159" i="7"/>
  <c r="C159" i="7"/>
  <c r="L158" i="7"/>
  <c r="I158" i="7"/>
  <c r="E158" i="7"/>
  <c r="D158" i="7"/>
  <c r="C158" i="7"/>
  <c r="L157" i="7"/>
  <c r="I157" i="7"/>
  <c r="E157" i="7"/>
  <c r="D157" i="7"/>
  <c r="C157" i="7"/>
  <c r="L156" i="7"/>
  <c r="I156" i="7"/>
  <c r="E156" i="7"/>
  <c r="D156" i="7"/>
  <c r="C156" i="7"/>
  <c r="L155" i="7"/>
  <c r="I155" i="7"/>
  <c r="E155" i="7"/>
  <c r="D155" i="7"/>
  <c r="C155" i="7"/>
  <c r="L154" i="7"/>
  <c r="I154" i="7"/>
  <c r="E154" i="7"/>
  <c r="D154" i="7"/>
  <c r="C154" i="7"/>
  <c r="L153" i="7"/>
  <c r="I153" i="7"/>
  <c r="E153" i="7"/>
  <c r="D153" i="7"/>
  <c r="C153" i="7"/>
  <c r="L152" i="7"/>
  <c r="I152" i="7"/>
  <c r="E152" i="7"/>
  <c r="D152" i="7"/>
  <c r="C152" i="7"/>
  <c r="L151" i="7"/>
  <c r="I151" i="7"/>
  <c r="E151" i="7"/>
  <c r="D151" i="7"/>
  <c r="C151" i="7"/>
  <c r="L150" i="7"/>
  <c r="I150" i="7"/>
  <c r="E150" i="7"/>
  <c r="D150" i="7"/>
  <c r="C150" i="7"/>
  <c r="L149" i="7"/>
  <c r="I149" i="7"/>
  <c r="E149" i="7"/>
  <c r="D149" i="7"/>
  <c r="C149" i="7"/>
  <c r="L148" i="7"/>
  <c r="I148" i="7"/>
  <c r="E148" i="7"/>
  <c r="D148" i="7"/>
  <c r="C148" i="7"/>
  <c r="L147" i="7"/>
  <c r="I147" i="7"/>
  <c r="E147" i="7"/>
  <c r="D147" i="7"/>
  <c r="C147" i="7"/>
  <c r="L146" i="7"/>
  <c r="I146" i="7"/>
  <c r="E146" i="7"/>
  <c r="D146" i="7"/>
  <c r="C146" i="7"/>
  <c r="L145" i="7"/>
  <c r="I145" i="7"/>
  <c r="E145" i="7"/>
  <c r="D145" i="7"/>
  <c r="C145" i="7"/>
  <c r="L144" i="7"/>
  <c r="I144" i="7"/>
  <c r="E144" i="7"/>
  <c r="D144" i="7"/>
  <c r="C144" i="7"/>
  <c r="L143" i="7"/>
  <c r="I143" i="7"/>
  <c r="E143" i="7"/>
  <c r="D143" i="7"/>
  <c r="C143" i="7"/>
  <c r="L142" i="7"/>
  <c r="I142" i="7"/>
  <c r="E142" i="7"/>
  <c r="D142" i="7"/>
  <c r="C142" i="7"/>
  <c r="L141" i="7"/>
  <c r="I141" i="7"/>
  <c r="E141" i="7"/>
  <c r="D141" i="7"/>
  <c r="C141" i="7"/>
  <c r="L140" i="7"/>
  <c r="I140" i="7"/>
  <c r="E140" i="7"/>
  <c r="D140" i="7"/>
  <c r="C140" i="7"/>
  <c r="L139" i="7"/>
  <c r="I139" i="7"/>
  <c r="E139" i="7"/>
  <c r="D139" i="7"/>
  <c r="C139" i="7"/>
  <c r="L138" i="7"/>
  <c r="I138" i="7"/>
  <c r="E138" i="7"/>
  <c r="D138" i="7"/>
  <c r="C138" i="7"/>
  <c r="L137" i="7"/>
  <c r="I137" i="7"/>
  <c r="E137" i="7"/>
  <c r="D137" i="7"/>
  <c r="C137" i="7"/>
  <c r="L136" i="7"/>
  <c r="I136" i="7"/>
  <c r="E136" i="7"/>
  <c r="D136" i="7"/>
  <c r="C136" i="7"/>
  <c r="L135" i="7"/>
  <c r="I135" i="7"/>
  <c r="E135" i="7"/>
  <c r="D135" i="7"/>
  <c r="C135" i="7"/>
  <c r="L134" i="7"/>
  <c r="I134" i="7"/>
  <c r="E134" i="7"/>
  <c r="D134" i="7"/>
  <c r="C134" i="7"/>
  <c r="L133" i="7"/>
  <c r="I133" i="7"/>
  <c r="E133" i="7"/>
  <c r="D133" i="7"/>
  <c r="C133" i="7"/>
  <c r="L132" i="7"/>
  <c r="I132" i="7"/>
  <c r="E132" i="7"/>
  <c r="D132" i="7"/>
  <c r="C132" i="7"/>
  <c r="L131" i="7"/>
  <c r="I131" i="7"/>
  <c r="E131" i="7"/>
  <c r="D131" i="7"/>
  <c r="C131" i="7"/>
  <c r="L130" i="7"/>
  <c r="I130" i="7"/>
  <c r="E130" i="7"/>
  <c r="D130" i="7"/>
  <c r="C130" i="7"/>
  <c r="L129" i="7"/>
  <c r="I129" i="7"/>
  <c r="E129" i="7"/>
  <c r="D129" i="7"/>
  <c r="C129" i="7"/>
  <c r="L128" i="7"/>
  <c r="I128" i="7"/>
  <c r="E128" i="7"/>
  <c r="D128" i="7"/>
  <c r="C128" i="7"/>
  <c r="L127" i="7"/>
  <c r="I127" i="7"/>
  <c r="E127" i="7"/>
  <c r="D127" i="7"/>
  <c r="C127" i="7"/>
  <c r="L126" i="7"/>
  <c r="I126" i="7"/>
  <c r="E126" i="7"/>
  <c r="D126" i="7"/>
  <c r="C126" i="7"/>
  <c r="L125" i="7"/>
  <c r="I125" i="7"/>
  <c r="E125" i="7"/>
  <c r="D125" i="7"/>
  <c r="C125" i="7"/>
  <c r="L124" i="7"/>
  <c r="I124" i="7"/>
  <c r="E124" i="7"/>
  <c r="D124" i="7"/>
  <c r="C124" i="7"/>
  <c r="L123" i="7"/>
  <c r="I123" i="7"/>
  <c r="E123" i="7"/>
  <c r="D123" i="7"/>
  <c r="C123" i="7"/>
  <c r="L122" i="7"/>
  <c r="I122" i="7"/>
  <c r="E122" i="7"/>
  <c r="D122" i="7"/>
  <c r="C122" i="7"/>
  <c r="L121" i="7"/>
  <c r="I121" i="7"/>
  <c r="E121" i="7"/>
  <c r="D121" i="7"/>
  <c r="C121" i="7"/>
  <c r="L120" i="7"/>
  <c r="I120" i="7"/>
  <c r="E120" i="7"/>
  <c r="D120" i="7"/>
  <c r="C120" i="7"/>
  <c r="L119" i="7"/>
  <c r="I119" i="7"/>
  <c r="E119" i="7"/>
  <c r="D119" i="7"/>
  <c r="C119" i="7"/>
  <c r="L118" i="7"/>
  <c r="I118" i="7"/>
  <c r="E118" i="7"/>
  <c r="D118" i="7"/>
  <c r="C118" i="7"/>
  <c r="L117" i="7"/>
  <c r="I117" i="7"/>
  <c r="E117" i="7"/>
  <c r="D117" i="7"/>
  <c r="C117" i="7"/>
  <c r="L116" i="7"/>
  <c r="I116" i="7"/>
  <c r="E116" i="7"/>
  <c r="D116" i="7"/>
  <c r="C116" i="7"/>
  <c r="L115" i="7"/>
  <c r="I115" i="7"/>
  <c r="E115" i="7"/>
  <c r="D115" i="7"/>
  <c r="C115" i="7"/>
  <c r="L114" i="7"/>
  <c r="I114" i="7"/>
  <c r="E114" i="7"/>
  <c r="D114" i="7"/>
  <c r="C114" i="7"/>
  <c r="L113" i="7"/>
  <c r="I113" i="7"/>
  <c r="E113" i="7"/>
  <c r="D113" i="7"/>
  <c r="C113" i="7"/>
  <c r="L112" i="7"/>
  <c r="I112" i="7"/>
  <c r="E112" i="7"/>
  <c r="D112" i="7"/>
  <c r="C112" i="7"/>
  <c r="L111" i="7"/>
  <c r="I111" i="7"/>
  <c r="E111" i="7"/>
  <c r="D111" i="7"/>
  <c r="C111" i="7"/>
  <c r="L110" i="7"/>
  <c r="I110" i="7"/>
  <c r="E110" i="7"/>
  <c r="D110" i="7"/>
  <c r="C110" i="7"/>
  <c r="L109" i="7"/>
  <c r="I109" i="7"/>
  <c r="E109" i="7"/>
  <c r="D109" i="7"/>
  <c r="C109" i="7"/>
  <c r="L108" i="7"/>
  <c r="I108" i="7"/>
  <c r="E108" i="7"/>
  <c r="D108" i="7"/>
  <c r="C108" i="7"/>
  <c r="L107" i="7"/>
  <c r="I107" i="7"/>
  <c r="E107" i="7"/>
  <c r="D107" i="7"/>
  <c r="C107" i="7"/>
  <c r="L106" i="7"/>
  <c r="I106" i="7"/>
  <c r="E106" i="7"/>
  <c r="D106" i="7"/>
  <c r="C106" i="7"/>
  <c r="L105" i="7"/>
  <c r="I105" i="7"/>
  <c r="E105" i="7"/>
  <c r="D105" i="7"/>
  <c r="C105" i="7"/>
  <c r="L104" i="7"/>
  <c r="I104" i="7"/>
  <c r="E104" i="7"/>
  <c r="D104" i="7"/>
  <c r="C104" i="7"/>
  <c r="L103" i="7"/>
  <c r="I103" i="7"/>
  <c r="E103" i="7"/>
  <c r="D103" i="7"/>
  <c r="C103" i="7"/>
  <c r="L102" i="7"/>
  <c r="I102" i="7"/>
  <c r="E102" i="7"/>
  <c r="D102" i="7"/>
  <c r="C102" i="7"/>
  <c r="L101" i="7"/>
  <c r="I101" i="7"/>
  <c r="E101" i="7"/>
  <c r="D101" i="7"/>
  <c r="C101" i="7"/>
  <c r="L100" i="7"/>
  <c r="I100" i="7"/>
  <c r="E100" i="7"/>
  <c r="D100" i="7"/>
  <c r="C100" i="7"/>
  <c r="L99" i="7"/>
  <c r="I99" i="7"/>
  <c r="E99" i="7"/>
  <c r="D99" i="7"/>
  <c r="C99" i="7"/>
  <c r="L98" i="7"/>
  <c r="I98" i="7"/>
  <c r="E98" i="7"/>
  <c r="D98" i="7"/>
  <c r="C98" i="7"/>
  <c r="L97" i="7"/>
  <c r="I97" i="7"/>
  <c r="E97" i="7"/>
  <c r="D97" i="7"/>
  <c r="C97" i="7"/>
  <c r="L96" i="7"/>
  <c r="I96" i="7"/>
  <c r="E96" i="7"/>
  <c r="D96" i="7"/>
  <c r="C96" i="7"/>
  <c r="L95" i="7"/>
  <c r="I95" i="7"/>
  <c r="E95" i="7"/>
  <c r="D95" i="7"/>
  <c r="C95" i="7"/>
  <c r="L94" i="7"/>
  <c r="I94" i="7"/>
  <c r="E94" i="7"/>
  <c r="D94" i="7"/>
  <c r="C94" i="7"/>
  <c r="L93" i="7"/>
  <c r="I93" i="7"/>
  <c r="E93" i="7"/>
  <c r="D93" i="7"/>
  <c r="C93" i="7"/>
  <c r="L92" i="7"/>
  <c r="I92" i="7"/>
  <c r="E92" i="7"/>
  <c r="D92" i="7"/>
  <c r="C92" i="7"/>
  <c r="L91" i="7"/>
  <c r="I91" i="7"/>
  <c r="E91" i="7"/>
  <c r="D91" i="7"/>
  <c r="C91" i="7"/>
  <c r="L90" i="7"/>
  <c r="I90" i="7"/>
  <c r="E90" i="7"/>
  <c r="D90" i="7"/>
  <c r="C90" i="7"/>
  <c r="L89" i="7"/>
  <c r="I89" i="7"/>
  <c r="E89" i="7"/>
  <c r="D89" i="7"/>
  <c r="C89" i="7"/>
  <c r="L88" i="7"/>
  <c r="I88" i="7"/>
  <c r="E88" i="7"/>
  <c r="D88" i="7"/>
  <c r="C88" i="7"/>
  <c r="L87" i="7"/>
  <c r="I87" i="7"/>
  <c r="E87" i="7"/>
  <c r="D87" i="7"/>
  <c r="C87" i="7"/>
  <c r="L86" i="7"/>
  <c r="I86" i="7"/>
  <c r="E86" i="7"/>
  <c r="D86" i="7"/>
  <c r="C86" i="7"/>
  <c r="L85" i="7"/>
  <c r="I85" i="7"/>
  <c r="E85" i="7"/>
  <c r="D85" i="7"/>
  <c r="C85" i="7"/>
  <c r="L84" i="7"/>
  <c r="I84" i="7"/>
  <c r="E84" i="7"/>
  <c r="D84" i="7"/>
  <c r="C84" i="7"/>
  <c r="L83" i="7"/>
  <c r="I83" i="7"/>
  <c r="E83" i="7"/>
  <c r="D83" i="7"/>
  <c r="C83" i="7"/>
  <c r="L82" i="7"/>
  <c r="I82" i="7"/>
  <c r="E82" i="7"/>
  <c r="D82" i="7"/>
  <c r="C82" i="7"/>
  <c r="L81" i="7"/>
  <c r="I81" i="7"/>
  <c r="E81" i="7"/>
  <c r="D81" i="7"/>
  <c r="C81" i="7"/>
  <c r="L80" i="7"/>
  <c r="I80" i="7"/>
  <c r="E80" i="7"/>
  <c r="D80" i="7"/>
  <c r="C80" i="7"/>
  <c r="L79" i="7"/>
  <c r="I79" i="7"/>
  <c r="E79" i="7"/>
  <c r="D79" i="7"/>
  <c r="C79" i="7"/>
  <c r="L78" i="7"/>
  <c r="I78" i="7"/>
  <c r="E78" i="7"/>
  <c r="D78" i="7"/>
  <c r="C78" i="7"/>
  <c r="L77" i="7"/>
  <c r="I77" i="7"/>
  <c r="E77" i="7"/>
  <c r="D77" i="7"/>
  <c r="C77" i="7"/>
  <c r="L76" i="7"/>
  <c r="I76" i="7"/>
  <c r="E76" i="7"/>
  <c r="D76" i="7"/>
  <c r="C76" i="7"/>
  <c r="L75" i="7"/>
  <c r="I75" i="7"/>
  <c r="E75" i="7"/>
  <c r="D75" i="7"/>
  <c r="C75" i="7"/>
  <c r="L74" i="7"/>
  <c r="I74" i="7"/>
  <c r="E74" i="7"/>
  <c r="D74" i="7"/>
  <c r="C74" i="7"/>
  <c r="L73" i="7"/>
  <c r="I73" i="7"/>
  <c r="E73" i="7"/>
  <c r="D73" i="7"/>
  <c r="C73" i="7"/>
  <c r="L72" i="7"/>
  <c r="I72" i="7"/>
  <c r="E72" i="7"/>
  <c r="D72" i="7"/>
  <c r="C72" i="7"/>
  <c r="L71" i="7"/>
  <c r="I71" i="7"/>
  <c r="E71" i="7"/>
  <c r="D71" i="7"/>
  <c r="C71" i="7"/>
  <c r="L70" i="7"/>
  <c r="I70" i="7"/>
  <c r="E70" i="7"/>
  <c r="D70" i="7"/>
  <c r="C70" i="7"/>
  <c r="L69" i="7"/>
  <c r="I69" i="7"/>
  <c r="E69" i="7"/>
  <c r="D69" i="7"/>
  <c r="C69" i="7"/>
  <c r="L68" i="7"/>
  <c r="I68" i="7"/>
  <c r="E68" i="7"/>
  <c r="D68" i="7"/>
  <c r="C68" i="7"/>
  <c r="L67" i="7"/>
  <c r="I67" i="7"/>
  <c r="E67" i="7"/>
  <c r="D67" i="7"/>
  <c r="C67" i="7"/>
  <c r="L66" i="7"/>
  <c r="I66" i="7"/>
  <c r="E66" i="7"/>
  <c r="D66" i="7"/>
  <c r="C66" i="7"/>
  <c r="L65" i="7"/>
  <c r="I65" i="7"/>
  <c r="E65" i="7"/>
  <c r="D65" i="7"/>
  <c r="C65" i="7"/>
  <c r="L64" i="7"/>
  <c r="I64" i="7"/>
  <c r="E64" i="7"/>
  <c r="D64" i="7"/>
  <c r="C64" i="7"/>
  <c r="L63" i="7"/>
  <c r="I63" i="7"/>
  <c r="E63" i="7"/>
  <c r="D63" i="7"/>
  <c r="C63" i="7"/>
  <c r="L62" i="7"/>
  <c r="I62" i="7"/>
  <c r="E62" i="7"/>
  <c r="D62" i="7"/>
  <c r="C62" i="7"/>
  <c r="L61" i="7"/>
  <c r="I61" i="7"/>
  <c r="E61" i="7"/>
  <c r="D61" i="7"/>
  <c r="C61" i="7"/>
  <c r="L60" i="7"/>
  <c r="I60" i="7"/>
  <c r="E60" i="7"/>
  <c r="D60" i="7"/>
  <c r="C60" i="7"/>
  <c r="L59" i="7"/>
  <c r="I59" i="7"/>
  <c r="E59" i="7"/>
  <c r="D59" i="7"/>
  <c r="C59" i="7"/>
  <c r="L58" i="7"/>
  <c r="I58" i="7"/>
  <c r="E58" i="7"/>
  <c r="D58" i="7"/>
  <c r="C58" i="7"/>
  <c r="L57" i="7"/>
  <c r="I57" i="7"/>
  <c r="E57" i="7"/>
  <c r="D57" i="7"/>
  <c r="C57" i="7"/>
  <c r="L56" i="7"/>
  <c r="I56" i="7"/>
  <c r="E56" i="7"/>
  <c r="D56" i="7"/>
  <c r="C56" i="7"/>
  <c r="L55" i="7"/>
  <c r="I55" i="7"/>
  <c r="E55" i="7"/>
  <c r="D55" i="7"/>
  <c r="C55" i="7"/>
  <c r="L54" i="7"/>
  <c r="I54" i="7"/>
  <c r="E54" i="7"/>
  <c r="D54" i="7"/>
  <c r="C54" i="7"/>
  <c r="L53" i="7"/>
  <c r="I53" i="7"/>
  <c r="E53" i="7"/>
  <c r="D53" i="7"/>
  <c r="C53" i="7"/>
  <c r="L52" i="7"/>
  <c r="I52" i="7"/>
  <c r="E52" i="7"/>
  <c r="D52" i="7"/>
  <c r="C52" i="7"/>
  <c r="L51" i="7"/>
  <c r="I51" i="7"/>
  <c r="E51" i="7"/>
  <c r="D51" i="7"/>
  <c r="C51" i="7"/>
  <c r="L50" i="7"/>
  <c r="I50" i="7"/>
  <c r="E50" i="7"/>
  <c r="D50" i="7"/>
  <c r="C50" i="7"/>
  <c r="L49" i="7"/>
  <c r="I49" i="7"/>
  <c r="E49" i="7"/>
  <c r="D49" i="7"/>
  <c r="C49" i="7"/>
  <c r="L48" i="7"/>
  <c r="I48" i="7"/>
  <c r="E48" i="7"/>
  <c r="D48" i="7"/>
  <c r="C48" i="7"/>
  <c r="L47" i="7"/>
  <c r="I47" i="7"/>
  <c r="E47" i="7"/>
  <c r="D47" i="7"/>
  <c r="C47" i="7"/>
  <c r="L46" i="7"/>
  <c r="I46" i="7"/>
  <c r="E46" i="7"/>
  <c r="D46" i="7"/>
  <c r="C46" i="7"/>
  <c r="L45" i="7"/>
  <c r="I45" i="7"/>
  <c r="E45" i="7"/>
  <c r="D45" i="7"/>
  <c r="C45" i="7"/>
  <c r="L44" i="7"/>
  <c r="I44" i="7"/>
  <c r="E44" i="7"/>
  <c r="D44" i="7"/>
  <c r="C44" i="7"/>
  <c r="L43" i="7"/>
  <c r="I43" i="7"/>
  <c r="E43" i="7"/>
  <c r="D43" i="7"/>
  <c r="C43" i="7"/>
  <c r="L42" i="7"/>
  <c r="I42" i="7"/>
  <c r="E42" i="7"/>
  <c r="D42" i="7"/>
  <c r="C42" i="7"/>
  <c r="L41" i="7"/>
  <c r="I41" i="7"/>
  <c r="E41" i="7"/>
  <c r="D41" i="7"/>
  <c r="C41" i="7"/>
  <c r="L40" i="7"/>
  <c r="I40" i="7"/>
  <c r="E40" i="7"/>
  <c r="D40" i="7"/>
  <c r="C40" i="7"/>
  <c r="L39" i="7"/>
  <c r="I39" i="7"/>
  <c r="E39" i="7"/>
  <c r="D39" i="7"/>
  <c r="C39" i="7"/>
  <c r="L38" i="7"/>
  <c r="I38" i="7"/>
  <c r="E38" i="7"/>
  <c r="D38" i="7"/>
  <c r="C38" i="7"/>
  <c r="L37" i="7"/>
  <c r="I37" i="7"/>
  <c r="E37" i="7"/>
  <c r="D37" i="7"/>
  <c r="C37" i="7"/>
  <c r="L36" i="7"/>
  <c r="I36" i="7"/>
  <c r="E36" i="7"/>
  <c r="D36" i="7"/>
  <c r="C36" i="7"/>
  <c r="L35" i="7"/>
  <c r="I35" i="7"/>
  <c r="E35" i="7"/>
  <c r="D35" i="7"/>
  <c r="C35" i="7"/>
  <c r="L34" i="7"/>
  <c r="I34" i="7"/>
  <c r="E34" i="7"/>
  <c r="D34" i="7"/>
  <c r="C34" i="7"/>
  <c r="L33" i="7"/>
  <c r="I33" i="7"/>
  <c r="E33" i="7"/>
  <c r="D33" i="7"/>
  <c r="C33" i="7"/>
  <c r="L32" i="7"/>
  <c r="I32" i="7"/>
  <c r="E32" i="7"/>
  <c r="D32" i="7"/>
  <c r="C32" i="7"/>
  <c r="L31" i="7"/>
  <c r="I31" i="7"/>
  <c r="E31" i="7"/>
  <c r="D31" i="7"/>
  <c r="C31" i="7"/>
  <c r="L30" i="7"/>
  <c r="I30" i="7"/>
  <c r="E30" i="7"/>
  <c r="D30" i="7"/>
  <c r="C30" i="7"/>
  <c r="L29" i="7"/>
  <c r="I29" i="7"/>
  <c r="E29" i="7"/>
  <c r="D29" i="7"/>
  <c r="C29" i="7"/>
  <c r="L28" i="7"/>
  <c r="I28" i="7"/>
  <c r="E28" i="7"/>
  <c r="D28" i="7"/>
  <c r="C28" i="7"/>
  <c r="L27" i="7"/>
  <c r="I27" i="7"/>
  <c r="E27" i="7"/>
  <c r="D27" i="7"/>
  <c r="C27" i="7"/>
  <c r="L26" i="7"/>
  <c r="I26" i="7"/>
  <c r="E26" i="7"/>
  <c r="D26" i="7"/>
  <c r="C26" i="7"/>
  <c r="L25" i="7"/>
  <c r="I25" i="7"/>
  <c r="E25" i="7"/>
  <c r="D25" i="7"/>
  <c r="C25" i="7"/>
  <c r="L24" i="7"/>
  <c r="I24" i="7"/>
  <c r="E24" i="7"/>
  <c r="D24" i="7"/>
  <c r="C24" i="7"/>
  <c r="L23" i="7"/>
  <c r="I23" i="7"/>
  <c r="E23" i="7"/>
  <c r="D23" i="7"/>
  <c r="C23" i="7"/>
  <c r="L22" i="7"/>
  <c r="I22" i="7"/>
  <c r="E22" i="7"/>
  <c r="D22" i="7"/>
  <c r="C22" i="7"/>
  <c r="L21" i="7"/>
  <c r="I21" i="7"/>
  <c r="E21" i="7"/>
  <c r="D21" i="7"/>
  <c r="C21" i="7"/>
  <c r="L20" i="7"/>
  <c r="I20" i="7"/>
  <c r="E20" i="7"/>
  <c r="D20" i="7"/>
  <c r="C20" i="7"/>
  <c r="L19" i="7"/>
  <c r="I19" i="7"/>
  <c r="E19" i="7"/>
  <c r="D19" i="7"/>
  <c r="C19" i="7"/>
  <c r="L18" i="7"/>
  <c r="I18" i="7"/>
  <c r="E18" i="7"/>
  <c r="D18" i="7"/>
  <c r="C18" i="7"/>
  <c r="L17" i="7"/>
  <c r="I17" i="7"/>
  <c r="E17" i="7"/>
  <c r="D17" i="7"/>
  <c r="C17" i="7"/>
  <c r="L16" i="7"/>
  <c r="I16" i="7"/>
  <c r="E16" i="7"/>
  <c r="D16" i="7"/>
  <c r="C16" i="7"/>
  <c r="L15" i="7"/>
  <c r="I15" i="7"/>
  <c r="E15" i="7"/>
  <c r="D15" i="7"/>
  <c r="C15" i="7"/>
  <c r="L14" i="7"/>
  <c r="I14" i="7"/>
  <c r="E14" i="7"/>
  <c r="D14" i="7"/>
  <c r="C14" i="7"/>
  <c r="L13" i="7"/>
  <c r="I13" i="7"/>
  <c r="E13" i="7"/>
  <c r="D13" i="7"/>
  <c r="C13" i="7"/>
  <c r="L12" i="7"/>
  <c r="I12" i="7"/>
  <c r="E12" i="7"/>
  <c r="D12" i="7"/>
  <c r="C12" i="7"/>
  <c r="L11" i="7"/>
  <c r="I11" i="7"/>
  <c r="E11" i="7"/>
  <c r="D11" i="7"/>
  <c r="C11" i="7"/>
  <c r="L10" i="7"/>
  <c r="I10" i="7"/>
  <c r="E10" i="7"/>
  <c r="D10" i="7"/>
  <c r="C10" i="7"/>
  <c r="L9" i="7"/>
  <c r="I9" i="7"/>
  <c r="E9" i="7"/>
  <c r="D9" i="7"/>
  <c r="C9" i="7"/>
  <c r="L8" i="7"/>
  <c r="I8" i="7"/>
  <c r="E8" i="7"/>
  <c r="D8" i="7"/>
  <c r="C8" i="7"/>
  <c r="L7" i="7"/>
  <c r="I7" i="7"/>
  <c r="E7" i="7"/>
  <c r="D7" i="7"/>
  <c r="C7" i="7"/>
  <c r="L6" i="7"/>
  <c r="I6" i="7"/>
  <c r="E6" i="7"/>
  <c r="D6" i="7"/>
  <c r="C6" i="7"/>
  <c r="L5" i="7"/>
  <c r="I5" i="7"/>
  <c r="E5" i="7"/>
  <c r="D5" i="7"/>
  <c r="C5" i="7"/>
  <c r="L4" i="7"/>
  <c r="I4" i="7"/>
  <c r="E4" i="7"/>
  <c r="D4" i="7"/>
  <c r="C4" i="7"/>
  <c r="L3" i="7"/>
  <c r="I3" i="7"/>
  <c r="E3" i="7"/>
  <c r="D3" i="7"/>
  <c r="C3" i="7"/>
  <c r="L2" i="7"/>
  <c r="I2" i="7"/>
  <c r="E2" i="7"/>
  <c r="D2" i="7"/>
  <c r="C2" i="7"/>
  <c r="BH4" i="9"/>
  <c r="E3" i="9"/>
  <c r="BH3" i="9"/>
  <c r="BH5" i="9"/>
  <c r="D7" i="13" l="1"/>
</calcChain>
</file>

<file path=xl/sharedStrings.xml><?xml version="1.0" encoding="utf-8"?>
<sst xmlns="http://schemas.openxmlformats.org/spreadsheetml/2006/main" count="12206" uniqueCount="1131">
  <si>
    <t>Transaction ID</t>
  </si>
  <si>
    <t>Date</t>
  </si>
  <si>
    <t>Customer ID</t>
  </si>
  <si>
    <t>Gender</t>
  </si>
  <si>
    <t>Age</t>
  </si>
  <si>
    <t>Product Category</t>
  </si>
  <si>
    <t>Quantity</t>
  </si>
  <si>
    <t>Price per Unit</t>
  </si>
  <si>
    <t>Total Amount</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</si>
  <si>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</si>
  <si>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</si>
  <si>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</si>
  <si>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</si>
  <si>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</si>
  <si>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</si>
  <si>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</si>
  <si>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</si>
  <si>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</si>
  <si>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</si>
  <si>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</si>
  <si>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</si>
  <si>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</si>
  <si>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</si>
  <si>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</si>
  <si>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</si>
  <si>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</si>
  <si>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</si>
  <si>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</si>
  <si>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</si>
  <si>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</si>
  <si>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</si>
  <si>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</si>
  <si>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</si>
  <si>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</si>
  <si>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</si>
  <si>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</si>
  <si>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</si>
  <si>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</si>
  <si>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</si>
  <si>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</si>
  <si>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</si>
  <si>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</si>
  <si>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</si>
  <si>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</si>
  <si>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</si>
  <si>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</si>
  <si>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</si>
  <si>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</si>
  <si>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</si>
  <si>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</si>
  <si>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</si>
  <si>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</si>
  <si>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</si>
  <si>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</si>
  <si>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</si>
  <si>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</si>
  <si>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</si>
  <si>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</si>
  <si>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</si>
  <si>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</si>
  <si>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</si>
  <si>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</si>
  <si>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</si>
  <si>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</si>
  <si>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</si>
  <si>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</si>
  <si>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</si>
  <si>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</si>
  <si>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</si>
  <si>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</si>
  <si>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</si>
  <si>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</si>
  <si>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</si>
  <si>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</si>
  <si>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</si>
  <si>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</si>
  <si>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</si>
  <si>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</si>
  <si>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</si>
  <si>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</si>
  <si>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</si>
  <si>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</si>
  <si>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</si>
  <si>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</si>
  <si>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</si>
  <si>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</si>
  <si>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</si>
  <si>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</si>
  <si>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</si>
  <si>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</si>
  <si>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</si>
  <si>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</si>
  <si>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</si>
  <si>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</si>
  <si>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</si>
  <si>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</si>
  <si>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</si>
  <si>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</si>
  <si>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</si>
  <si>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</si>
  <si>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</si>
  <si>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</si>
  <si>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</si>
  <si>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</si>
  <si>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</si>
  <si>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</si>
  <si>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</si>
  <si>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</si>
  <si>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</si>
  <si>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</si>
  <si>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</si>
  <si>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</si>
  <si>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</si>
  <si>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</si>
  <si>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</si>
  <si>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</si>
  <si>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</si>
  <si>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</si>
  <si>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</si>
  <si>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</si>
  <si>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</si>
  <si>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</si>
  <si>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</si>
  <si>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</si>
  <si>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</si>
  <si>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</si>
  <si>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</si>
  <si>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</si>
  <si>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</si>
  <si>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</si>
  <si>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</si>
  <si>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</si>
  <si>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</si>
  <si>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</si>
  <si>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</si>
  <si>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</si>
  <si>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</si>
  <si>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</si>
  <si>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</si>
  <si>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</si>
  <si>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</si>
  <si>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</si>
  <si>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</si>
  <si>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</si>
  <si>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</si>
  <si>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</si>
  <si>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</si>
  <si>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</si>
  <si>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</si>
  <si>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</si>
  <si>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</si>
  <si>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</si>
  <si>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</si>
  <si>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</si>
  <si>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</si>
  <si>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</si>
  <si>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</si>
  <si>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</si>
  <si>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</si>
  <si>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</si>
  <si>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</si>
  <si>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</si>
  <si>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</si>
  <si>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</si>
  <si>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</si>
  <si>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</si>
  <si>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</si>
  <si>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</si>
  <si>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</si>
  <si>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</si>
  <si>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</si>
  <si>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</si>
  <si>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</si>
  <si>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</si>
  <si>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</si>
  <si>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</si>
  <si>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</si>
  <si>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</si>
  <si>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</si>
  <si>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</si>
  <si>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</si>
  <si>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</si>
  <si>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</si>
  <si>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</si>
  <si>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</si>
  <si>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</si>
  <si>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</si>
  <si>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</si>
  <si>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</si>
  <si>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</si>
  <si>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</si>
  <si>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</si>
  <si>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</si>
  <si>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</si>
  <si>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</si>
  <si>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</si>
  <si>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</si>
  <si>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</si>
  <si>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</si>
  <si>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</si>
  <si>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</si>
  <si>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</si>
  <si>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</si>
  <si>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</si>
  <si>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</si>
  <si>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</si>
  <si>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</si>
  <si>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</si>
  <si>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</si>
  <si>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</si>
  <si>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</si>
  <si>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</si>
  <si>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</si>
  <si>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</si>
  <si>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</si>
  <si>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</si>
  <si>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</si>
  <si>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</si>
  <si>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</si>
  <si>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</si>
  <si>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</si>
  <si>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</si>
  <si>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</si>
  <si>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</si>
  <si>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</si>
  <si>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</si>
  <si>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</si>
  <si>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</si>
  <si>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</si>
  <si>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</si>
  <si>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</si>
  <si>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</si>
  <si>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</si>
  <si>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</si>
  <si>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</si>
  <si>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</si>
  <si>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</si>
  <si>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</si>
  <si>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</si>
  <si>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</si>
  <si>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</si>
  <si>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</si>
  <si>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</si>
  <si>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</si>
  <si>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</si>
  <si>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</si>
  <si>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</si>
  <si>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</si>
  <si>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</si>
  <si>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</si>
  <si>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</si>
  <si>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</si>
  <si>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</si>
  <si>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</si>
  <si>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</si>
  <si>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</si>
  <si>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</si>
  <si>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</si>
  <si>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</si>
  <si>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</si>
  <si>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</si>
  <si>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</si>
  <si>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</si>
  <si>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</si>
  <si>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</si>
  <si>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</si>
  <si>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</si>
  <si>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</si>
  <si>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</si>
  <si>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</si>
  <si>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</si>
  <si>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</si>
  <si>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</si>
  <si>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</si>
  <si>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</si>
  <si>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</si>
  <si>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</si>
  <si>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</si>
  <si>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</si>
  <si>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</si>
  <si>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</si>
  <si>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</si>
  <si>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</si>
  <si>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</si>
  <si>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</si>
  <si>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</si>
  <si>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</si>
  <si>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</si>
  <si>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</si>
  <si>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</si>
  <si>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</si>
  <si>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</si>
  <si>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</si>
  <si>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</si>
  <si>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</si>
  <si>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</si>
  <si>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</si>
  <si>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</si>
  <si>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</si>
  <si>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</si>
  <si>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</si>
  <si>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</si>
  <si>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</si>
  <si>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</si>
  <si>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</si>
  <si>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</si>
  <si>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</si>
  <si>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</si>
  <si>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</si>
  <si>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</si>
  <si>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</si>
  <si>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</si>
  <si>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</si>
  <si>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</si>
  <si>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</si>
  <si>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</si>
  <si>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</si>
  <si>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</si>
  <si>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</si>
  <si>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</si>
  <si>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</si>
  <si>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</si>
  <si>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</si>
  <si>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</si>
  <si>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</si>
  <si>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</si>
  <si>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</si>
  <si>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</si>
  <si>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</si>
  <si>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</si>
  <si>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</si>
  <si>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</si>
  <si>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</si>
  <si>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</si>
  <si>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</si>
  <si>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</si>
  <si>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</si>
  <si>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</si>
  <si>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</si>
  <si>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</si>
  <si>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</si>
  <si>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</si>
  <si>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</si>
  <si>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</si>
  <si>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</si>
  <si>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</si>
  <si>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</si>
  <si>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</si>
  <si>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</si>
  <si>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</si>
  <si>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</si>
  <si>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</si>
  <si>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</si>
  <si>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</si>
  <si>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</si>
  <si>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</si>
  <si>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</si>
  <si>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</si>
  <si>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</si>
  <si>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</si>
  <si>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</si>
  <si>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</si>
  <si>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</si>
  <si>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</si>
  <si>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</si>
  <si>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</si>
  <si>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</si>
  <si>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</si>
  <si>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</si>
  <si>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</si>
  <si>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</si>
  <si>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</si>
  <si>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</si>
  <si>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</si>
  <si>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</si>
  <si>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</si>
  <si>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</si>
  <si>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</si>
  <si>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</si>
  <si>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</si>
  <si>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</si>
  <si>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</si>
  <si>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</si>
  <si>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</si>
  <si>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</si>
  <si>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</si>
  <si>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</si>
  <si>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</si>
  <si>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</si>
  <si>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</si>
  <si>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</si>
  <si>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</si>
  <si>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</si>
  <si>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</si>
  <si>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</si>
  <si>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</si>
  <si>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</si>
  <si>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</si>
  <si>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</si>
  <si>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</si>
  <si>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</si>
  <si>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</si>
  <si>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</si>
  <si>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</si>
  <si>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</si>
  <si>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</si>
  <si>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</si>
  <si>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</si>
  <si>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</si>
  <si>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</si>
  <si>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</si>
  <si>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</si>
  <si>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</si>
  <si>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</si>
  <si>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</si>
  <si>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</si>
  <si>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</si>
  <si>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</si>
  <si>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</si>
  <si>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</si>
  <si>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</si>
  <si>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</si>
  <si>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</si>
  <si>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</si>
  <si>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</si>
  <si>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</si>
  <si>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</si>
  <si>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</si>
  <si>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</si>
  <si>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</si>
  <si>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</si>
  <si>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</si>
  <si>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</si>
  <si>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</si>
  <si>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</si>
  <si>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</si>
  <si>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</si>
  <si>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</si>
  <si>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</si>
  <si>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</si>
  <si>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</si>
  <si>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</si>
  <si>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</si>
  <si>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</si>
  <si>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</si>
  <si>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</si>
  <si>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</si>
  <si>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</si>
  <si>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</si>
  <si>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</si>
  <si>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</si>
  <si>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</si>
  <si>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</si>
  <si>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</si>
  <si>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</si>
  <si>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</si>
  <si>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</si>
  <si>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</si>
  <si>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</si>
  <si>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</si>
  <si>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</si>
  <si>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</si>
  <si>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</si>
  <si>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</si>
  <si>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</si>
  <si>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</si>
  <si>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</si>
  <si>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</si>
  <si>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</si>
  <si>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</si>
  <si>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</si>
  <si>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</si>
  <si>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</si>
  <si>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</si>
  <si>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</si>
  <si>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</si>
  <si>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</si>
  <si>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</si>
  <si>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</si>
  <si>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</si>
  <si>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</si>
  <si>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</si>
  <si>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</si>
  <si>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</si>
  <si>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</si>
  <si>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</si>
  <si>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</si>
  <si>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</si>
  <si>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</si>
  <si>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</si>
  <si>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</si>
  <si>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</si>
  <si>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</si>
  <si>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</si>
  <si>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</si>
  <si>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</si>
  <si>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</si>
  <si>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</si>
  <si>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</si>
  <si>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</si>
  <si>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</si>
  <si>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</si>
  <si>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</si>
  <si>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</si>
  <si>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</si>
  <si>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</si>
  <si>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</si>
  <si>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</si>
  <si>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</si>
  <si>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</si>
  <si>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</si>
  <si>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</si>
  <si>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</si>
  <si>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</si>
  <si>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</si>
  <si>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</si>
  <si>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</si>
  <si>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</si>
  <si>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</si>
  <si>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</si>
  <si>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</si>
  <si>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</si>
  <si>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</si>
  <si>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</si>
  <si>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</si>
  <si>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</si>
  <si>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</si>
  <si>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</si>
  <si>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</si>
  <si>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</si>
  <si>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</si>
  <si>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</si>
  <si>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</si>
  <si>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</si>
  <si>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</si>
  <si>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</si>
  <si>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</si>
  <si>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</si>
  <si>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</si>
  <si>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</si>
  <si>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</si>
  <si>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</si>
  <si>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</si>
  <si>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</si>
  <si>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</si>
  <si>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</si>
  <si>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</si>
  <si>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</si>
  <si>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</si>
  <si>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</si>
  <si>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</si>
  <si>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</si>
  <si>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</si>
  <si>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</si>
  <si>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</si>
  <si>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</si>
  <si>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</si>
  <si>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</si>
  <si>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</si>
  <si>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</si>
  <si>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</si>
  <si>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</si>
  <si>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</si>
  <si>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</si>
  <si>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</si>
  <si>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</si>
  <si>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</si>
  <si>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</si>
  <si>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</si>
  <si>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</si>
  <si>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</si>
  <si>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</si>
  <si>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</si>
  <si>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</si>
  <si>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</si>
  <si>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</si>
  <si>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</si>
  <si>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</si>
  <si>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</si>
  <si>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</si>
  <si>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</si>
  <si>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</si>
  <si>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</si>
  <si>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</si>
  <si>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</si>
  <si>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</si>
  <si>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</si>
  <si>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</si>
  <si>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</si>
  <si>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</si>
  <si>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</si>
  <si>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</si>
  <si>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</si>
  <si>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</si>
  <si>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</si>
  <si>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</si>
  <si>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</si>
  <si>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</si>
  <si>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</si>
  <si>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</si>
  <si>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</si>
  <si>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</si>
  <si>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</si>
  <si>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</si>
  <si>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</si>
  <si>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</si>
  <si>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</si>
  <si>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</si>
  <si>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</si>
  <si>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</si>
  <si>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</si>
  <si>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</si>
  <si>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</si>
  <si>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</si>
  <si>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</si>
  <si>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</si>
  <si>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</si>
  <si>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</si>
  <si>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</si>
  <si>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</si>
  <si>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</si>
  <si>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</si>
  <si>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</si>
  <si>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</si>
  <si>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</si>
  <si>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</si>
  <si>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</si>
  <si>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</si>
  <si>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</si>
  <si>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</si>
  <si>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</si>
  <si>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</si>
  <si>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</si>
  <si>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</si>
  <si>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</si>
  <si>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</si>
  <si>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</si>
  <si>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</si>
  <si>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</si>
  <si>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</si>
  <si>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</si>
  <si>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</si>
  <si>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</si>
  <si>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</si>
  <si>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</si>
  <si>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</si>
  <si>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</si>
  <si>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</si>
  <si>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</si>
  <si>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</si>
  <si>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</si>
  <si>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</si>
  <si>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</si>
  <si>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</si>
  <si>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</si>
  <si>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</si>
  <si>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</si>
  <si>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</si>
  <si>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</si>
  <si>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</si>
  <si>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</si>
  <si>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</si>
  <si>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</si>
  <si>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</si>
  <si>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</si>
  <si>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</si>
  <si>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</si>
  <si>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</si>
  <si>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</si>
  <si>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</si>
  <si>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</si>
  <si>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</si>
  <si>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</si>
  <si>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</si>
  <si>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</si>
  <si>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</si>
  <si>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</si>
  <si>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</si>
  <si>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</si>
  <si>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</si>
  <si>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</si>
  <si>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</si>
  <si>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</si>
  <si>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</si>
  <si>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</si>
  <si>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</si>
  <si>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</si>
  <si>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</si>
  <si>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</si>
  <si>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</si>
  <si>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</si>
  <si>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</si>
  <si>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</si>
  <si>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</si>
  <si>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</si>
  <si>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</si>
  <si>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</si>
  <si>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</si>
  <si>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</si>
  <si>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</si>
  <si>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</si>
  <si>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</si>
  <si>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</si>
  <si>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</si>
  <si>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</si>
  <si>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</si>
  <si>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</si>
  <si>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</si>
  <si>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</si>
  <si>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</si>
  <si>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</si>
  <si>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</si>
  <si>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</si>
  <si>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</si>
  <si>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</si>
  <si>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</si>
  <si>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</si>
  <si>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</si>
  <si>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</si>
  <si>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</si>
  <si>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</si>
  <si>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</si>
  <si>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</si>
  <si>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</si>
  <si>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</si>
  <si>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</si>
  <si>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</si>
  <si>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</si>
  <si>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</si>
  <si>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</si>
  <si>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</si>
  <si>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</si>
  <si>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</si>
  <si>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</si>
  <si>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</si>
  <si>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</si>
  <si>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</si>
  <si>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</si>
  <si>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</si>
  <si>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</si>
  <si>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</si>
  <si>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</si>
  <si>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</si>
  <si>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</si>
  <si>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</si>
  <si>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</si>
  <si>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</si>
  <si>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</si>
  <si>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</si>
  <si>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</si>
  <si>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</si>
  <si>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</si>
  <si>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</si>
  <si>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</si>
  <si>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</si>
  <si>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</si>
  <si>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</si>
  <si>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</si>
  <si>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</si>
  <si>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</si>
  <si>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</si>
  <si>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</si>
  <si>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</si>
  <si>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</si>
  <si>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</si>
  <si>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</si>
  <si>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</si>
  <si>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</si>
  <si>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</si>
  <si>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</si>
  <si>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</si>
  <si>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</si>
  <si>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</si>
  <si>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</si>
  <si>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</si>
  <si>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</si>
  <si>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</si>
  <si>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</si>
  <si>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</si>
  <si>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</si>
  <si>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</si>
  <si>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</si>
  <si>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</si>
  <si>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</si>
  <si>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</si>
  <si>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</si>
  <si>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</si>
  <si>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</si>
  <si>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</si>
  <si>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</si>
  <si>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</si>
  <si>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</si>
  <si>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</si>
  <si>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</si>
  <si>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</si>
  <si>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</si>
  <si>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</si>
  <si>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</si>
  <si>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</si>
  <si>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</si>
  <si>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</si>
  <si>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</si>
  <si>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</si>
  <si>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</si>
  <si>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</si>
  <si>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</si>
  <si>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</si>
  <si>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</si>
  <si>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</si>
  <si>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</si>
  <si>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</si>
  <si>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</si>
  <si>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</si>
  <si>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</si>
  <si>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</si>
  <si>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</si>
  <si>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</si>
  <si>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</si>
  <si>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</si>
  <si>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</si>
  <si>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</si>
  <si>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</si>
  <si>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</si>
  <si>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</si>
  <si>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</si>
  <si>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</si>
  <si>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</si>
  <si>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</si>
  <si>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</si>
  <si>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</si>
  <si>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</si>
  <si>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</si>
  <si>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</si>
  <si>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</si>
  <si>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</si>
  <si>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</si>
  <si>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</si>
  <si>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</si>
  <si>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</si>
  <si>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</si>
  <si>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</si>
  <si>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</si>
  <si>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</si>
  <si>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</si>
  <si>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</si>
  <si>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</si>
  <si>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</si>
  <si>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</si>
  <si>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</si>
  <si>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</si>
  <si>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</si>
  <si>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</si>
  <si>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</si>
  <si>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</si>
  <si>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</si>
  <si>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</si>
  <si>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</si>
  <si>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</si>
  <si>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</si>
  <si>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</si>
  <si>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</si>
  <si>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</si>
  <si>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</si>
  <si>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</si>
  <si>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</si>
  <si>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</si>
  <si>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</si>
  <si>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</si>
  <si>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</si>
  <si>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</si>
  <si>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</si>
  <si>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</si>
  <si>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</si>
  <si>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</si>
  <si>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</si>
  <si>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</si>
  <si>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</si>
  <si>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</si>
  <si>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</si>
  <si>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</si>
  <si>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</si>
  <si>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</si>
  <si>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</si>
  <si>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</si>
  <si>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</si>
  <si>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</si>
  <si>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</si>
  <si>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</si>
  <si>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</si>
  <si>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</si>
  <si>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</si>
  <si>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</si>
  <si>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</si>
  <si>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</si>
  <si>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</si>
  <si>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</si>
  <si>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</si>
  <si>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</si>
  <si>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</si>
  <si>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</si>
  <si>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</si>
  <si>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</si>
  <si>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</si>
  <si>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</si>
  <si>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</si>
  <si>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</si>
  <si>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</si>
  <si>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</si>
  <si>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</si>
  <si>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</si>
  <si>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</si>
  <si>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</si>
  <si>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</si>
  <si>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</si>
  <si>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</si>
  <si>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</si>
  <si>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</si>
  <si>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</si>
  <si>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</si>
  <si>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</si>
  <si>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</si>
  <si>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</si>
  <si>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</si>
  <si>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</si>
  <si>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</si>
  <si>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</si>
  <si>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</si>
  <si>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</si>
  <si>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</si>
  <si>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</si>
  <si>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</si>
  <si>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</si>
  <si>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</si>
  <si>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</si>
  <si>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</si>
  <si>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</si>
  <si>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</si>
  <si>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</si>
  <si>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</si>
  <si>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</si>
  <si>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</si>
  <si>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</si>
  <si>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</si>
  <si>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</si>
  <si>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</si>
  <si>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</si>
  <si>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</si>
  <si>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</si>
  <si>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</si>
  <si>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</si>
  <si>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</si>
  <si>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</si>
  <si>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</si>
  <si>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</si>
  <si>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</si>
  <si>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</si>
  <si>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</si>
  <si>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</si>
  <si>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</si>
  <si>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</si>
  <si>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</si>
  <si>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</si>
  <si>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</si>
  <si>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</si>
  <si>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</si>
  <si>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</si>
  <si>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</si>
  <si>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</si>
  <si>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</si>
  <si>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</si>
  <si>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</si>
  <si>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</si>
  <si>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</si>
  <si>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</si>
  <si>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</si>
  <si>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</si>
  <si>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</si>
  <si>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</si>
  <si>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</si>
  <si>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</si>
  <si>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</si>
  <si>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</si>
  <si>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</si>
  <si>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</si>
  <si>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</si>
  <si>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</si>
  <si>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</si>
  <si>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</si>
  <si>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</si>
  <si>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</si>
  <si>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</si>
  <si>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</si>
  <si>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</si>
  <si>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</si>
  <si>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</si>
  <si>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</si>
  <si>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</si>
  <si>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</si>
  <si>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</si>
  <si>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</si>
  <si>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</si>
  <si>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</si>
  <si>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</si>
  <si>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</si>
  <si>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</si>
  <si>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</si>
  <si>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</si>
  <si>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</si>
  <si>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</si>
  <si>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</si>
  <si>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</si>
  <si>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</si>
  <si>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</si>
  <si>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</si>
  <si>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Grand Total</t>
  </si>
  <si>
    <t>Column Labels</t>
  </si>
  <si>
    <t>May</t>
  </si>
  <si>
    <t>Adults</t>
  </si>
  <si>
    <t>Elderly</t>
  </si>
  <si>
    <t>Seniors</t>
  </si>
  <si>
    <t>Teenagers</t>
  </si>
  <si>
    <t>Young Adults</t>
  </si>
  <si>
    <t>Medium Order</t>
  </si>
  <si>
    <t>Single Order</t>
  </si>
  <si>
    <t>Small Order</t>
  </si>
  <si>
    <t>Bulk Order</t>
  </si>
  <si>
    <t>Customer_ID</t>
  </si>
  <si>
    <t>Product_Category</t>
  </si>
  <si>
    <t>Price_Per_Unit</t>
  </si>
  <si>
    <t>Total_Amount</t>
  </si>
  <si>
    <t>Age_Group</t>
  </si>
  <si>
    <t>Months</t>
  </si>
  <si>
    <t>Quantity_Category</t>
  </si>
  <si>
    <t>Sum of Total_Amount</t>
  </si>
  <si>
    <t>Average of Total_Amount</t>
  </si>
  <si>
    <t>Sum of Quantity</t>
  </si>
  <si>
    <t>Average of Price_Per_Unit</t>
  </si>
  <si>
    <t>Month_Name</t>
  </si>
  <si>
    <t>Month_Number</t>
  </si>
  <si>
    <t>Year</t>
  </si>
  <si>
    <t>Jan</t>
  </si>
  <si>
    <t>Feb</t>
  </si>
  <si>
    <t>Mar</t>
  </si>
  <si>
    <t>Apr</t>
  </si>
  <si>
    <t>Jun</t>
  </si>
  <si>
    <t>Jul</t>
  </si>
  <si>
    <t>Aug</t>
  </si>
  <si>
    <t>Sep</t>
  </si>
  <si>
    <t>Oct</t>
  </si>
  <si>
    <t>Nov</t>
  </si>
  <si>
    <t>Dec</t>
  </si>
  <si>
    <t>Count of Transaction ID</t>
  </si>
  <si>
    <t>AVERAGE ORDER VALUE (AOV)</t>
  </si>
  <si>
    <t>Revenue per Transaction</t>
  </si>
  <si>
    <t xml:space="preserve">Total Number of Transactions
Total Number of Transactions
</t>
  </si>
  <si>
    <t>RETAIL SALES ANALYSIS PROJECT</t>
  </si>
  <si>
    <t>The goal is to transform raw transactional data into actionable business insights using Microsoft Excel.</t>
  </si>
  <si>
    <t>OBJECTIVES</t>
  </si>
  <si>
    <t>PROBLEM OVERVIEW</t>
  </si>
  <si>
    <t>The analysis focuses on answering the following business questions:</t>
  </si>
  <si>
    <t>• Are there patterns in sales across different time periods?</t>
  </si>
  <si>
    <t>• Which product categories are most popular?</t>
  </si>
  <si>
    <t>• What is the relationship between age, spending and product preference?</t>
  </si>
  <si>
    <t>• How do seasonal trends affect customer purchasing habits?</t>
  </si>
  <si>
    <t>• What insights can be derived from product pricing across categories?</t>
  </si>
  <si>
    <t>TOOLS AND TECHNIQUES USED</t>
  </si>
  <si>
    <t>• Microsoft Excel</t>
  </si>
  <si>
    <t>• Pivot Tables and Pivot Charts</t>
  </si>
  <si>
    <t>• Data Cleaning and Transformation</t>
  </si>
  <si>
    <r>
      <rPr>
        <b/>
        <sz val="11"/>
        <color rgb="FF000000"/>
        <rFont val="Calibri"/>
        <family val="2"/>
        <scheme val="minor"/>
      </rPr>
      <t>Author:</t>
    </r>
    <r>
      <rPr>
        <sz val="11"/>
        <color rgb="FF000000"/>
        <rFont val="Calibri"/>
        <family val="2"/>
        <scheme val="minor"/>
      </rPr>
      <t xml:space="preserve"> Mgbonye Winnifred Ebele</t>
    </r>
  </si>
  <si>
    <r>
      <t xml:space="preserve">Tool used: </t>
    </r>
    <r>
      <rPr>
        <sz val="11"/>
        <color rgb="FF000000"/>
        <rFont val="Calibri"/>
        <family val="2"/>
        <scheme val="minor"/>
      </rPr>
      <t>Microsoft Excel</t>
    </r>
  </si>
  <si>
    <t>• Feature Engineering (Age Group, Quantity Category, Time Variables)</t>
  </si>
  <si>
    <t>• Dashboard Design and Data Visualization</t>
  </si>
  <si>
    <t>• How does order size impact customer spending behavior?</t>
  </si>
  <si>
    <t>DATA CLEANING AND PREPARATION</t>
  </si>
  <si>
    <t>The dataset was cleaned and structured through the following steps:</t>
  </si>
  <si>
    <t>• Retained unique identifiers (Transaction_ID) for data integrity</t>
  </si>
  <si>
    <t>• Created derived columns:</t>
  </si>
  <si>
    <t xml:space="preserve">       • Age Group</t>
  </si>
  <si>
    <t xml:space="preserve">       • Quantity Category</t>
  </si>
  <si>
    <t xml:space="preserve">       • Month Name, Month Number, Year</t>
  </si>
  <si>
    <t>• Ensured consistency across categorical fields</t>
  </si>
  <si>
    <t>• Structured dataset for efficient pivot analysis</t>
  </si>
  <si>
    <t>DASHBOARD STRUCTURE</t>
  </si>
  <si>
    <t>Dashboard 1: Executive Overview</t>
  </si>
  <si>
    <t>Provides a high-level summary of business performance:</t>
  </si>
  <si>
    <t xml:space="preserve">       • Average Order Values (AOV)</t>
  </si>
  <si>
    <t xml:space="preserve">       • Total Transactions</t>
  </si>
  <si>
    <t xml:space="preserve">       • Monthly Revenue Trend</t>
  </si>
  <si>
    <t xml:space="preserve">       • Revenue by Category</t>
  </si>
  <si>
    <t xml:space="preserve">       • Revenue by Age Group</t>
  </si>
  <si>
    <t>Dashboard 2: Customer and Product Deep Dive</t>
  </si>
  <si>
    <t>Provides detailed insights into behavior and perfomance:</t>
  </si>
  <si>
    <t xml:space="preserve">       • Average Spend per Transaction (Gender and Age Group)</t>
  </si>
  <si>
    <t xml:space="preserve">       • Transaction Volume (Gender and Age Group)</t>
  </si>
  <si>
    <t xml:space="preserve">       • Product Category Preferences</t>
  </si>
  <si>
    <t>KEY INSIGHTS</t>
  </si>
  <si>
    <t>• Clothing leads in quantity sold, indicating high demand and repeat purchases</t>
  </si>
  <si>
    <t>• Electronics contribute significantly to revenue, reflecting higher-value transactions</t>
  </si>
  <si>
    <t>• Larger order sizes are associated with higher overall customer value</t>
  </si>
  <si>
    <t>BUSINESS RECOMMENDATIONS</t>
  </si>
  <si>
    <t>• Target Young Adults with personalized promotions and loyalty programs</t>
  </si>
  <si>
    <t>• Leverage seasonal peaks with strategic marketing campaigns</t>
  </si>
  <si>
    <t>• Optimize inventory for high-demand categories like Clothing</t>
  </si>
  <si>
    <t>FILE STRUCTURE</t>
  </si>
  <si>
    <t>CONCLUSION</t>
  </si>
  <si>
    <t>This project demonstrates the end-to-end data analysis process, from raw data cleaning to insight-driven dashboard creation.</t>
  </si>
  <si>
    <t>It highlights the importance of structured analysis, proper metric selection and effective data storytelling in driving business decisions.</t>
  </si>
  <si>
    <t>This Project analyzes a retail sales dataset to uncover key insights into customer purchasing behaviour, product perfomance and sales trends.</t>
  </si>
  <si>
    <t>• How do customer age and gender influence purchasing behavior?</t>
  </si>
  <si>
    <t>• Standardized data types (text, numeric, accounting formats)</t>
  </si>
  <si>
    <t xml:space="preserve">       • Revenue by Gender</t>
  </si>
  <si>
    <t xml:space="preserve">       • Revenue Contribution by Category</t>
  </si>
  <si>
    <t xml:space="preserve">       • Quantity Sold by Category</t>
  </si>
  <si>
    <t xml:space="preserve">       • Total Revenue</t>
  </si>
  <si>
    <t xml:space="preserve">       • Average Price per Unit by Category</t>
  </si>
  <si>
    <t>• Young Adults are the highest revenue-generating segment, combining strong spending and high transaction volume</t>
  </si>
  <si>
    <r>
      <t xml:space="preserve">• </t>
    </r>
    <r>
      <rPr>
        <b/>
        <sz val="11"/>
        <color rgb="FF000000"/>
        <rFont val="Calibri"/>
        <family val="2"/>
        <scheme val="minor"/>
      </rPr>
      <t>README</t>
    </r>
    <r>
      <rPr>
        <sz val="11"/>
        <color rgb="FF000000"/>
        <rFont val="Calibri"/>
        <family val="2"/>
        <scheme val="minor"/>
      </rPr>
      <t xml:space="preserve"> - Project overview and documentation</t>
    </r>
  </si>
  <si>
    <r>
      <t xml:space="preserve">• </t>
    </r>
    <r>
      <rPr>
        <b/>
        <sz val="11"/>
        <color rgb="FF000000"/>
        <rFont val="Calibri"/>
        <family val="2"/>
        <scheme val="minor"/>
      </rPr>
      <t>RAW_DATA</t>
    </r>
    <r>
      <rPr>
        <sz val="11"/>
        <color rgb="FF000000"/>
        <rFont val="Calibri"/>
        <family val="2"/>
        <scheme val="minor"/>
      </rPr>
      <t xml:space="preserve"> - Original dataset</t>
    </r>
  </si>
  <si>
    <r>
      <t xml:space="preserve">• </t>
    </r>
    <r>
      <rPr>
        <b/>
        <sz val="11"/>
        <color rgb="FF000000"/>
        <rFont val="Calibri"/>
        <family val="2"/>
        <scheme val="minor"/>
      </rPr>
      <t>WORKINGS</t>
    </r>
    <r>
      <rPr>
        <sz val="11"/>
        <color rgb="FF000000"/>
        <rFont val="Calibri"/>
        <family val="2"/>
        <scheme val="minor"/>
      </rPr>
      <t xml:space="preserve"> - Data transformation and intermediate steps</t>
    </r>
  </si>
  <si>
    <r>
      <t xml:space="preserve">• </t>
    </r>
    <r>
      <rPr>
        <b/>
        <sz val="11"/>
        <color rgb="FF000000"/>
        <rFont val="Calibri"/>
        <family val="2"/>
        <scheme val="minor"/>
      </rPr>
      <t>CLEANED_DATA</t>
    </r>
    <r>
      <rPr>
        <sz val="11"/>
        <color rgb="FF000000"/>
        <rFont val="Calibri"/>
        <family val="2"/>
        <scheme val="minor"/>
      </rPr>
      <t xml:space="preserve"> - Final structured dataset</t>
    </r>
  </si>
  <si>
    <r>
      <t xml:space="preserve">• </t>
    </r>
    <r>
      <rPr>
        <b/>
        <sz val="11"/>
        <color rgb="FF000000"/>
        <rFont val="Calibri"/>
        <family val="2"/>
        <scheme val="minor"/>
      </rPr>
      <t>PIVOT_TABLES</t>
    </r>
    <r>
      <rPr>
        <sz val="11"/>
        <color rgb="FF000000"/>
        <rFont val="Calibri"/>
        <family val="2"/>
        <scheme val="minor"/>
      </rPr>
      <t xml:space="preserve"> - Supporting pivot tables</t>
    </r>
  </si>
  <si>
    <r>
      <t xml:space="preserve">• </t>
    </r>
    <r>
      <rPr>
        <b/>
        <sz val="11"/>
        <color rgb="FF000000"/>
        <rFont val="Calibri"/>
        <family val="2"/>
        <scheme val="minor"/>
      </rPr>
      <t>DASHBOARD_OVERVIEW</t>
    </r>
    <r>
      <rPr>
        <sz val="11"/>
        <color rgb="FF000000"/>
        <rFont val="Calibri"/>
        <family val="2"/>
        <scheme val="minor"/>
      </rPr>
      <t xml:space="preserve"> - High-level insights</t>
    </r>
  </si>
  <si>
    <r>
      <t xml:space="preserve">• </t>
    </r>
    <r>
      <rPr>
        <b/>
        <sz val="11"/>
        <color rgb="FF000000"/>
        <rFont val="Calibri"/>
        <family val="2"/>
        <scheme val="minor"/>
      </rPr>
      <t>DASHBOARD _DEEP_DIVE</t>
    </r>
    <r>
      <rPr>
        <sz val="11"/>
        <color rgb="FF000000"/>
        <rFont val="Calibri"/>
        <family val="2"/>
        <scheme val="minor"/>
      </rPr>
      <t xml:space="preserve"> - Detailed analysis</t>
    </r>
  </si>
  <si>
    <t>• Sales show seasonal peaks in May, October and December, suggesting promotional or holiday-driven demand</t>
  </si>
  <si>
    <t>• Focus on increasing average order value through upselling strategies</t>
  </si>
  <si>
    <t>• Introduce bundled offers to encourage bulk purchasing behavior</t>
  </si>
  <si>
    <t>• Female customers generate higher total revenue, driven primarily by more frequent purchases</t>
  </si>
  <si>
    <r>
      <rPr>
        <sz val="11"/>
        <color rgb="FF000000"/>
        <rFont val="Calibri"/>
        <family val="2"/>
      </rPr>
      <t xml:space="preserve">• </t>
    </r>
    <r>
      <rPr>
        <sz val="11"/>
        <color rgb="FF000000"/>
        <rFont val="Calibri"/>
        <family val="2"/>
        <scheme val="minor"/>
      </rPr>
      <t>Supporting data, transformations and pivot tables are included and can be viewed by unhiding the respective worksheets.</t>
    </r>
  </si>
  <si>
    <t>NOTE</t>
  </si>
  <si>
    <r>
      <rPr>
        <sz val="11"/>
        <color rgb="FF000000"/>
        <rFont val="Calibri"/>
        <family val="2"/>
      </rPr>
      <t xml:space="preserve">• </t>
    </r>
    <r>
      <rPr>
        <sz val="11"/>
        <color rgb="FF000000"/>
        <rFont val="Calibri"/>
        <family val="2"/>
        <scheme val="minor"/>
      </rPr>
      <t>Dashboard sheets are protected to preserve layout integrity. All underlying data and transformations are fully accessible.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</si>
</sst>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yyyy\-mm\-dd"/>
    <numFmt numFmtId="165" formatCode="_(&quot;$&quot;* #,##0_);_(&quot;$&quot;* \(#,##0\);_(&quot;$&quot;* &quot;-&quot;??_);_(@_)"/>
  </numFmts>
  <fonts count="11" x14ac:knownFonts="1">
    <font>
      <sz val="10"/>
      <color rgb="FF000000"/>
      <name val="Calibri"/>
      <scheme val="minor"/>
    </font>
    <font>
      <sz val="10"/>
      <name val="Calibri"/>
      <family val="2"/>
    </font>
    <font>
      <sz val="10"/>
      <color rgb="FF000000"/>
      <name val="Calibri"/>
      <family val="2"/>
      <scheme val="minor"/>
    </font>
    <font>
      <sz val="8"/>
      <name val="Calibri"/>
      <family val="2"/>
      <scheme val="minor"/>
    </font>
    <font>
      <b/>
      <sz val="10"/>
      <color theme="1"/>
      <name val="Times New Roman"/>
      <family val="1"/>
    </font>
    <font>
      <b/>
      <sz val="14"/>
      <color theme="1"/>
      <name val="Times New Roman"/>
      <family val="1"/>
    </font>
    <font>
      <b/>
      <sz val="12"/>
      <color theme="1"/>
      <name val="Times New Roman"/>
      <family val="1"/>
    </font>
    <font>
      <b/>
      <sz val="11"/>
      <color rgb="FF000000"/>
      <name val="Calibri"/>
      <family val="2"/>
      <scheme val="minor"/>
    </font>
    <font>
      <sz val="11"/>
      <color rgb="FF000000"/>
      <name val="Calibri"/>
      <family val="2"/>
      <scheme val="minor"/>
    </font>
    <font>
      <sz val="11"/>
      <color rgb="FF000000"/>
      <name val="Calibri"/>
      <family val="2"/>
    </font>
    <font>
      <b/>
      <sz val="14"/>
      <color rgb="FF000000"/>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0"/>
        <bgColor indexed="64"/>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164" fontId="1" fillId="0" borderId="0" xfId="0" applyNumberFormat="1" applyFont="1"/>
    <xf numFmtId="0" fontId="0" fillId="0" borderId="0" xfId="0" pivotButton="1"/>
    <xf numFmtId="0" fontId="0" fillId="0" borderId="0" xfId="0" applyAlignment="1">
      <alignment horizontal="left"/>
    </xf>
    <xf numFmtId="14" fontId="0" fillId="0" borderId="0" xfId="0" applyNumberFormat="1"/>
    <xf numFmtId="49" fontId="2" fillId="0" borderId="0" xfId="0" applyNumberFormat="1" applyFont="1"/>
    <xf numFmtId="49" fontId="0" fillId="0" borderId="0" xfId="0" applyNumberFormat="1"/>
    <xf numFmtId="1" fontId="0" fillId="0" borderId="0" xfId="0" applyNumberFormat="1"/>
    <xf numFmtId="44" fontId="2" fillId="0" borderId="0" xfId="0" applyNumberFormat="1" applyFont="1"/>
    <xf numFmtId="44" fontId="0" fillId="0" borderId="0" xfId="0" applyNumberFormat="1"/>
    <xf numFmtId="1" fontId="2" fillId="0" borderId="0" xfId="0" applyNumberFormat="1" applyFont="1"/>
    <xf numFmtId="14" fontId="2" fillId="0" borderId="0" xfId="0" applyNumberFormat="1" applyFont="1"/>
    <xf numFmtId="165" fontId="0" fillId="0" borderId="0" xfId="0" applyNumberFormat="1"/>
    <xf numFmtId="0" fontId="0" fillId="2" borderId="0" xfId="0" applyFill="1"/>
    <xf numFmtId="0" fontId="4" fillId="0" borderId="0" xfId="0" applyFont="1"/>
    <xf numFmtId="44" fontId="5" fillId="3" borderId="0" xfId="0" applyNumberFormat="1" applyFont="1" applyFill="1"/>
    <xf numFmtId="0" fontId="5" fillId="3" borderId="0" xfId="0" applyFont="1" applyFill="1"/>
    <xf numFmtId="44" fontId="6" fillId="0" borderId="0" xfId="0" applyNumberFormat="1" applyFont="1"/>
    <xf numFmtId="0" fontId="7" fillId="0" borderId="0" xfId="0" applyFont="1"/>
    <xf numFmtId="0" fontId="8" fillId="0" borderId="0" xfId="0" applyFont="1"/>
    <xf numFmtId="0" fontId="9" fillId="0" borderId="0" xfId="0" applyFont="1"/>
    <xf numFmtId="0" fontId="10" fillId="0" borderId="0" xfId="0" applyFont="1" applyAlignment="1">
      <alignment horizontal="center"/>
    </xf>
    <xf numFmtId="0" fontId="10" fillId="0" borderId="0" xfId="0" applyFont="1" applyAlignment="1">
      <alignment horizontal="left"/>
    </xf>
  </cellXfs>
  <cellStyles count="1">
    <cellStyle name="Normal" xfId="0" builtinId="0"/>
  </cellStyles>
  <dxfs count="38">
    <dxf>
      <numFmt numFmtId="1" formatCode="0"/>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 formatCode="0"/>
    </dxf>
    <dxf>
      <numFmt numFmtId="165" formatCode="_(&quot;$&quot;* #,##0_);_(&quot;$&quot;* \(#,##0\);_(&quot;$&quot;* &quot;-&quot;??_);_(@_)"/>
    </dxf>
    <dxf>
      <numFmt numFmtId="165" formatCode="_(&quot;$&quot;* #,##0_);_(&quot;$&quot;* \(#,##0\);_(&quot;$&quot;* &quot;-&quot;??_);_(@_)"/>
    </dxf>
    <dxf>
      <numFmt numFmtId="165" formatCode="_(&quot;$&quot;* #,##0_);_(&quot;$&quot;* \(#,##0\);_(&quot;$&quot;* &quot;-&quot;??_);_(@_)"/>
    </dxf>
    <dxf>
      <numFmt numFmtId="1" formatCode="0"/>
    </dxf>
    <dxf>
      <numFmt numFmtId="34" formatCode="_(&quot;$&quot;* #,##0.00_);_(&quot;$&quot;* \(#,##0.00\);_(&quot;$&quot;* &quot;-&quot;??_);_(@_)"/>
    </dxf>
    <dxf>
      <numFmt numFmtId="34" formatCode="_(&quot;$&quot;* #,##0.00_);_(&quot;$&quot;* \(#,##0.00\);_(&quot;$&quot;* &quot;-&quot;??_);_(@_)"/>
    </dxf>
    <dxf>
      <numFmt numFmtId="30" formatCode="@"/>
    </dxf>
    <dxf>
      <numFmt numFmtId="1" formatCode="0"/>
    </dxf>
    <dxf>
      <numFmt numFmtId="30" formatCode="@"/>
    </dxf>
    <dxf>
      <numFmt numFmtId="30" formatCode="@"/>
    </dxf>
    <dxf>
      <numFmt numFmtId="1" formatCode="0"/>
    </dxf>
    <dxf>
      <numFmt numFmtId="30" formatCode="@"/>
    </dxf>
    <dxf>
      <numFmt numFmtId="30" formatCode="@"/>
    </dxf>
    <dxf>
      <numFmt numFmtId="1" formatCode="0"/>
    </dxf>
    <dxf>
      <numFmt numFmtId="1" formatCode="0"/>
    </dxf>
    <dxf>
      <numFmt numFmtId="30" formatCode="@"/>
    </dxf>
    <dxf>
      <numFmt numFmtId="19" formatCode="m/d/yyyy"/>
    </dxf>
    <dxf>
      <numFmt numFmtId="1" formatCode="0"/>
    </dxf>
    <dxf>
      <numFmt numFmtId="34" formatCode="_(&quot;$&quot;* #,##0.00_);_(&quot;$&quot;* \(#,##0.00\);_(&quot;$&quot;* &quot;-&quot;??_);_(@_)"/>
    </dxf>
    <dxf>
      <numFmt numFmtId="34" formatCode="_(&quot;$&quot;* #,##0.00_);_(&quot;$&quot;* \(#,##0.00\);_(&quot;$&quot;* &quot;-&quot;??_);_(@_)"/>
    </dxf>
    <dxf>
      <numFmt numFmtId="1" formatCode="0"/>
    </dxf>
    <dxf>
      <numFmt numFmtId="1" formatCode="0"/>
    </dxf>
    <dxf>
      <numFmt numFmtId="30" formatCode="@"/>
    </dxf>
    <dxf>
      <numFmt numFmtId="1" formatCode="0"/>
    </dxf>
    <dxf>
      <numFmt numFmtId="1" formatCode="0"/>
    </dxf>
    <dxf>
      <numFmt numFmtId="30" formatCode="@"/>
    </dxf>
    <dxf>
      <numFmt numFmtId="30" formatCode="@"/>
    </dxf>
    <dxf>
      <numFmt numFmtId="1" formatCode="0"/>
    </dxf>
    <dxf>
      <numFmt numFmtId="1" formatCode="0"/>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4.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Total Revenue Age Group</a:t>
            </a:r>
          </a:p>
        </c:rich>
      </c:tx>
      <c:layout>
        <c:manualLayout>
          <c:xMode val="edge"/>
          <c:yMode val="edge"/>
          <c:x val="0.26236037379169325"/>
          <c:y val="1.91387655948288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'05_PIVOT_TABLES'!$Q$2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'05_PIVOT_TABLES'!$P$3:$P$8</c:f>
              <c:strCache>
                <c:ptCount val="5"/>
                <c:pt idx="0">
                  <c:v>Teenagers</c:v>
                </c:pt>
                <c:pt idx="1">
                  <c:v>Elderly</c:v>
                </c:pt>
                <c:pt idx="2">
                  <c:v>Seniors</c:v>
                </c:pt>
                <c:pt idx="3">
                  <c:v>Adults</c:v>
                </c:pt>
                <c:pt idx="4">
                  <c:v>Young Adults</c:v>
                </c:pt>
              </c:strCache>
            </c:strRef>
          </c:cat>
          <c:val>
            <c:numRef>
              <c:f>'05_PIVOT_TABLES'!$Q$3:$Q$8</c:f>
              <c:numCache>
                <c:formatCode>_("$"* #,##0_);_("$"* \(#,##0\);_("$"* "-"??_);_(@_)</c:formatCode>
                <c:ptCount val="5"/>
                <c:pt idx="0">
                  <c:v>11215</c:v>
                </c:pt>
                <c:pt idx="1">
                  <c:v>80410</c:v>
                </c:pt>
                <c:pt idx="2">
                  <c:v>100690</c:v>
                </c:pt>
                <c:pt idx="3">
                  <c:v>103160</c:v>
                </c:pt>
                <c:pt idx="4">
                  <c:v>160525</c:v>
                </c:pt>
              </c:numCache>
            </c:numRef>
          </c:val>
          <c:extLst>
            <c:ext xmlns:c16="http://schemas.microsoft.com/office/drawing/2014/chart" uri="{C3380CC4-5D6E-409C-BE32-E72D297353CC}">
              <c16:uniqueId val="{00000000-7F7B-4E0B-B43A-0D9904B87C57}"/>
            </c:ext>
          </c:extLst>
        </c:ser>
        <c:dLbls>
          <c:dLblPos val="outEnd"/>
          <c:showLegendKey val="0"/>
          <c:showVal val="1"/>
          <c:showCatName val="0"/>
          <c:showSerName val="0"/>
          <c:showPercent val="0"/>
          <c:showBubbleSize val="0"/>
        </c:dLbls>
        <c:gapWidth val="182"/>
        <c:axId val="208771824"/>
        <c:axId val="208766544"/>
      </c:barChart>
      <c:catAx>
        <c:axId val="2087718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6544"/>
        <c:crosses val="autoZero"/>
        <c:auto val="1"/>
        <c:lblAlgn val="ctr"/>
        <c:lblOffset val="100"/>
        <c:noMultiLvlLbl val="0"/>
      </c:catAx>
      <c:valAx>
        <c:axId val="208766544"/>
        <c:scaling>
          <c:orientation val="minMax"/>
          <c:max val="190000"/>
          <c:min val="10000"/>
        </c:scaling>
        <c:delete val="0"/>
        <c:axPos val="b"/>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71824"/>
        <c:crosses val="autoZero"/>
        <c:crossBetween val="between"/>
        <c:majorUnit val="6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Spend Per Transaction by Gender</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bg2">
              <a:lumMod val="75000"/>
            </a:schemeClr>
          </a:solidFill>
          <a:ln w="19050">
            <a:solidFill>
              <a:schemeClr val="bg2">
                <a:lumMod val="75000"/>
              </a:schemeClr>
            </a:solidFill>
          </a:ln>
          <a:effectLst/>
        </c:spPr>
      </c:pivotFmt>
      <c:pivotFmt>
        <c:idx val="11"/>
        <c:spPr>
          <a:solidFill>
            <a:schemeClr val="accent2">
              <a:lumMod val="75000"/>
            </a:schemeClr>
          </a:solidFill>
          <a:ln w="19050">
            <a:solidFill>
              <a:schemeClr val="accent2">
                <a:lumMod val="75000"/>
              </a:schemeClr>
            </a:solidFill>
          </a:ln>
          <a:effectLst/>
        </c:spPr>
      </c:pivotFmt>
    </c:pivotFmts>
    <c:plotArea>
      <c:layout/>
      <c:barChart>
        <c:barDir val="bar"/>
        <c:grouping val="clustered"/>
        <c:varyColors val="0"/>
        <c:ser>
          <c:idx val="0"/>
          <c:order val="0"/>
          <c:tx>
            <c:strRef>
              <c:f>'05_PIVOT_TABLES'!$Y$2</c:f>
              <c:strCache>
                <c:ptCount val="1"/>
                <c:pt idx="0">
                  <c:v>Total</c:v>
                </c:pt>
              </c:strCache>
            </c:strRef>
          </c:tx>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6-6C83-45C4-8B8B-26F591271FAC}"/>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8-6C83-45C4-8B8B-26F591271FAC}"/>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'05_PIVOT_TABLES'!$X$3:$X$5</c:f>
              <c:strCache>
                <c:ptCount val="2"/>
                <c:pt idx="0">
                  <c:v>Female</c:v>
                </c:pt>
                <c:pt idx="1">
                  <c:v>Male</c:v>
                </c:pt>
              </c:strCache>
            </c:strRef>
          </c:cat>
          <c:val>
            <c:numRef>
              <c:f>'05_PIVOT_TABLES'!$Y$3:$Y$5</c:f>
              <c:numCache>
                <c:formatCode>_("$"* #,##0_);_("$"* \(#,##0\);_("$"* "-"??_);_(@_)</c:formatCode>
                <c:ptCount val="2"/>
                <c:pt idx="0">
                  <c:v>456.54901960784315</c:v>
                </c:pt>
                <c:pt idx="1">
                  <c:v>455.42857142857144</c:v>
                </c:pt>
              </c:numCache>
            </c:numRef>
          </c:val>
          <c:extLst>
            <c:ext xmlns:c16="http://schemas.microsoft.com/office/drawing/2014/chart" uri="{C3380CC4-5D6E-409C-BE32-E72D297353CC}">
              <c16:uniqueId val="{00000009-6C83-45C4-8B8B-26F591271FAC}"/>
            </c:ext>
          </c:extLst>
        </c:ser>
        <c:dLbls>
          <c:dLblPos val="outEnd"/>
          <c:showLegendKey val="0"/>
          <c:showVal val="1"/>
          <c:showCatName val="0"/>
          <c:showSerName val="0"/>
          <c:showPercent val="0"/>
          <c:showBubbleSize val="0"/>
        </c:dLbls>
        <c:gapWidth val="100"/>
        <c:axId val="747493487"/>
        <c:axId val="747493007"/>
      </c:barChart>
      <c:valAx>
        <c:axId val="747493007"/>
        <c:scaling>
          <c:orientation val="minMax"/>
        </c:scaling>
        <c:delete val="0"/>
        <c:axPos val="b"/>
        <c:numFmt formatCode="_(&quot;$&quot;* #,##0_);_(&quot;$&quot;* \(#,##0\);_(&quot;$&quot;* &quot;-&quot;??_);_(@_)" sourceLinked="1"/>
        <c:majorTickMark val="out"/>
        <c:minorTickMark val="none"/>
        <c:tickLblPos val="nextTo"/>
        <c:spPr>
          <a:ln>
            <a:noFill/>
          </a:ln>
        </c:spPr>
        <c:txPr>
          <a:bodyPr/>
          <a:lstStyle/>
          <a:p>
            <a:pPr>
              <a:defRPr sz="1100" b="1">
                <a:solidFill>
                  <a:schemeClr val="tx1"/>
                </a:solidFill>
                <a:latin typeface="Times New Roman" panose="02020603050405020304" pitchFamily="18" charset="0"/>
                <a:cs typeface="Times New Roman" panose="02020603050405020304" pitchFamily="18" charset="0"/>
              </a:defRPr>
            </a:pPr>
            <a:endParaRPr lang="en-US"/>
          </a:p>
        </c:txPr>
        <c:crossAx val="747493487"/>
        <c:crosses val="autoZero"/>
        <c:crossBetween val="between"/>
        <c:majorUnit val="0.8"/>
      </c:valAx>
      <c:catAx>
        <c:axId val="747493487"/>
        <c:scaling>
          <c:orientation val="minMax"/>
        </c:scaling>
        <c:delete val="0"/>
        <c:axPos val="l"/>
        <c:numFmt formatCode="General" sourceLinked="1"/>
        <c:majorTickMark val="out"/>
        <c:minorTickMark val="none"/>
        <c:tickLblPos val="nextTo"/>
        <c:spPr>
          <a:ln>
            <a:solidFill>
              <a:schemeClr val="tx1"/>
            </a:solidFill>
          </a:ln>
        </c:spPr>
        <c:txPr>
          <a:bodyPr/>
          <a:lstStyle/>
          <a:p>
            <a:pPr>
              <a:defRPr b="1">
                <a:solidFill>
                  <a:schemeClr val="tx1"/>
                </a:solidFill>
                <a:latin typeface="Times New Roman" panose="02020603050405020304" pitchFamily="18" charset="0"/>
                <a:cs typeface="Times New Roman" panose="02020603050405020304" pitchFamily="18" charset="0"/>
              </a:defRPr>
            </a:pPr>
            <a:endParaRPr lang="en-US"/>
          </a:p>
        </c:txPr>
        <c:crossAx val="747493007"/>
        <c:crosses val="autoZero"/>
        <c:auto val="1"/>
        <c:lblAlgn val="ctr"/>
        <c:lblOffset val="100"/>
        <c:noMultiLvlLbl val="0"/>
      </c:cat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Revenue Peaks in May, October and December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'05_PIVOT_TABLES'!$I$2</c:f>
              <c:strCache>
                <c:ptCount val="1"/>
                <c:pt idx="0">
                  <c:v>Total</c:v>
                </c:pt>
              </c:strCache>
            </c:strRef>
          </c:tx>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cat>
            <c:strRef>
              <c:f>'05_PIVOT_TABLES'!$H$3:$H$15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'05_PIVOT_TABLES'!$I$3:$I$15</c:f>
              <c:numCache>
                <c:formatCode>_("$"* #,##0_);_("$"* \(#,##0\);_("$"* "-"??_);_(@_)</c:formatCode>
                <c:ptCount val="12"/>
                <c:pt idx="0">
                  <c:v>38650</c:v>
                </c:pt>
                <c:pt idx="1">
                  <c:v>41020</c:v>
                </c:pt>
                <c:pt idx="2">
                  <c:v>31530</c:v>
                </c:pt>
                <c:pt idx="3">
                  <c:v>33170</c:v>
                </c:pt>
                <c:pt idx="4">
                  <c:v>52710</c:v>
                </c:pt>
                <c:pt idx="5">
                  <c:v>38155</c:v>
                </c:pt>
                <c:pt idx="6">
                  <c:v>34085</c:v>
                </c:pt>
                <c:pt idx="7">
                  <c:v>36870</c:v>
                </c:pt>
                <c:pt idx="8">
                  <c:v>23620</c:v>
                </c:pt>
                <c:pt idx="9">
                  <c:v>46580</c:v>
                </c:pt>
                <c:pt idx="10">
                  <c:v>34920</c:v>
                </c:pt>
                <c:pt idx="11">
                  <c:v>44690</c:v>
                </c:pt>
              </c:numCache>
            </c:numRef>
          </c:val>
          <c:smooth val="0"/>
          <c:extLst>
            <c:ext xmlns:c16="http://schemas.microsoft.com/office/drawing/2014/chart" uri="{C3380CC4-5D6E-409C-BE32-E72D297353CC}">
              <c16:uniqueId val="{00000000-55DA-4FC6-A005-EE0C50971AC2}"/>
            </c:ext>
          </c:extLst>
        </c:ser>
        <c:dLbls>
          <c:showLegendKey val="0"/>
          <c:showVal val="0"/>
          <c:showCatName val="0"/>
          <c:showSerName val="0"/>
          <c:showPercent val="0"/>
          <c:showBubbleSize val="0"/>
        </c:dLbls>
        <c:marker val="1"/>
        <c:smooth val="0"/>
        <c:axId val="608544944"/>
        <c:axId val="608558384"/>
      </c:lineChart>
      <c:catAx>
        <c:axId val="608544944"/>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608558384"/>
        <c:crosses val="autoZero"/>
        <c:auto val="1"/>
        <c:lblAlgn val="ctr"/>
        <c:lblOffset val="100"/>
        <c:noMultiLvlLbl val="0"/>
      </c:catAx>
      <c:valAx>
        <c:axId val="608558384"/>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6085449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[Retail_Sales_Analysis_Excel_Project.xlsx]05_PIVOT_TABLES!PivotTable9</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Revenue Contribution by Production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solidFill>
              <a:schemeClr val="accent2">
                <a:lumMod val="60000"/>
                <a:lumOff val="40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2">
              <a:lumMod val="75000"/>
            </a:schemeClr>
          </a:solidFill>
          <a:ln>
            <a:solidFill>
              <a:schemeClr val="accent2">
                <a:lumMod val="75000"/>
              </a:schemeClr>
            </a:solid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solidFill>
              <a:schemeClr val="accent2">
                <a:lumMod val="60000"/>
                <a:lumOff val="40000"/>
              </a:schemeClr>
            </a:solidFill>
          </a:ln>
          <a:effectLst/>
        </c:spPr>
      </c:pivotFmt>
      <c:pivotFmt>
        <c:idx val="6"/>
        <c:spPr>
          <a:solidFill>
            <a:schemeClr val="bg2">
              <a:lumMod val="75000"/>
            </a:schemeClr>
          </a:solidFill>
          <a:ln>
            <a:solidFill>
              <a:schemeClr val="bg2">
                <a:lumMod val="75000"/>
              </a:schemeClr>
            </a:solidFill>
          </a:ln>
          <a:effectLst/>
        </c:spPr>
      </c:pivotFmt>
      <c:pivotFmt>
        <c:idx val="7"/>
        <c:spPr>
          <a:solidFill>
            <a:schemeClr val="accent2">
              <a:lumMod val="75000"/>
            </a:schemeClr>
          </a:solidFill>
          <a:ln>
            <a:solidFill>
              <a:schemeClr val="accent2">
                <a:lumMod val="75000"/>
              </a:schemeClr>
            </a:solid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pivotFmt>
      <c:pivotFmt>
        <c:idx val="10"/>
        <c:spPr>
          <a:solidFill>
            <a:schemeClr val="bg2">
              <a:lumMod val="75000"/>
            </a:schemeClr>
          </a:solidFill>
          <a:ln>
            <a:solidFill>
              <a:schemeClr val="bg2">
                <a:lumMod val="75000"/>
              </a:schemeClr>
            </a:solidFill>
          </a:ln>
          <a:effectLst/>
        </c:spPr>
      </c:pivotFmt>
      <c:pivotFmt>
        <c:idx val="11"/>
        <c:spPr>
          <a:solidFill>
            <a:schemeClr val="accent2">
              <a:lumMod val="75000"/>
            </a:schemeClr>
          </a:solidFill>
          <a:ln>
            <a:solidFill>
              <a:schemeClr val="accent2">
                <a:lumMod val="75000"/>
              </a:schemeClr>
            </a:solidFill>
          </a:ln>
          <a:effectLst/>
        </c:spPr>
      </c:pivotFmt>
    </c:pivotFmts>
    <c:plotArea>
      <c:layout/>
      <c:barChart>
        <c:barDir val="col"/>
        <c:grouping val="clustered"/>
        <c:varyColors val="0"/>
        <c:ser>
          <c:idx val="0"/>
          <c:order val="0"/>
          <c:tx>
            <c:strRef>
              <c:f>'05_PIVOT_TABLES'!$M$2</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92FB-4529-AA22-5B361EF3264C}"/>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92FB-4529-AA22-5B361EF3264C}"/>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92FB-4529-AA22-5B361EF3264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'05_PIVOT_TABLES'!$L$3:$L$6</c:f>
              <c:strCache>
                <c:ptCount val="3"/>
                <c:pt idx="0">
                  <c:v>Beauty</c:v>
                </c:pt>
                <c:pt idx="1">
                  <c:v>Clothing</c:v>
                </c:pt>
                <c:pt idx="2">
                  <c:v>Electronics</c:v>
                </c:pt>
              </c:strCache>
            </c:strRef>
          </c:cat>
          <c:val>
            <c:numRef>
              <c:f>'05_PIVOT_TABLES'!$M$3:$M$6</c:f>
              <c:numCache>
                <c:formatCode>_("$"* #,##0_);_("$"* \(#,##0\);_("$"* "-"??_);_(@_)</c:formatCode>
                <c:ptCount val="3"/>
                <c:pt idx="0">
                  <c:v>143515</c:v>
                </c:pt>
                <c:pt idx="1">
                  <c:v>155580</c:v>
                </c:pt>
                <c:pt idx="2">
                  <c:v>156905</c:v>
                </c:pt>
              </c:numCache>
            </c:numRef>
          </c:val>
          <c:extLst>
            <c:ext xmlns:c16="http://schemas.microsoft.com/office/drawing/2014/chart" uri="{C3380CC4-5D6E-409C-BE32-E72D297353CC}">
              <c16:uniqueId val="{00000006-92FB-4529-AA22-5B361EF3264C}"/>
            </c:ext>
          </c:extLst>
        </c:ser>
        <c:dLbls>
          <c:dLblPos val="outEnd"/>
          <c:showLegendKey val="0"/>
          <c:showVal val="1"/>
          <c:showCatName val="0"/>
          <c:showSerName val="0"/>
          <c:showPercent val="0"/>
          <c:showBubbleSize val="0"/>
        </c:dLbls>
        <c:gapWidth val="219"/>
        <c:overlap val="-27"/>
        <c:axId val="754199311"/>
        <c:axId val="754199791"/>
      </c:barChart>
      <c:catAx>
        <c:axId val="754199311"/>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791"/>
        <c:crosses val="autoZero"/>
        <c:auto val="1"/>
        <c:lblAlgn val="ctr"/>
        <c:lblOffset val="100"/>
        <c:noMultiLvlLbl val="0"/>
      </c:catAx>
      <c:valAx>
        <c:axId val="754199791"/>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3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[Retail_Sales_Analysis_Excel_Project.xlsx]05_PIVOT_TABLES!PivotTable12</c:name>
    <c:fmtId val="2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Total Revenue by Gender</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solidFill>
              <a:schemeClr val="bg2">
                <a:lumMod val="75000"/>
              </a:schemeClr>
            </a:solidFill>
          </a:ln>
          <a:effectLst/>
        </c:spPr>
      </c:pivotFmt>
      <c:pivotFmt>
        <c:idx val="8"/>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21472130680150603"/>
          <c:y val="0.23594771241830065"/>
          <c:w val="0.72990063143065587"/>
          <c:h val="0.62149246050126083"/>
        </c:manualLayout>
      </c:layout>
      <c:barChart>
        <c:barDir val="col"/>
        <c:grouping val="clustered"/>
        <c:varyColors val="0"/>
        <c:ser>
          <c:idx val="0"/>
          <c:order val="0"/>
          <c:tx>
            <c:strRef>
              <c:f>'05_PIVOT_TABLES'!$U$2</c:f>
              <c:strCache>
                <c:ptCount val="1"/>
                <c:pt idx="0">
                  <c:v>Total</c:v>
                </c:pt>
              </c:strCache>
            </c:strRef>
          </c:tx>
          <c:spPr>
            <a:solidFill>
              <a:schemeClr val="bg2">
                <a:lumMod val="75000"/>
              </a:schemeClr>
            </a:solidFill>
            <a:ln>
              <a:solidFill>
                <a:schemeClr val="bg2">
                  <a:lumMod val="75000"/>
                </a:schemeClr>
              </a:solid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1E97-4D07-90C9-4C3BCC91CC9E}"/>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1E97-4D07-90C9-4C3BCC91CC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'05_PIVOT_TABLES'!$T$3:$T$5</c:f>
              <c:strCache>
                <c:ptCount val="2"/>
                <c:pt idx="0">
                  <c:v>Female</c:v>
                </c:pt>
                <c:pt idx="1">
                  <c:v>Male</c:v>
                </c:pt>
              </c:strCache>
            </c:strRef>
          </c:cat>
          <c:val>
            <c:numRef>
              <c:f>'05_PIVOT_TABLES'!$U$3:$U$5</c:f>
              <c:numCache>
                <c:formatCode>_("$"* #,##0_);_("$"* \(#,##0\);_("$"* "-"??_);_(@_)</c:formatCode>
                <c:ptCount val="2"/>
                <c:pt idx="0">
                  <c:v>232840</c:v>
                </c:pt>
                <c:pt idx="1">
                  <c:v>223160</c:v>
                </c:pt>
              </c:numCache>
            </c:numRef>
          </c:val>
          <c:extLst>
            <c:ext xmlns:c16="http://schemas.microsoft.com/office/drawing/2014/chart" uri="{C3380CC4-5D6E-409C-BE32-E72D297353CC}">
              <c16:uniqueId val="{00000004-1E97-4D07-90C9-4C3BCC91CC9E}"/>
            </c:ext>
          </c:extLst>
        </c:ser>
        <c:dLbls>
          <c:dLblPos val="outEnd"/>
          <c:showLegendKey val="0"/>
          <c:showVal val="1"/>
          <c:showCatName val="0"/>
          <c:showSerName val="0"/>
          <c:showPercent val="0"/>
          <c:showBubbleSize val="0"/>
        </c:dLbls>
        <c:gapWidth val="219"/>
        <c:overlap val="-27"/>
        <c:axId val="747050207"/>
        <c:axId val="747072767"/>
      </c:barChart>
      <c:catAx>
        <c:axId val="74705020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72767"/>
        <c:crosses val="autoZero"/>
        <c:auto val="1"/>
        <c:lblAlgn val="ctr"/>
        <c:lblOffset val="100"/>
        <c:noMultiLvlLbl val="0"/>
      </c:catAx>
      <c:valAx>
        <c:axId val="747072767"/>
        <c:scaling>
          <c:orientation val="minMax"/>
          <c:min val="220000"/>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50207"/>
        <c:crosses val="autoZero"/>
        <c:crossBetween val="between"/>
        <c:majorUnit val="4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[Retail_Sales_Analysis_Excel_Project.xlsx]05_PIVOT_TABLES!PivotTable16</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Transaction Volume by Gender</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solidFill>
              <a:schemeClr val="bg2">
                <a:lumMod val="75000"/>
              </a:schemeClr>
            </a:solidFill>
          </a:ln>
          <a:effectLst/>
        </c:spPr>
      </c:pivotFmt>
      <c:pivotFmt>
        <c:idx val="8"/>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17280168261795556"/>
          <c:y val="0.22422869437061083"/>
          <c:w val="0.75874303821778377"/>
          <c:h val="0.63225862528651666"/>
        </c:manualLayout>
      </c:layout>
      <c:barChart>
        <c:barDir val="bar"/>
        <c:grouping val="clustered"/>
        <c:varyColors val="0"/>
        <c:ser>
          <c:idx val="0"/>
          <c:order val="0"/>
          <c:tx>
            <c:strRef>
              <c:f>'05_PIVOT_TABLES'!$AC$2</c:f>
              <c:strCache>
                <c:ptCount val="1"/>
                <c:pt idx="0">
                  <c:v>Total</c:v>
                </c:pt>
              </c:strCache>
            </c:strRef>
          </c:tx>
          <c:spPr>
            <a:solidFill>
              <a:schemeClr val="accent1"/>
            </a:solidFill>
            <a:ln>
              <a:no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32FC-4AA5-91AF-DC77FDFE122C}"/>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32FC-4AA5-91AF-DC77FDFE12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'05_PIVOT_TABLES'!$AB$3:$AB$5</c:f>
              <c:strCache>
                <c:ptCount val="2"/>
                <c:pt idx="0">
                  <c:v>Female</c:v>
                </c:pt>
                <c:pt idx="1">
                  <c:v>Male</c:v>
                </c:pt>
              </c:strCache>
            </c:strRef>
          </c:cat>
          <c:val>
            <c:numRef>
              <c:f>'05_PIVOT_TABLES'!$AC$3:$AC$5</c:f>
              <c:numCache>
                <c:formatCode>0</c:formatCode>
                <c:ptCount val="2"/>
                <c:pt idx="0">
                  <c:v>510</c:v>
                </c:pt>
                <c:pt idx="1">
                  <c:v>490</c:v>
                </c:pt>
              </c:numCache>
            </c:numRef>
          </c:val>
          <c:extLst>
            <c:ext xmlns:c16="http://schemas.microsoft.com/office/drawing/2014/chart" uri="{C3380CC4-5D6E-409C-BE32-E72D297353CC}">
              <c16:uniqueId val="{00000004-32FC-4AA5-91AF-DC77FDFE122C}"/>
            </c:ext>
          </c:extLst>
        </c:ser>
        <c:dLbls>
          <c:dLblPos val="outEnd"/>
          <c:showLegendKey val="0"/>
          <c:showVal val="1"/>
          <c:showCatName val="0"/>
          <c:showSerName val="0"/>
          <c:showPercent val="0"/>
          <c:showBubbleSize val="0"/>
        </c:dLbls>
        <c:gapWidth val="182"/>
        <c:axId val="1936404624"/>
        <c:axId val="1936392144"/>
      </c:barChart>
      <c:catAx>
        <c:axId val="19364046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392144"/>
        <c:crosses val="autoZero"/>
        <c:auto val="1"/>
        <c:lblAlgn val="ctr"/>
        <c:lblOffset val="100"/>
        <c:noMultiLvlLbl val="0"/>
      </c:catAx>
      <c:valAx>
        <c:axId val="1936392144"/>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40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Average Spend per Transaction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'05_PIVOT_TABLES'!$AG$2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'05_PIVOT_TABLES'!$AF$3:$AF$8</c:f>
              <c:strCache>
                <c:ptCount val="5"/>
                <c:pt idx="0">
                  <c:v>Elderly</c:v>
                </c:pt>
                <c:pt idx="1">
                  <c:v>Seniors</c:v>
                </c:pt>
                <c:pt idx="2">
                  <c:v>Adults</c:v>
                </c:pt>
                <c:pt idx="3">
                  <c:v>Young Adults</c:v>
                </c:pt>
                <c:pt idx="4">
                  <c:v>Teenagers</c:v>
                </c:pt>
              </c:strCache>
            </c:strRef>
          </c:cat>
          <c:val>
            <c:numRef>
              <c:f>'05_PIVOT_TABLES'!$AG$3:$AG$8</c:f>
              <c:numCache>
                <c:formatCode>_("$"* #,##0_);_("$"* \(#,##0\);_("$"* "-"??_);_(@_)</c:formatCode>
                <c:ptCount val="5"/>
                <c:pt idx="0">
                  <c:v>412.35897435897436</c:v>
                </c:pt>
                <c:pt idx="1">
                  <c:v>439.69432314410483</c:v>
                </c:pt>
                <c:pt idx="2">
                  <c:v>460.53571428571428</c:v>
                </c:pt>
                <c:pt idx="3">
                  <c:v>484.96978851963746</c:v>
                </c:pt>
                <c:pt idx="4">
                  <c:v>534.04761904761904</c:v>
                </c:pt>
              </c:numCache>
            </c:numRef>
          </c:val>
          <c:extLst>
            <c:ext xmlns:c16="http://schemas.microsoft.com/office/drawing/2014/chart" uri="{C3380CC4-5D6E-409C-BE32-E72D297353CC}">
              <c16:uniqueId val="{00000000-FDB3-48D6-8DF1-439CC1C2CE35}"/>
            </c:ext>
          </c:extLst>
        </c:ser>
        <c:dLbls>
          <c:dLblPos val="outEnd"/>
          <c:showLegendKey val="0"/>
          <c:showVal val="1"/>
          <c:showCatName val="0"/>
          <c:showSerName val="0"/>
          <c:showPercent val="0"/>
          <c:showBubbleSize val="0"/>
        </c:dLbls>
        <c:gapWidth val="219"/>
        <c:axId val="845898687"/>
        <c:axId val="845877087"/>
      </c:barChart>
      <c:catAx>
        <c:axId val="84589868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77087"/>
        <c:crosses val="autoZero"/>
        <c:auto val="1"/>
        <c:lblAlgn val="ctr"/>
        <c:lblOffset val="100"/>
        <c:noMultiLvlLbl val="0"/>
      </c:catAx>
      <c:valAx>
        <c:axId val="845877087"/>
        <c:scaling>
          <c:orientation val="minMax"/>
          <c:max val="600"/>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98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Quantity Sold by Production Category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accent2">
              <a:lumMod val="60000"/>
              <a:lumOff val="40000"/>
            </a:schemeClr>
          </a:solidFill>
          <a:ln>
            <a:solidFill>
              <a:schemeClr val="accent2">
                <a:lumMod val="60000"/>
                <a:lumOff val="40000"/>
              </a:schemeClr>
            </a:solidFill>
          </a:ln>
          <a:effectLst/>
        </c:spPr>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lumMod val="60000"/>
              <a:lumOff val="40000"/>
            </a:schemeClr>
          </a:solidFill>
          <a:ln>
            <a:solidFill>
              <a:schemeClr val="accent2">
                <a:lumMod val="60000"/>
                <a:lumOff val="40000"/>
              </a:schemeClr>
            </a:solidFill>
          </a:ln>
          <a:effectLst/>
        </c:spPr>
      </c:pivotFmt>
      <c:pivotFmt>
        <c:idx val="9"/>
        <c:spPr>
          <a:solidFill>
            <a:schemeClr val="accent2">
              <a:lumMod val="75000"/>
            </a:schemeClr>
          </a:solidFill>
          <a:ln>
            <a:solidFill>
              <a:schemeClr val="accent2">
                <a:lumMod val="75000"/>
              </a:schemeClr>
            </a:solidFill>
          </a:ln>
          <a:effectLst/>
        </c:spPr>
      </c:pivotFmt>
      <c:pivotFmt>
        <c:idx val="10"/>
        <c:spPr>
          <a:solidFill>
            <a:schemeClr val="bg2">
              <a:lumMod val="75000"/>
            </a:schemeClr>
          </a:solidFill>
          <a:ln>
            <a:solidFill>
              <a:schemeClr val="bg2">
                <a:lumMod val="75000"/>
              </a:schemeClr>
            </a:solidFill>
          </a:ln>
          <a:effectLst/>
        </c:spPr>
      </c:pivotFmt>
      <c:pivotFmt>
        <c:idx val="11"/>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solidFill>
              <a:schemeClr val="accent2">
                <a:lumMod val="60000"/>
                <a:lumOff val="40000"/>
              </a:schemeClr>
            </a:solidFill>
          </a:ln>
          <a:effectLst/>
        </c:spPr>
      </c:pivotFmt>
      <c:pivotFmt>
        <c:idx val="13"/>
        <c:spPr>
          <a:solidFill>
            <a:schemeClr val="accent2">
              <a:lumMod val="75000"/>
            </a:schemeClr>
          </a:solidFill>
          <a:ln>
            <a:solidFill>
              <a:schemeClr val="accent2">
                <a:lumMod val="75000"/>
              </a:schemeClr>
            </a:solidFill>
          </a:ln>
          <a:effectLst/>
        </c:spPr>
      </c:pivotFmt>
      <c:pivotFmt>
        <c:idx val="14"/>
        <c:spPr>
          <a:solidFill>
            <a:schemeClr val="bg2">
              <a:lumMod val="75000"/>
            </a:schemeClr>
          </a:solidFill>
          <a:ln>
            <a:solidFill>
              <a:schemeClr val="bg2">
                <a:lumMod val="75000"/>
              </a:schemeClr>
            </a:solidFill>
          </a:ln>
          <a:effectLst/>
        </c:spPr>
      </c:pivotFmt>
    </c:pivotFmts>
    <c:plotArea>
      <c:layout/>
      <c:barChart>
        <c:barDir val="bar"/>
        <c:grouping val="clustered"/>
        <c:varyColors val="0"/>
        <c:ser>
          <c:idx val="0"/>
          <c:order val="0"/>
          <c:tx>
            <c:strRef>
              <c:f>'05_PIVOT_TABLES'!$AO$2</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90C0-49CB-98F3-6CA64E1DFB09}"/>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90C0-49CB-98F3-6CA64E1DFB09}"/>
              </c:ext>
            </c:extLst>
          </c:dPt>
          <c:dPt>
            <c:idx val="2"/>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5-90C0-49CB-98F3-6CA64E1DFB09}"/>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'05_PIVOT_TABLES'!$AN$3:$AN$6</c:f>
              <c:strCache>
                <c:ptCount val="3"/>
                <c:pt idx="0">
                  <c:v>Beauty</c:v>
                </c:pt>
                <c:pt idx="1">
                  <c:v>Electronics</c:v>
                </c:pt>
                <c:pt idx="2">
                  <c:v>Clothing</c:v>
                </c:pt>
              </c:strCache>
            </c:strRef>
          </c:cat>
          <c:val>
            <c:numRef>
              <c:f>'05_PIVOT_TABLES'!$AO$3:$AO$6</c:f>
              <c:numCache>
                <c:formatCode>0</c:formatCode>
                <c:ptCount val="3"/>
                <c:pt idx="0">
                  <c:v>771</c:v>
                </c:pt>
                <c:pt idx="1">
                  <c:v>849</c:v>
                </c:pt>
                <c:pt idx="2">
                  <c:v>894</c:v>
                </c:pt>
              </c:numCache>
            </c:numRef>
          </c:val>
          <c:extLst>
            <c:ext xmlns:c16="http://schemas.microsoft.com/office/drawing/2014/chart" uri="{C3380CC4-5D6E-409C-BE32-E72D297353CC}">
              <c16:uniqueId val="{00000006-90C0-49CB-98F3-6CA64E1DFB09}"/>
            </c:ext>
          </c:extLst>
        </c:ser>
        <c:dLbls>
          <c:dLblPos val="outEnd"/>
          <c:showLegendKey val="0"/>
          <c:showVal val="1"/>
          <c:showCatName val="0"/>
          <c:showSerName val="0"/>
          <c:showPercent val="0"/>
          <c:showBubbleSize val="0"/>
        </c:dLbls>
        <c:gapWidth val="182"/>
        <c:axId val="208767504"/>
        <c:axId val="208768944"/>
      </c:barChart>
      <c:catAx>
        <c:axId val="20876750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08768944"/>
        <c:crosses val="autoZero"/>
        <c:auto val="1"/>
        <c:lblAlgn val="ctr"/>
        <c:lblOffset val="100"/>
        <c:noMultiLvlLbl val="0"/>
      </c:catAx>
      <c:valAx>
        <c:axId val="208768944"/>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08767504"/>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[Retail_Sales_Analysis_Excel_Project.xlsx]05_PIVOT_TABLES!PivotTable10</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Price Per Unit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w="19050">
            <a:solidFill>
              <a:schemeClr val="accent2">
                <a:lumMod val="75000"/>
              </a:schemeClr>
            </a:solidFill>
          </a:ln>
          <a:effectLst/>
        </c:spPr>
      </c:pivotFmt>
      <c:pivotFmt>
        <c:idx val="2"/>
        <c:spPr>
          <a:solidFill>
            <a:schemeClr val="accent2">
              <a:lumMod val="60000"/>
              <a:lumOff val="40000"/>
            </a:schemeClr>
          </a:solidFill>
          <a:ln w="19050">
            <a:solidFill>
              <a:schemeClr val="accent2">
                <a:lumMod val="60000"/>
                <a:lumOff val="40000"/>
              </a:schemeClr>
            </a:solidFill>
          </a:ln>
          <a:effectLst/>
        </c:spPr>
      </c:pivotFmt>
      <c:pivotFmt>
        <c:idx val="3"/>
        <c:spPr>
          <a:solidFill>
            <a:schemeClr val="bg2">
              <a:lumMod val="75000"/>
            </a:schemeClr>
          </a:solidFill>
          <a:ln w="19050">
            <a:solidFill>
              <a:schemeClr val="bg2">
                <a:lumMod val="75000"/>
              </a:schemeClr>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bg2">
              <a:lumMod val="75000"/>
            </a:schemeClr>
          </a:solidFill>
          <a:ln w="19050">
            <a:solidFill>
              <a:schemeClr val="bg2">
                <a:lumMod val="75000"/>
              </a:schemeClr>
            </a:solidFill>
          </a:ln>
          <a:effectLst/>
        </c:spPr>
      </c:pivotFmt>
      <c:pivotFmt>
        <c:idx val="6"/>
        <c:spPr>
          <a:solidFill>
            <a:schemeClr val="accent2">
              <a:lumMod val="75000"/>
            </a:schemeClr>
          </a:solidFill>
          <a:ln w="19050">
            <a:solidFill>
              <a:schemeClr val="accent2">
                <a:lumMod val="75000"/>
              </a:schemeClr>
            </a:solidFill>
          </a:ln>
          <a:effectLst/>
        </c:spPr>
      </c:pivotFmt>
      <c:pivotFmt>
        <c:idx val="7"/>
        <c:spPr>
          <a:solidFill>
            <a:schemeClr val="accent2">
              <a:lumMod val="60000"/>
              <a:lumOff val="40000"/>
            </a:schemeClr>
          </a:solidFill>
          <a:ln w="19050">
            <a:solidFill>
              <a:schemeClr val="accent2">
                <a:lumMod val="60000"/>
                <a:lumOff val="40000"/>
              </a:schemeClr>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bg2">
              <a:lumMod val="75000"/>
            </a:schemeClr>
          </a:solidFill>
          <a:ln w="19050">
            <a:solidFill>
              <a:schemeClr val="bg2">
                <a:lumMod val="75000"/>
              </a:schemeClr>
            </a:solidFill>
          </a:ln>
          <a:effectLst/>
        </c:spPr>
      </c:pivotFmt>
      <c:pivotFmt>
        <c:idx val="10"/>
        <c:spPr>
          <a:solidFill>
            <a:schemeClr val="accent2">
              <a:lumMod val="75000"/>
            </a:schemeClr>
          </a:solidFill>
          <a:ln w="19050">
            <a:solidFill>
              <a:schemeClr val="accent2">
                <a:lumMod val="75000"/>
              </a:schemeClr>
            </a:solidFill>
          </a:ln>
          <a:effectLst/>
        </c:spPr>
      </c:pivotFmt>
      <c:pivotFmt>
        <c:idx val="11"/>
        <c:spPr>
          <a:solidFill>
            <a:schemeClr val="accent2">
              <a:lumMod val="60000"/>
              <a:lumOff val="40000"/>
            </a:schemeClr>
          </a:solidFill>
          <a:ln w="19050">
            <a:solidFill>
              <a:schemeClr val="accent2">
                <a:lumMod val="60000"/>
                <a:lumOff val="40000"/>
              </a:schemeClr>
            </a:solidFill>
          </a:ln>
          <a:effectLst/>
        </c:spPr>
      </c:pivotFmt>
    </c:pivotFmts>
    <c:plotArea>
      <c:layout/>
      <c:barChart>
        <c:barDir val="bar"/>
        <c:grouping val="clustered"/>
        <c:varyColors val="0"/>
        <c:ser>
          <c:idx val="0"/>
          <c:order val="0"/>
          <c:tx>
            <c:strRef>
              <c:f>'05_PIVOT_TABLES'!$AS$2</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1-9C27-4BCF-ADE0-4160715DB2C1}"/>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3-9C27-4BCF-ADE0-4160715DB2C1}"/>
              </c:ext>
            </c:extLst>
          </c:dPt>
          <c:dPt>
            <c:idx val="2"/>
            <c:invertIfNegative val="0"/>
            <c:bubble3D val="0"/>
            <c:spPr>
              <a:solidFill>
                <a:schemeClr val="accent2">
                  <a:lumMod val="60000"/>
                  <a:lumOff val="40000"/>
                </a:schemeClr>
              </a:solidFill>
              <a:ln w="19050">
                <a:solidFill>
                  <a:schemeClr val="accent2">
                    <a:lumMod val="60000"/>
                    <a:lumOff val="40000"/>
                  </a:schemeClr>
                </a:solidFill>
              </a:ln>
              <a:effectLst/>
            </c:spPr>
            <c:extLst>
              <c:ext xmlns:c16="http://schemas.microsoft.com/office/drawing/2014/chart" uri="{C3380CC4-5D6E-409C-BE32-E72D297353CC}">
                <c16:uniqueId val="{00000005-9C27-4BCF-ADE0-4160715DB2C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'05_PIVOT_TABLES'!$AR$3:$AR$6</c:f>
              <c:strCache>
                <c:ptCount val="3"/>
                <c:pt idx="0">
                  <c:v>Clothing</c:v>
                </c:pt>
                <c:pt idx="1">
                  <c:v>Electronics</c:v>
                </c:pt>
                <c:pt idx="2">
                  <c:v>Beauty</c:v>
                </c:pt>
              </c:strCache>
            </c:strRef>
          </c:cat>
          <c:val>
            <c:numRef>
              <c:f>'05_PIVOT_TABLES'!$AS$3:$AS$6</c:f>
              <c:numCache>
                <c:formatCode>_("$"* #,##0_);_("$"* \(#,##0\);_("$"* "-"??_);_(@_)</c:formatCode>
                <c:ptCount val="3"/>
                <c:pt idx="0">
                  <c:v>174.28774928774928</c:v>
                </c:pt>
                <c:pt idx="1">
                  <c:v>181.90058479532163</c:v>
                </c:pt>
                <c:pt idx="2">
                  <c:v>184.05537459283389</c:v>
                </c:pt>
              </c:numCache>
            </c:numRef>
          </c:val>
          <c:extLst>
            <c:ext xmlns:c16="http://schemas.microsoft.com/office/drawing/2014/chart" uri="{C3380CC4-5D6E-409C-BE32-E72D297353CC}">
              <c16:uniqueId val="{00000006-9C27-4BCF-ADE0-4160715DB2C1}"/>
            </c:ext>
          </c:extLst>
        </c:ser>
        <c:dLbls>
          <c:dLblPos val="outEnd"/>
          <c:showLegendKey val="0"/>
          <c:showVal val="1"/>
          <c:showCatName val="0"/>
          <c:showSerName val="0"/>
          <c:showPercent val="0"/>
          <c:showBubbleSize val="0"/>
        </c:dLbls>
        <c:gapWidth val="100"/>
        <c:axId val="1711998560"/>
        <c:axId val="1711996640"/>
      </c:barChart>
      <c:valAx>
        <c:axId val="1711996640"/>
        <c:scaling>
          <c:orientation val="minMax"/>
        </c:scaling>
        <c:delete val="0"/>
        <c:axPos val="b"/>
        <c:numFmt formatCode="_(&quot;$&quot;* #,##0_);_(&quot;$&quot;* \(#,##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8560"/>
        <c:crosses val="autoZero"/>
        <c:crossBetween val="between"/>
        <c:majorUnit val="10"/>
      </c:valAx>
      <c:catAx>
        <c:axId val="1711998560"/>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664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Transaction</a:t>
            </a:r>
            <a:r>
              <a:rPr lang="en-US" b="1" baseline="0">
                <a:solidFill>
                  <a:schemeClr val="tx1"/>
                </a:solidFill>
                <a:latin typeface="Times New Roman" panose="02020603050405020304" pitchFamily="18" charset="0"/>
                <a:cs typeface="Times New Roman" panose="02020603050405020304" pitchFamily="18" charset="0"/>
              </a:rPr>
              <a:t> Volume by Age Group</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'05_PIVOT_TABLES'!$AK$2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'05_PIVOT_TABLES'!$AJ$3:$AJ$8</c:f>
              <c:strCache>
                <c:ptCount val="5"/>
                <c:pt idx="0">
                  <c:v>Teenagers</c:v>
                </c:pt>
                <c:pt idx="1">
                  <c:v>Elderly</c:v>
                </c:pt>
                <c:pt idx="2">
                  <c:v>Adults</c:v>
                </c:pt>
                <c:pt idx="3">
                  <c:v>Seniors</c:v>
                </c:pt>
                <c:pt idx="4">
                  <c:v>Young Adults</c:v>
                </c:pt>
              </c:strCache>
            </c:strRef>
          </c:cat>
          <c:val>
            <c:numRef>
              <c:f>'05_PIVOT_TABLES'!$AK$3:$AK$8</c:f>
              <c:numCache>
                <c:formatCode>0</c:formatCode>
                <c:ptCount val="5"/>
                <c:pt idx="0">
                  <c:v>21</c:v>
                </c:pt>
                <c:pt idx="1">
                  <c:v>195</c:v>
                </c:pt>
                <c:pt idx="2">
                  <c:v>224</c:v>
                </c:pt>
                <c:pt idx="3">
                  <c:v>229</c:v>
                </c:pt>
                <c:pt idx="4">
                  <c:v>331</c:v>
                </c:pt>
              </c:numCache>
            </c:numRef>
          </c:val>
          <c:extLst>
            <c:ext xmlns:c16="http://schemas.microsoft.com/office/drawing/2014/chart" uri="{C3380CC4-5D6E-409C-BE32-E72D297353CC}">
              <c16:uniqueId val="{00000000-DF1B-4B7E-8750-4CD36E7D957A}"/>
            </c:ext>
          </c:extLst>
        </c:ser>
        <c:dLbls>
          <c:dLblPos val="outEnd"/>
          <c:showLegendKey val="0"/>
          <c:showVal val="1"/>
          <c:showCatName val="0"/>
          <c:showSerName val="0"/>
          <c:showPercent val="0"/>
          <c:showBubbleSize val="0"/>
        </c:dLbls>
        <c:gapWidth val="182"/>
        <c:axId val="1432208512"/>
        <c:axId val="1432191232"/>
      </c:barChart>
      <c:catAx>
        <c:axId val="1432208512"/>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191232"/>
        <c:crosses val="autoZero"/>
        <c:auto val="1"/>
        <c:lblAlgn val="ctr"/>
        <c:lblOffset val="100"/>
        <c:noMultiLvlLbl val="0"/>
      </c:catAx>
      <c:valAx>
        <c:axId val="143219123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208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[Retail_Sales_Analysis_Excel_Project.xlsx]05_PIVOT_TABLES!PivotTable7</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i="0" u="none" strike="noStrike" kern="1200" spc="0" baseline="0">
                <a:solidFill>
                  <a:sysClr val="windowText" lastClr="000000"/>
                </a:solidFill>
                <a:latin typeface="Times New Roman" panose="02020603050405020304" pitchFamily="18" charset="0"/>
                <a:cs typeface="Times New Roman" panose="02020603050405020304" pitchFamily="18" charset="0"/>
              </a:rPr>
              <a:t>Product Category Preference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'05_PIVOT_TABLES'!$AW$2:$AW$3</c:f>
              <c:strCache>
                <c:ptCount val="1"/>
                <c:pt idx="0">
                  <c:v>Beauty</c:v>
                </c:pt>
              </c:strCache>
            </c:strRef>
          </c:tx>
          <c:spPr>
            <a:solidFill>
              <a:schemeClr val="accent2">
                <a:lumMod val="60000"/>
                <a:lumOff val="40000"/>
              </a:schemeClr>
            </a:solidFill>
            <a:ln>
              <a:solidFill>
                <a:schemeClr val="accent2">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'05_PIVOT_TABLES'!$AW$4:$AW$6</c:f>
              <c:numCache>
                <c:formatCode>0</c:formatCode>
                <c:ptCount val="2"/>
                <c:pt idx="0">
                  <c:v>418</c:v>
                </c:pt>
                <c:pt idx="1">
                  <c:v>353</c:v>
                </c:pt>
              </c:numCache>
            </c:numRef>
          </c:val>
          <c:extLst>
            <c:ext xmlns:c16="http://schemas.microsoft.com/office/drawing/2014/chart" uri="{C3380CC4-5D6E-409C-BE32-E72D297353CC}">
              <c16:uniqueId val="{00000000-FB64-407B-8581-B9FAD2D3D6DF}"/>
            </c:ext>
          </c:extLst>
        </c:ser>
        <c:ser>
          <c:idx val="1"/>
          <c:order val="1"/>
          <c:tx>
            <c:strRef>
              <c:f>'05_PIVOT_TABLES'!$AX$2:$AX$3</c:f>
              <c:strCache>
                <c:ptCount val="1"/>
                <c:pt idx="0">
                  <c:v>Clothing</c:v>
                </c:pt>
              </c:strCache>
            </c:strRef>
          </c:tx>
          <c:spPr>
            <a:solidFill>
              <a:schemeClr val="bg2">
                <a:lumMod val="75000"/>
              </a:schemeClr>
            </a:solidFill>
            <a:ln>
              <a:solidFill>
                <a:schemeClr val="bg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'05_PIVOT_TABLES'!$AX$4:$AX$6</c:f>
              <c:numCache>
                <c:formatCode>0</c:formatCode>
                <c:ptCount val="2"/>
                <c:pt idx="0">
                  <c:v>441</c:v>
                </c:pt>
                <c:pt idx="1">
                  <c:v>453</c:v>
                </c:pt>
              </c:numCache>
            </c:numRef>
          </c:val>
          <c:extLst>
            <c:ext xmlns:c16="http://schemas.microsoft.com/office/drawing/2014/chart" uri="{C3380CC4-5D6E-409C-BE32-E72D297353CC}">
              <c16:uniqueId val="{00000001-FB64-407B-8581-B9FAD2D3D6DF}"/>
            </c:ext>
          </c:extLst>
        </c:ser>
        <c:ser>
          <c:idx val="2"/>
          <c:order val="2"/>
          <c:tx>
            <c:strRef>
              <c:f>'05_PIVOT_TABLES'!$AY$2:$AY$3</c:f>
              <c:strCache>
                <c:ptCount val="1"/>
                <c:pt idx="0">
                  <c:v>Electronics</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'05_PIVOT_TABLES'!$AY$4:$AY$6</c:f>
              <c:numCache>
                <c:formatCode>0</c:formatCode>
                <c:ptCount val="2"/>
                <c:pt idx="0">
                  <c:v>439</c:v>
                </c:pt>
                <c:pt idx="1">
                  <c:v>410</c:v>
                </c:pt>
              </c:numCache>
            </c:numRef>
          </c:val>
          <c:extLst>
            <c:ext xmlns:c16="http://schemas.microsoft.com/office/drawing/2014/chart" uri="{C3380CC4-5D6E-409C-BE32-E72D297353CC}">
              <c16:uniqueId val="{00000002-FB64-407B-8581-B9FAD2D3D6DF}"/>
            </c:ext>
          </c:extLst>
        </c:ser>
        <c:dLbls>
          <c:dLblPos val="outEnd"/>
          <c:showLegendKey val="0"/>
          <c:showVal val="1"/>
          <c:showCatName val="0"/>
          <c:showSerName val="0"/>
          <c:showPercent val="0"/>
          <c:showBubbleSize val="0"/>
        </c:dLbls>
        <c:gapWidth val="219"/>
        <c:overlap val="-27"/>
        <c:axId val="609418832"/>
        <c:axId val="609397232"/>
      </c:barChart>
      <c:catAx>
        <c:axId val="6094188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609397232"/>
        <c:crosses val="autoZero"/>
        <c:auto val="1"/>
        <c:lblAlgn val="ctr"/>
        <c:lblOffset val="100"/>
        <c:noMultiLvlLbl val="0"/>
      </c:catAx>
      <c:valAx>
        <c:axId val="6093972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60941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1"/>
                </a:solidFill>
                <a:latin typeface="Times New Roman" panose="02020603050405020304" pitchFamily="18" charset="0"/>
                <a:cs typeface="Times New Roman" panose="02020603050405020304" pitchFamily="18" charset="0"/>
              </a:rPr>
              <a:t>Revenue per Transaction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'05_PIVOT_TABLES'!$BH$2</c:f>
              <c:strCache>
                <c:ptCount val="1"/>
                <c:pt idx="0">
                  <c:v>Revenue per Transaction</c:v>
                </c:pt>
              </c:strCache>
            </c:strRef>
          </c:tx>
          <c:spPr>
            <a:solidFill>
              <a:schemeClr val="accent1"/>
            </a:solidFill>
            <a:ln>
              <a:solidFill>
                <a:schemeClr val="accent2">
                  <a:lumMod val="60000"/>
                  <a:lumOff val="40000"/>
                </a:schemeClr>
              </a:solid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91B5-4374-96CE-31D7659CB8E0}"/>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91B5-4374-96CE-31D7659CB8E0}"/>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91B5-4374-96CE-31D7659CB8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'05_PIVOT_TABLES'!$BG$3:$BG$5</c:f>
              <c:strCache>
                <c:ptCount val="3"/>
                <c:pt idx="0">
                  <c:v>Beauty</c:v>
                </c:pt>
                <c:pt idx="1">
                  <c:v>Clothing</c:v>
                </c:pt>
                <c:pt idx="2">
                  <c:v>Electronics</c:v>
                </c:pt>
              </c:strCache>
            </c:strRef>
          </c:cat>
          <c:val>
            <c:numRef>
              <c:f>'05_PIVOT_TABLES'!$BH$3:$BH$5</c:f>
              <c:numCache>
                <c:formatCode>_("$"* #,##0_);_("$"* \(#,##0\);_("$"* "-"??_);_(@_)</c:formatCode>
                <c:ptCount val="3"/>
                <c:pt idx="0">
                  <c:v>467.47557003257327</c:v>
                </c:pt>
                <c:pt idx="1">
                  <c:v>443.24786324786322</c:v>
                </c:pt>
                <c:pt idx="2">
                  <c:v>458.78654970760232</c:v>
                </c:pt>
              </c:numCache>
            </c:numRef>
          </c:val>
          <c:extLst>
            <c:ext xmlns:c16="http://schemas.microsoft.com/office/drawing/2014/chart" uri="{C3380CC4-5D6E-409C-BE32-E72D297353CC}">
              <c16:uniqueId val="{00000006-91B5-4374-96CE-31D7659CB8E0}"/>
            </c:ext>
          </c:extLst>
        </c:ser>
        <c:dLbls>
          <c:dLblPos val="outEnd"/>
          <c:showLegendKey val="0"/>
          <c:showVal val="1"/>
          <c:showCatName val="0"/>
          <c:showSerName val="0"/>
          <c:showPercent val="0"/>
          <c:showBubbleSize val="0"/>
        </c:dLbls>
        <c:gapWidth val="219"/>
        <c:overlap val="-27"/>
        <c:axId val="1425821920"/>
        <c:axId val="1425801760"/>
      </c:barChart>
      <c:catAx>
        <c:axId val="1425821920"/>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01760"/>
        <c:crosses val="autoZero"/>
        <c:auto val="1"/>
        <c:lblAlgn val="ctr"/>
        <c:lblOffset val="100"/>
        <c:noMultiLvlLbl val="0"/>
      </c:catAx>
      <c:valAx>
        <c:axId val="14258017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219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Transaction</a:t>
            </a:r>
            <a:r>
              <a:rPr lang="en-US" b="1" baseline="0">
                <a:solidFill>
                  <a:schemeClr val="tx1"/>
                </a:solidFill>
                <a:latin typeface="Times New Roman" panose="02020603050405020304" pitchFamily="18" charset="0"/>
                <a:cs typeface="Times New Roman" panose="02020603050405020304" pitchFamily="18" charset="0"/>
              </a:rPr>
              <a:t> by Product Category</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'05_PIVOT_TABLES'!$BD$2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'05_PIVOT_TABLES'!$BC$3:$BC$6</c:f>
              <c:strCache>
                <c:ptCount val="3"/>
                <c:pt idx="0">
                  <c:v>Electronics</c:v>
                </c:pt>
                <c:pt idx="1">
                  <c:v>Clothing</c:v>
                </c:pt>
                <c:pt idx="2">
                  <c:v>Beauty</c:v>
                </c:pt>
              </c:strCache>
            </c:strRef>
          </c:cat>
          <c:val>
            <c:numRef>
              <c:f>'05_PIVOT_TABLES'!$BD$3:$BD$6</c:f>
              <c:numCache>
                <c:formatCode>General</c:formatCode>
                <c:ptCount val="3"/>
                <c:pt idx="0">
                  <c:v>342</c:v>
                </c:pt>
                <c:pt idx="1">
                  <c:v>351</c:v>
                </c:pt>
                <c:pt idx="2">
                  <c:v>307</c:v>
                </c:pt>
              </c:numCache>
            </c:numRef>
          </c:val>
          <c:extLst>
            <c:ext xmlns:c16="http://schemas.microsoft.com/office/drawing/2014/chart" uri="{C3380CC4-5D6E-409C-BE32-E72D297353CC}">
              <c16:uniqueId val="{00000000-9C76-4B6D-B5EF-C261C8CB1CDF}"/>
            </c:ext>
          </c:extLst>
        </c:ser>
        <c:dLbls>
          <c:dLblPos val="outEnd"/>
          <c:showLegendKey val="0"/>
          <c:showVal val="1"/>
          <c:showCatName val="0"/>
          <c:showSerName val="0"/>
          <c:showPercent val="0"/>
          <c:showBubbleSize val="0"/>
        </c:dLbls>
        <c:gapWidth val="219"/>
        <c:overlap val="-27"/>
        <c:axId val="2129452416"/>
        <c:axId val="2129464896"/>
      </c:barChart>
      <c:catAx>
        <c:axId val="2129452416"/>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129464896"/>
        <c:crosses val="autoZero"/>
        <c:auto val="1"/>
        <c:lblAlgn val="ctr"/>
        <c:lblOffset val="100"/>
        <c:noMultiLvlLbl val="0"/>
      </c:catAx>
      <c:valAx>
        <c:axId val="21294648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1294524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c:name>
    <c:fmtId val="16"/>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US" sz="1400" b="1">
                <a:solidFill>
                  <a:sysClr val="windowText" lastClr="000000"/>
                </a:solidFill>
                <a:latin typeface="Times New Roman" panose="02020603050405020304" pitchFamily="18" charset="0"/>
                <a:cs typeface="Times New Roman" panose="02020603050405020304" pitchFamily="18" charset="0"/>
              </a:rPr>
              <a:t>Total</a:t>
            </a:r>
            <a:r>
              <a:rPr lang="en-US" sz="1400" b="1" baseline="0">
                <a:solidFill>
                  <a:sysClr val="windowText" lastClr="000000"/>
                </a:solidFill>
                <a:latin typeface="Times New Roman" panose="02020603050405020304" pitchFamily="18" charset="0"/>
                <a:cs typeface="Times New Roman" panose="02020603050405020304" pitchFamily="18" charset="0"/>
              </a:rPr>
              <a:t> Revenue by Age Group</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29964442334491376"/>
          <c:y val="1.055454275112162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33038633328728"/>
          <c:y val="0.20945945092012522"/>
          <c:w val="0.68397233321793194"/>
          <c:h val="0.67570562312085547"/>
        </c:manualLayout>
      </c:layout>
      <c:barChart>
        <c:barDir val="bar"/>
        <c:grouping val="clustered"/>
        <c:varyColors val="0"/>
        <c:ser>
          <c:idx val="0"/>
          <c:order val="0"/>
          <c:tx>
            <c:strRef>
              <c:f>'05_PIVOT_TABLES'!$Q$2</c:f>
              <c:strCache>
                <c:ptCount val="1"/>
                <c:pt idx="0">
                  <c:v>Total</c:v>
                </c:pt>
              </c:strCache>
            </c:strRef>
          </c:tx>
          <c:spPr>
            <a:solidFill>
              <a:schemeClr val="accent2">
                <a:lumMod val="75000"/>
              </a:schemeClr>
            </a:solidFill>
            <a:ln>
              <a:solidFill>
                <a:schemeClr val="accent2">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'05_PIVOT_TABLES'!$P$3:$P$8</c:f>
              <c:strCache>
                <c:ptCount val="5"/>
                <c:pt idx="0">
                  <c:v>Teenagers</c:v>
                </c:pt>
                <c:pt idx="1">
                  <c:v>Elderly</c:v>
                </c:pt>
                <c:pt idx="2">
                  <c:v>Seniors</c:v>
                </c:pt>
                <c:pt idx="3">
                  <c:v>Adults</c:v>
                </c:pt>
                <c:pt idx="4">
                  <c:v>Young Adults</c:v>
                </c:pt>
              </c:strCache>
            </c:strRef>
          </c:cat>
          <c:val>
            <c:numRef>
              <c:f>'05_PIVOT_TABLES'!$Q$3:$Q$8</c:f>
              <c:numCache>
                <c:formatCode>_("$"* #,##0_);_("$"* \(#,##0\);_("$"* "-"??_);_(@_)</c:formatCode>
                <c:ptCount val="5"/>
                <c:pt idx="0">
                  <c:v>11215</c:v>
                </c:pt>
                <c:pt idx="1">
                  <c:v>80410</c:v>
                </c:pt>
                <c:pt idx="2">
                  <c:v>100690</c:v>
                </c:pt>
                <c:pt idx="3">
                  <c:v>103160</c:v>
                </c:pt>
                <c:pt idx="4">
                  <c:v>160525</c:v>
                </c:pt>
              </c:numCache>
            </c:numRef>
          </c:val>
          <c:extLst>
            <c:ext xmlns:c16="http://schemas.microsoft.com/office/drawing/2014/chart" uri="{C3380CC4-5D6E-409C-BE32-E72D297353CC}">
              <c16:uniqueId val="{00000000-F3E2-47D6-8D7C-262CB3CF1009}"/>
            </c:ext>
          </c:extLst>
        </c:ser>
        <c:dLbls>
          <c:dLblPos val="outEnd"/>
          <c:showLegendKey val="0"/>
          <c:showVal val="1"/>
          <c:showCatName val="0"/>
          <c:showSerName val="0"/>
          <c:showPercent val="0"/>
          <c:showBubbleSize val="0"/>
        </c:dLbls>
        <c:gapWidth val="182"/>
        <c:axId val="208771824"/>
        <c:axId val="208766544"/>
      </c:barChart>
      <c:catAx>
        <c:axId val="2087718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6544"/>
        <c:crosses val="autoZero"/>
        <c:auto val="1"/>
        <c:lblAlgn val="ctr"/>
        <c:lblOffset val="100"/>
        <c:noMultiLvlLbl val="0"/>
      </c:catAx>
      <c:valAx>
        <c:axId val="208766544"/>
        <c:scaling>
          <c:orientation val="minMax"/>
          <c:max val="190000"/>
          <c:min val="10000"/>
        </c:scaling>
        <c:delete val="0"/>
        <c:axPos val="b"/>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71824"/>
        <c:crosses val="autoZero"/>
        <c:crossBetween val="between"/>
        <c:majorUnit val="6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ysClr val="windowText" lastClr="000000"/>
                </a:solidFill>
                <a:latin typeface="Times New Roman" panose="02020603050405020304" pitchFamily="18" charset="0"/>
                <a:cs typeface="Times New Roman" panose="02020603050405020304" pitchFamily="18" charset="0"/>
              </a:rPr>
              <a:t>Revenue</a:t>
            </a:r>
            <a:r>
              <a:rPr lang="en-US" sz="1400" b="1" baseline="0">
                <a:solidFill>
                  <a:sysClr val="windowText" lastClr="000000"/>
                </a:solidFill>
                <a:latin typeface="Times New Roman" panose="02020603050405020304" pitchFamily="18" charset="0"/>
                <a:cs typeface="Times New Roman" panose="02020603050405020304" pitchFamily="18" charset="0"/>
              </a:rPr>
              <a:t> Peaks in May, October and December</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13955883659494947"/>
          <c:y val="2.883062986212689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6"/>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7"/>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8"/>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9"/>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10"/>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s>
    <c:plotArea>
      <c:layout>
        <c:manualLayout>
          <c:layoutTarget val="inner"/>
          <c:xMode val="edge"/>
          <c:yMode val="edge"/>
          <c:x val="0.1315301309012547"/>
          <c:y val="0.15011290993633605"/>
          <c:w val="0.86846986909874524"/>
          <c:h val="0.64718457830820875"/>
        </c:manualLayout>
      </c:layout>
      <c:lineChart>
        <c:grouping val="standard"/>
        <c:varyColors val="0"/>
        <c:ser>
          <c:idx val="0"/>
          <c:order val="0"/>
          <c:tx>
            <c:strRef>
              <c:f>'05_PIVOT_TABLES'!$I$2</c:f>
              <c:strCache>
                <c:ptCount val="1"/>
                <c:pt idx="0">
                  <c:v>Total</c:v>
                </c:pt>
              </c:strCache>
            </c:strRef>
          </c:tx>
          <c:spPr>
            <a:ln w="28575" cap="rnd">
              <a:solidFill>
                <a:schemeClr val="accent2">
                  <a:lumMod val="75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Pt>
            <c:idx val="0"/>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0-7E09-4C1C-8C68-499BDD4AF4FE}"/>
              </c:ext>
            </c:extLst>
          </c:dPt>
          <c:dPt>
            <c:idx val="2"/>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1-7E09-4C1C-8C68-499BDD4AF4FE}"/>
              </c:ext>
            </c:extLst>
          </c:dPt>
          <c:dPt>
            <c:idx val="4"/>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2-7E09-4C1C-8C68-499BDD4AF4FE}"/>
              </c:ext>
            </c:extLst>
          </c:dPt>
          <c:dPt>
            <c:idx val="6"/>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3-7E09-4C1C-8C68-499BDD4AF4FE}"/>
              </c:ext>
            </c:extLst>
          </c:dPt>
          <c:dPt>
            <c:idx val="8"/>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4-7E09-4C1C-8C68-499BDD4AF4FE}"/>
              </c:ext>
            </c:extLst>
          </c:dPt>
          <c:dPt>
            <c:idx val="10"/>
            <c:marker>
              <c:symbol val="circle"/>
              <c:size val="5"/>
              <c:spPr>
                <a:solidFill>
                  <a:schemeClr val="accent2">
                    <a:lumMod val="75000"/>
                  </a:schemeClr>
                </a:solidFill>
                <a:ln w="9525">
                  <a:solidFill>
                    <a:schemeClr val="accent2">
                      <a:lumMod val="75000"/>
                    </a:schemeClr>
                  </a:solidFill>
                </a:ln>
                <a:effectLst/>
              </c:spPr>
            </c:marker>
            <c:bubble3D val="0"/>
            <c:spPr>
              <a:ln w="28575" cap="rnd">
                <a:solidFill>
                  <a:schemeClr val="accent2">
                    <a:lumMod val="75000"/>
                  </a:schemeClr>
                </a:solidFill>
                <a:round/>
              </a:ln>
              <a:effectLst/>
            </c:spPr>
            <c:extLst>
              <c:ext xmlns:c16="http://schemas.microsoft.com/office/drawing/2014/chart" uri="{C3380CC4-5D6E-409C-BE32-E72D297353CC}">
                <c16:uniqueId val="{00000005-7E09-4C1C-8C68-499BDD4AF4FE}"/>
              </c:ext>
            </c:extLst>
          </c:dPt>
          <c:cat>
            <c:strRef>
              <c:f>'05_PIVOT_TABLES'!$H$3:$H$15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'05_PIVOT_TABLES'!$I$3:$I$15</c:f>
              <c:numCache>
                <c:formatCode>_("$"* #,##0_);_("$"* \(#,##0\);_("$"* "-"??_);_(@_)</c:formatCode>
                <c:ptCount val="12"/>
                <c:pt idx="0">
                  <c:v>38650</c:v>
                </c:pt>
                <c:pt idx="1">
                  <c:v>41020</c:v>
                </c:pt>
                <c:pt idx="2">
                  <c:v>31530</c:v>
                </c:pt>
                <c:pt idx="3">
                  <c:v>33170</c:v>
                </c:pt>
                <c:pt idx="4">
                  <c:v>52710</c:v>
                </c:pt>
                <c:pt idx="5">
                  <c:v>38155</c:v>
                </c:pt>
                <c:pt idx="6">
                  <c:v>34085</c:v>
                </c:pt>
                <c:pt idx="7">
                  <c:v>36870</c:v>
                </c:pt>
                <c:pt idx="8">
                  <c:v>23620</c:v>
                </c:pt>
                <c:pt idx="9">
                  <c:v>46580</c:v>
                </c:pt>
                <c:pt idx="10">
                  <c:v>34920</c:v>
                </c:pt>
                <c:pt idx="11">
                  <c:v>44690</c:v>
                </c:pt>
              </c:numCache>
            </c:numRef>
          </c:val>
          <c:smooth val="0"/>
          <c:extLst>
            <c:ext xmlns:c16="http://schemas.microsoft.com/office/drawing/2014/chart" uri="{C3380CC4-5D6E-409C-BE32-E72D297353CC}">
              <c16:uniqueId val="{00000000-036D-4B16-8F1A-532BC2DA7B39}"/>
            </c:ext>
          </c:extLst>
        </c:ser>
        <c:dLbls>
          <c:showLegendKey val="0"/>
          <c:showVal val="0"/>
          <c:showCatName val="0"/>
          <c:showSerName val="0"/>
          <c:showPercent val="0"/>
          <c:showBubbleSize val="0"/>
        </c:dLbls>
        <c:marker val="1"/>
        <c:smooth val="0"/>
        <c:axId val="608544944"/>
        <c:axId val="608558384"/>
      </c:lineChart>
      <c:catAx>
        <c:axId val="608544944"/>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8558384"/>
        <c:crosses val="autoZero"/>
        <c:auto val="1"/>
        <c:lblAlgn val="ctr"/>
        <c:lblOffset val="100"/>
        <c:noMultiLvlLbl val="0"/>
      </c:catAx>
      <c:valAx>
        <c:axId val="608558384"/>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8544944"/>
        <c:crosses val="autoZero"/>
        <c:crossBetween val="between"/>
        <c:majorUnit val="15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Total</a:t>
            </a:r>
            <a:r>
              <a:rPr lang="en-US" sz="1400" b="1" baseline="0">
                <a:solidFill>
                  <a:schemeClr val="tx1"/>
                </a:solidFill>
                <a:latin typeface="Times New Roman" panose="02020603050405020304" pitchFamily="18" charset="0"/>
                <a:cs typeface="Times New Roman" panose="02020603050405020304" pitchFamily="18" charset="0"/>
              </a:rPr>
              <a:t> </a:t>
            </a:r>
            <a:r>
              <a:rPr lang="en-US" sz="1400" b="1">
                <a:solidFill>
                  <a:schemeClr val="tx1"/>
                </a:solidFill>
                <a:latin typeface="Times New Roman" panose="02020603050405020304" pitchFamily="18" charset="0"/>
                <a:cs typeface="Times New Roman" panose="02020603050405020304" pitchFamily="18" charset="0"/>
              </a:rPr>
              <a:t>Revenue</a:t>
            </a:r>
            <a:r>
              <a:rPr lang="en-US" sz="1400" b="1" baseline="0">
                <a:solidFill>
                  <a:schemeClr val="tx1"/>
                </a:solidFill>
                <a:latin typeface="Times New Roman" panose="02020603050405020304" pitchFamily="18" charset="0"/>
                <a:cs typeface="Times New Roman" panose="02020603050405020304" pitchFamily="18" charset="0"/>
              </a:rPr>
              <a:t> by Gender</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75000"/>
              </a:schemeClr>
            </a:solidFill>
          </a:ln>
          <a:effectLst/>
        </c:spPr>
      </c:pivotFmt>
      <c:pivotFmt>
        <c:idx val="4"/>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a:solidFill>
              <a:schemeClr val="accent2">
                <a:lumMod val="75000"/>
              </a:schemeClr>
            </a:solidFill>
          </a:ln>
          <a:effectLst/>
        </c:spPr>
      </c:pivotFmt>
      <c:pivotFmt>
        <c:idx val="6"/>
        <c:spPr>
          <a:solidFill>
            <a:schemeClr val="bg2">
              <a:lumMod val="50000"/>
            </a:schemeClr>
          </a:solidFill>
          <a:ln>
            <a:solidFill>
              <a:schemeClr val="bg2">
                <a:lumMod val="50000"/>
              </a:schemeClr>
            </a:solidFill>
          </a:ln>
          <a:effectLst/>
        </c:spPr>
      </c:pivotFmt>
      <c:pivotFmt>
        <c:idx val="7"/>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solidFill>
              <a:schemeClr val="bg2">
                <a:lumMod val="50000"/>
              </a:schemeClr>
            </a:solidFill>
          </a:ln>
          <a:effectLst/>
        </c:spPr>
      </c:pivotFmt>
      <c:pivotFmt>
        <c:idx val="9"/>
        <c:spPr>
          <a:solidFill>
            <a:schemeClr val="accent2">
              <a:lumMod val="75000"/>
            </a:schemeClr>
          </a:solidFill>
          <a:ln>
            <a:solidFill>
              <a:schemeClr val="accent2">
                <a:lumMod val="75000"/>
              </a:schemeClr>
            </a:solidFill>
          </a:ln>
          <a:effectLst/>
        </c:spPr>
      </c:pivotFmt>
      <c:pivotFmt>
        <c:idx val="10"/>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75000"/>
            </a:schemeClr>
          </a:solidFill>
          <a:ln>
            <a:solidFill>
              <a:schemeClr val="bg2">
                <a:lumMod val="75000"/>
              </a:schemeClr>
            </a:solidFill>
          </a:ln>
          <a:effectLst/>
        </c:spPr>
      </c:pivotFmt>
      <c:pivotFmt>
        <c:idx val="12"/>
        <c:spPr>
          <a:solidFill>
            <a:schemeClr val="accent2">
              <a:lumMod val="75000"/>
            </a:schemeClr>
          </a:solidFill>
          <a:ln>
            <a:solidFill>
              <a:schemeClr val="accent2">
                <a:lumMod val="75000"/>
              </a:schemeClr>
            </a:solidFill>
          </a:ln>
          <a:effectLst/>
        </c:spPr>
      </c:pivotFmt>
    </c:pivotFmts>
    <c:plotArea>
      <c:layout/>
      <c:barChart>
        <c:barDir val="col"/>
        <c:grouping val="clustered"/>
        <c:varyColors val="0"/>
        <c:ser>
          <c:idx val="0"/>
          <c:order val="0"/>
          <c:tx>
            <c:strRef>
              <c:f>'05_PIVOT_TABLES'!$U$2</c:f>
              <c:strCache>
                <c:ptCount val="1"/>
                <c:pt idx="0">
                  <c:v>Total</c:v>
                </c:pt>
              </c:strCache>
            </c:strRef>
          </c:tx>
          <c:spPr>
            <a:solidFill>
              <a:schemeClr val="bg2">
                <a:lumMod val="75000"/>
              </a:schemeClr>
            </a:solidFill>
            <a:ln>
              <a:solidFill>
                <a:schemeClr val="bg2">
                  <a:lumMod val="75000"/>
                </a:schemeClr>
              </a:solid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431E-46E0-87AC-C596589A37BB}"/>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431E-46E0-87AC-C596589A37B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'05_PIVOT_TABLES'!$T$3:$T$5</c:f>
              <c:strCache>
                <c:ptCount val="2"/>
                <c:pt idx="0">
                  <c:v>Female</c:v>
                </c:pt>
                <c:pt idx="1">
                  <c:v>Male</c:v>
                </c:pt>
              </c:strCache>
            </c:strRef>
          </c:cat>
          <c:val>
            <c:numRef>
              <c:f>'05_PIVOT_TABLES'!$U$3:$U$5</c:f>
              <c:numCache>
                <c:formatCode>_("$"* #,##0_);_("$"* \(#,##0\);_("$"* "-"??_);_(@_)</c:formatCode>
                <c:ptCount val="2"/>
                <c:pt idx="0">
                  <c:v>232840</c:v>
                </c:pt>
                <c:pt idx="1">
                  <c:v>223160</c:v>
                </c:pt>
              </c:numCache>
            </c:numRef>
          </c:val>
          <c:extLst>
            <c:ext xmlns:c16="http://schemas.microsoft.com/office/drawing/2014/chart" uri="{C3380CC4-5D6E-409C-BE32-E72D297353CC}">
              <c16:uniqueId val="{00000004-431E-46E0-87AC-C596589A37BB}"/>
            </c:ext>
          </c:extLst>
        </c:ser>
        <c:dLbls>
          <c:dLblPos val="outEnd"/>
          <c:showLegendKey val="0"/>
          <c:showVal val="1"/>
          <c:showCatName val="0"/>
          <c:showSerName val="0"/>
          <c:showPercent val="0"/>
          <c:showBubbleSize val="0"/>
        </c:dLbls>
        <c:gapWidth val="219"/>
        <c:overlap val="-27"/>
        <c:axId val="747050207"/>
        <c:axId val="747072767"/>
      </c:barChart>
      <c:catAx>
        <c:axId val="74705020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72767"/>
        <c:crosses val="autoZero"/>
        <c:auto val="1"/>
        <c:lblAlgn val="ctr"/>
        <c:lblOffset val="100"/>
        <c:noMultiLvlLbl val="0"/>
      </c:catAx>
      <c:valAx>
        <c:axId val="747072767"/>
        <c:scaling>
          <c:orientation val="minMax"/>
          <c:min val="220000"/>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47050207"/>
        <c:crosses val="autoZero"/>
        <c:crossBetween val="between"/>
        <c:majorUnit val="4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[Retail_Sales_Analysis_Excel_Project.xlsx]05_PIVOT_TABLES!PivotTable9</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solidFill>
                  <a:schemeClr val="tx1"/>
                </a:solidFill>
                <a:latin typeface="Times New Roman" panose="02020603050405020304" pitchFamily="18" charset="0"/>
                <a:cs typeface="Times New Roman" panose="02020603050405020304" pitchFamily="18" charset="0"/>
              </a:rPr>
              <a:t>Revenue Contribution</a:t>
            </a:r>
            <a:r>
              <a:rPr lang="en-US" sz="1300" b="1" baseline="0">
                <a:solidFill>
                  <a:schemeClr val="tx1"/>
                </a:solidFill>
                <a:latin typeface="Times New Roman" panose="02020603050405020304" pitchFamily="18" charset="0"/>
                <a:cs typeface="Times New Roman" panose="02020603050405020304" pitchFamily="18" charset="0"/>
              </a:rPr>
              <a:t> by Production Category</a:t>
            </a:r>
            <a:endParaRPr lang="en-US" sz="13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17892975837887967"/>
          <c:y val="1.30528646155854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solidFill>
              <a:schemeClr val="accent2">
                <a:lumMod val="60000"/>
                <a:lumOff val="40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2">
              <a:lumMod val="75000"/>
            </a:schemeClr>
          </a:solidFill>
          <a:ln>
            <a:solidFill>
              <a:schemeClr val="accent2">
                <a:lumMod val="75000"/>
              </a:schemeClr>
            </a:solid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solidFill>
              <a:schemeClr val="accent2">
                <a:lumMod val="60000"/>
                <a:lumOff val="40000"/>
              </a:schemeClr>
            </a:solidFill>
          </a:ln>
          <a:effectLst/>
        </c:spPr>
      </c:pivotFmt>
      <c:pivotFmt>
        <c:idx val="6"/>
        <c:spPr>
          <a:solidFill>
            <a:schemeClr val="bg2">
              <a:lumMod val="75000"/>
            </a:schemeClr>
          </a:solidFill>
          <a:ln>
            <a:solidFill>
              <a:schemeClr val="bg2">
                <a:lumMod val="75000"/>
              </a:schemeClr>
            </a:solidFill>
          </a:ln>
          <a:effectLst/>
        </c:spPr>
      </c:pivotFmt>
      <c:pivotFmt>
        <c:idx val="7"/>
        <c:spPr>
          <a:solidFill>
            <a:schemeClr val="accent2">
              <a:lumMod val="75000"/>
            </a:schemeClr>
          </a:solidFill>
          <a:ln>
            <a:solidFill>
              <a:schemeClr val="accent2">
                <a:lumMod val="75000"/>
              </a:schemeClr>
            </a:solid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pivotFmt>
      <c:pivotFmt>
        <c:idx val="10"/>
        <c:spPr>
          <a:solidFill>
            <a:schemeClr val="bg2">
              <a:lumMod val="50000"/>
            </a:schemeClr>
          </a:solidFill>
          <a:ln>
            <a:solidFill>
              <a:schemeClr val="bg2">
                <a:lumMod val="50000"/>
              </a:schemeClr>
            </a:solidFill>
          </a:ln>
          <a:effectLst/>
        </c:spPr>
      </c:pivotFmt>
      <c:pivotFmt>
        <c:idx val="11"/>
        <c:spPr>
          <a:solidFill>
            <a:schemeClr val="accent2">
              <a:lumMod val="75000"/>
            </a:schemeClr>
          </a:solidFill>
          <a:ln>
            <a:solidFill>
              <a:schemeClr val="accent2">
                <a:lumMod val="75000"/>
              </a:schemeClr>
            </a:solid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lumMod val="60000"/>
              <a:lumOff val="40000"/>
            </a:schemeClr>
          </a:solidFill>
          <a:ln>
            <a:solidFill>
              <a:schemeClr val="accent2">
                <a:lumMod val="60000"/>
                <a:lumOff val="40000"/>
              </a:schemeClr>
            </a:solidFill>
          </a:ln>
          <a:effectLst/>
        </c:spPr>
      </c:pivotFmt>
      <c:pivotFmt>
        <c:idx val="14"/>
        <c:spPr>
          <a:solidFill>
            <a:schemeClr val="bg2">
              <a:lumMod val="50000"/>
            </a:schemeClr>
          </a:solidFill>
          <a:ln>
            <a:solidFill>
              <a:schemeClr val="bg2">
                <a:lumMod val="50000"/>
              </a:schemeClr>
            </a:solidFill>
          </a:ln>
          <a:effectLst/>
        </c:spPr>
      </c:pivotFmt>
      <c:pivotFmt>
        <c:idx val="15"/>
        <c:spPr>
          <a:solidFill>
            <a:schemeClr val="accent2">
              <a:lumMod val="75000"/>
            </a:schemeClr>
          </a:solidFill>
          <a:ln>
            <a:solidFill>
              <a:schemeClr val="accent2">
                <a:lumMod val="75000"/>
              </a:schemeClr>
            </a:solidFill>
          </a:ln>
          <a:effectLst/>
        </c:spPr>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lumMod val="60000"/>
              <a:lumOff val="40000"/>
            </a:schemeClr>
          </a:solidFill>
          <a:ln>
            <a:solidFill>
              <a:schemeClr val="accent2">
                <a:lumMod val="60000"/>
                <a:lumOff val="40000"/>
              </a:schemeClr>
            </a:solidFill>
          </a:ln>
          <a:effectLst/>
        </c:spPr>
      </c:pivotFmt>
      <c:pivotFmt>
        <c:idx val="18"/>
        <c:spPr>
          <a:solidFill>
            <a:schemeClr val="bg2">
              <a:lumMod val="75000"/>
            </a:schemeClr>
          </a:solidFill>
          <a:ln>
            <a:solidFill>
              <a:schemeClr val="bg2">
                <a:lumMod val="75000"/>
              </a:schemeClr>
            </a:solidFill>
          </a:ln>
          <a:effectLst/>
        </c:spPr>
      </c:pivotFmt>
      <c:pivotFmt>
        <c:idx val="19"/>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21342557615420038"/>
          <c:y val="0.26875283460688404"/>
          <c:w val="0.78250186952690393"/>
          <c:h val="0.62158261334960518"/>
        </c:manualLayout>
      </c:layout>
      <c:barChart>
        <c:barDir val="col"/>
        <c:grouping val="clustered"/>
        <c:varyColors val="0"/>
        <c:ser>
          <c:idx val="0"/>
          <c:order val="0"/>
          <c:tx>
            <c:strRef>
              <c:f>'05_PIVOT_TABLES'!$M$2</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6971-4844-9888-43754909D12B}"/>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6971-4844-9888-43754909D12B}"/>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6971-4844-9888-43754909D1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'05_PIVOT_TABLES'!$L$3:$L$6</c:f>
              <c:strCache>
                <c:ptCount val="3"/>
                <c:pt idx="0">
                  <c:v>Beauty</c:v>
                </c:pt>
                <c:pt idx="1">
                  <c:v>Clothing</c:v>
                </c:pt>
                <c:pt idx="2">
                  <c:v>Electronics</c:v>
                </c:pt>
              </c:strCache>
            </c:strRef>
          </c:cat>
          <c:val>
            <c:numRef>
              <c:f>'05_PIVOT_TABLES'!$M$3:$M$6</c:f>
              <c:numCache>
                <c:formatCode>_("$"* #,##0_);_("$"* \(#,##0\);_("$"* "-"??_);_(@_)</c:formatCode>
                <c:ptCount val="3"/>
                <c:pt idx="0">
                  <c:v>143515</c:v>
                </c:pt>
                <c:pt idx="1">
                  <c:v>155580</c:v>
                </c:pt>
                <c:pt idx="2">
                  <c:v>156905</c:v>
                </c:pt>
              </c:numCache>
            </c:numRef>
          </c:val>
          <c:extLst>
            <c:ext xmlns:c16="http://schemas.microsoft.com/office/drawing/2014/chart" uri="{C3380CC4-5D6E-409C-BE32-E72D297353CC}">
              <c16:uniqueId val="{00000006-6971-4844-9888-43754909D12B}"/>
            </c:ext>
          </c:extLst>
        </c:ser>
        <c:dLbls>
          <c:showLegendKey val="0"/>
          <c:showVal val="0"/>
          <c:showCatName val="0"/>
          <c:showSerName val="0"/>
          <c:showPercent val="0"/>
          <c:showBubbleSize val="0"/>
        </c:dLbls>
        <c:gapWidth val="219"/>
        <c:overlap val="-27"/>
        <c:axId val="754199311"/>
        <c:axId val="754199791"/>
      </c:barChart>
      <c:catAx>
        <c:axId val="754199311"/>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791"/>
        <c:crosses val="autoZero"/>
        <c:auto val="1"/>
        <c:lblAlgn val="ctr"/>
        <c:lblOffset val="100"/>
        <c:noMultiLvlLbl val="0"/>
      </c:catAx>
      <c:valAx>
        <c:axId val="754199791"/>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7541993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[Retail_Sales_Analysis_Excel_Project.xlsx]05_PIVOT_TABLES!PivotTable16</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Transaction</a:t>
            </a:r>
            <a:r>
              <a:rPr lang="en-US" sz="1400" b="1" baseline="0">
                <a:solidFill>
                  <a:schemeClr val="tx1"/>
                </a:solidFill>
                <a:latin typeface="Times New Roman" panose="02020603050405020304" pitchFamily="18" charset="0"/>
                <a:cs typeface="Times New Roman" panose="02020603050405020304" pitchFamily="18" charset="0"/>
              </a:rPr>
              <a:t> Volume by Gender</a:t>
            </a:r>
            <a:endParaRPr lang="en-US" sz="14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21039305312637374"/>
          <c:y val="6.198064994343229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pivotFmt>
      <c:pivotFmt>
        <c:idx val="2"/>
        <c:spPr>
          <a:solidFill>
            <a:schemeClr val="bg2">
              <a:lumMod val="75000"/>
            </a:schemeClr>
          </a:solidFill>
          <a:ln>
            <a:solidFill>
              <a:schemeClr val="bg2">
                <a:lumMod val="75000"/>
              </a:schemeClr>
            </a:solid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solidFill>
              <a:schemeClr val="bg2">
                <a:lumMod val="75000"/>
              </a:schemeClr>
            </a:solidFill>
          </a:ln>
          <a:effectLst/>
        </c:spPr>
      </c:pivotFmt>
      <c:pivotFmt>
        <c:idx val="5"/>
        <c:spPr>
          <a:solidFill>
            <a:schemeClr val="accent2">
              <a:lumMod val="75000"/>
            </a:schemeClr>
          </a:solidFill>
          <a:ln>
            <a:solidFill>
              <a:schemeClr val="accent2">
                <a:lumMod val="75000"/>
              </a:schemeClr>
            </a:solid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50000"/>
            </a:schemeClr>
          </a:solidFill>
          <a:ln>
            <a:solidFill>
              <a:schemeClr val="bg2">
                <a:lumMod val="50000"/>
              </a:schemeClr>
            </a:solidFill>
          </a:ln>
          <a:effectLst/>
        </c:spPr>
      </c:pivotFmt>
      <c:pivotFmt>
        <c:idx val="8"/>
        <c:spPr>
          <a:solidFill>
            <a:schemeClr val="accent2">
              <a:lumMod val="75000"/>
            </a:schemeClr>
          </a:solidFill>
          <a:ln>
            <a:solidFill>
              <a:schemeClr val="accent2">
                <a:lumMod val="75000"/>
              </a:schemeClr>
            </a:solid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2">
              <a:lumMod val="50000"/>
            </a:schemeClr>
          </a:solidFill>
          <a:ln>
            <a:solidFill>
              <a:schemeClr val="bg2">
                <a:lumMod val="50000"/>
              </a:schemeClr>
            </a:solidFill>
          </a:ln>
          <a:effectLst/>
        </c:spPr>
      </c:pivotFmt>
      <c:pivotFmt>
        <c:idx val="11"/>
        <c:spPr>
          <a:solidFill>
            <a:schemeClr val="accent2">
              <a:lumMod val="75000"/>
            </a:schemeClr>
          </a:solidFill>
          <a:ln>
            <a:solidFill>
              <a:schemeClr val="accent2">
                <a:lumMod val="75000"/>
              </a:schemeClr>
            </a:solid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75000"/>
            </a:schemeClr>
          </a:solidFill>
          <a:ln>
            <a:solidFill>
              <a:schemeClr val="bg2">
                <a:lumMod val="75000"/>
              </a:schemeClr>
            </a:solidFill>
          </a:ln>
          <a:effectLst/>
        </c:spPr>
      </c:pivotFmt>
      <c:pivotFmt>
        <c:idx val="14"/>
        <c:spPr>
          <a:solidFill>
            <a:schemeClr val="accent2">
              <a:lumMod val="75000"/>
            </a:schemeClr>
          </a:solidFill>
          <a:ln>
            <a:solidFill>
              <a:schemeClr val="accent2">
                <a:lumMod val="75000"/>
              </a:schemeClr>
            </a:solidFill>
          </a:ln>
          <a:effectLst/>
        </c:spPr>
      </c:pivotFmt>
    </c:pivotFmts>
    <c:plotArea>
      <c:layout>
        <c:manualLayout>
          <c:layoutTarget val="inner"/>
          <c:xMode val="edge"/>
          <c:yMode val="edge"/>
          <c:x val="0.18226971900154879"/>
          <c:y val="0.20527141806575994"/>
          <c:w val="0.75737255172388085"/>
          <c:h val="0.64040667165874965"/>
        </c:manualLayout>
      </c:layout>
      <c:barChart>
        <c:barDir val="bar"/>
        <c:grouping val="clustered"/>
        <c:varyColors val="0"/>
        <c:ser>
          <c:idx val="0"/>
          <c:order val="0"/>
          <c:tx>
            <c:strRef>
              <c:f>'05_PIVOT_TABLES'!$AC$2</c:f>
              <c:strCache>
                <c:ptCount val="1"/>
                <c:pt idx="0">
                  <c:v>Total</c:v>
                </c:pt>
              </c:strCache>
            </c:strRef>
          </c:tx>
          <c:spPr>
            <a:solidFill>
              <a:schemeClr val="accent1"/>
            </a:solidFill>
            <a:ln>
              <a:noFill/>
            </a:ln>
            <a:effectLst/>
          </c:spPr>
          <c:invertIfNegative val="0"/>
          <c:dPt>
            <c:idx val="0"/>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1-5350-4596-9E1B-0777504FC421}"/>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5350-4596-9E1B-0777504FC42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'05_PIVOT_TABLES'!$AB$3:$AB$5</c:f>
              <c:strCache>
                <c:ptCount val="2"/>
                <c:pt idx="0">
                  <c:v>Female</c:v>
                </c:pt>
                <c:pt idx="1">
                  <c:v>Male</c:v>
                </c:pt>
              </c:strCache>
            </c:strRef>
          </c:cat>
          <c:val>
            <c:numRef>
              <c:f>'05_PIVOT_TABLES'!$AC$3:$AC$5</c:f>
              <c:numCache>
                <c:formatCode>0</c:formatCode>
                <c:ptCount val="2"/>
                <c:pt idx="0">
                  <c:v>510</c:v>
                </c:pt>
                <c:pt idx="1">
                  <c:v>490</c:v>
                </c:pt>
              </c:numCache>
            </c:numRef>
          </c:val>
          <c:extLst>
            <c:ext xmlns:c16="http://schemas.microsoft.com/office/drawing/2014/chart" uri="{C3380CC4-5D6E-409C-BE32-E72D297353CC}">
              <c16:uniqueId val="{00000004-5350-4596-9E1B-0777504FC421}"/>
            </c:ext>
          </c:extLst>
        </c:ser>
        <c:dLbls>
          <c:dLblPos val="outEnd"/>
          <c:showLegendKey val="0"/>
          <c:showVal val="1"/>
          <c:showCatName val="0"/>
          <c:showSerName val="0"/>
          <c:showPercent val="0"/>
          <c:showBubbleSize val="0"/>
        </c:dLbls>
        <c:gapWidth val="182"/>
        <c:axId val="1936404624"/>
        <c:axId val="1936392144"/>
      </c:barChart>
      <c:catAx>
        <c:axId val="193640462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392144"/>
        <c:crosses val="autoZero"/>
        <c:auto val="1"/>
        <c:lblAlgn val="ctr"/>
        <c:lblOffset val="100"/>
        <c:noMultiLvlLbl val="0"/>
      </c:catAx>
      <c:valAx>
        <c:axId val="1936392144"/>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3640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[Retail_Sales_Analysis_Excel_Project.xlsx]05_PIVOT_TABLES!PivotTable25</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Transaction</a:t>
            </a:r>
            <a:r>
              <a:rPr lang="en-US" sz="1400" b="1" baseline="0">
                <a:solidFill>
                  <a:schemeClr val="tx1"/>
                </a:solidFill>
                <a:latin typeface="Times New Roman" panose="02020603050405020304" pitchFamily="18" charset="0"/>
                <a:cs typeface="Times New Roman" panose="02020603050405020304" pitchFamily="18" charset="0"/>
              </a:rPr>
              <a:t> Volume by Age Group</a:t>
            </a:r>
            <a:endParaRPr lang="en-US" sz="14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1574993805583923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16233543792605"/>
          <c:y val="0.16260124334928625"/>
          <c:w val="0.72694873865861287"/>
          <c:h val="0.71423958760868012"/>
        </c:manualLayout>
      </c:layout>
      <c:barChart>
        <c:barDir val="bar"/>
        <c:grouping val="clustered"/>
        <c:varyColors val="0"/>
        <c:ser>
          <c:idx val="0"/>
          <c:order val="0"/>
          <c:tx>
            <c:strRef>
              <c:f>'05_PIVOT_TABLES'!$AK$2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'05_PIVOT_TABLES'!$AJ$3:$AJ$8</c:f>
              <c:strCache>
                <c:ptCount val="5"/>
                <c:pt idx="0">
                  <c:v>Teenagers</c:v>
                </c:pt>
                <c:pt idx="1">
                  <c:v>Elderly</c:v>
                </c:pt>
                <c:pt idx="2">
                  <c:v>Adults</c:v>
                </c:pt>
                <c:pt idx="3">
                  <c:v>Seniors</c:v>
                </c:pt>
                <c:pt idx="4">
                  <c:v>Young Adults</c:v>
                </c:pt>
              </c:strCache>
            </c:strRef>
          </c:cat>
          <c:val>
            <c:numRef>
              <c:f>'05_PIVOT_TABLES'!$AK$3:$AK$8</c:f>
              <c:numCache>
                <c:formatCode>0</c:formatCode>
                <c:ptCount val="5"/>
                <c:pt idx="0">
                  <c:v>21</c:v>
                </c:pt>
                <c:pt idx="1">
                  <c:v>195</c:v>
                </c:pt>
                <c:pt idx="2">
                  <c:v>224</c:v>
                </c:pt>
                <c:pt idx="3">
                  <c:v>229</c:v>
                </c:pt>
                <c:pt idx="4">
                  <c:v>331</c:v>
                </c:pt>
              </c:numCache>
            </c:numRef>
          </c:val>
          <c:extLst>
            <c:ext xmlns:c16="http://schemas.microsoft.com/office/drawing/2014/chart" uri="{C3380CC4-5D6E-409C-BE32-E72D297353CC}">
              <c16:uniqueId val="{00000000-5B8D-426B-B1A4-3F8F12F4DA87}"/>
            </c:ext>
          </c:extLst>
        </c:ser>
        <c:dLbls>
          <c:dLblPos val="outEnd"/>
          <c:showLegendKey val="0"/>
          <c:showVal val="1"/>
          <c:showCatName val="0"/>
          <c:showSerName val="0"/>
          <c:showPercent val="0"/>
          <c:showBubbleSize val="0"/>
        </c:dLbls>
        <c:gapWidth val="182"/>
        <c:axId val="1432208512"/>
        <c:axId val="1432191232"/>
      </c:barChart>
      <c:catAx>
        <c:axId val="1432208512"/>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191232"/>
        <c:crosses val="autoZero"/>
        <c:auto val="1"/>
        <c:lblAlgn val="ctr"/>
        <c:lblOffset val="100"/>
        <c:noMultiLvlLbl val="0"/>
      </c:catAx>
      <c:valAx>
        <c:axId val="143219123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32208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ysClr val="windowText" lastClr="000000"/>
                </a:solidFill>
                <a:latin typeface="Times New Roman" panose="02020603050405020304" pitchFamily="18" charset="0"/>
                <a:cs typeface="Times New Roman" panose="02020603050405020304" pitchFamily="18" charset="0"/>
              </a:rPr>
              <a:t>Product</a:t>
            </a:r>
            <a:r>
              <a:rPr lang="en-US" sz="1400" b="1" baseline="0">
                <a:solidFill>
                  <a:sysClr val="windowText" lastClr="000000"/>
                </a:solidFill>
                <a:latin typeface="Times New Roman" panose="02020603050405020304" pitchFamily="18" charset="0"/>
                <a:cs typeface="Times New Roman" panose="02020603050405020304" pitchFamily="18" charset="0"/>
              </a:rPr>
              <a:t> Category Preference by Gender</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1677176041596326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lumMod val="50000"/>
            </a:schemeClr>
          </a:solidFill>
          <a:ln>
            <a:solidFill>
              <a:schemeClr val="bg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bg2">
              <a:lumMod val="50000"/>
            </a:schemeClr>
          </a:solidFill>
          <a:ln>
            <a:solidFill>
              <a:schemeClr val="bg2">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solidFill>
              <a:schemeClr val="accent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bg2">
              <a:lumMod val="75000"/>
            </a:schemeClr>
          </a:solidFill>
          <a:ln>
            <a:solidFill>
              <a:schemeClr val="bg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677137128106856"/>
          <c:y val="0.11956738319336778"/>
          <c:w val="0.75673756949602711"/>
          <c:h val="0.76940717748035559"/>
        </c:manualLayout>
      </c:layout>
      <c:barChart>
        <c:barDir val="col"/>
        <c:grouping val="clustered"/>
        <c:varyColors val="0"/>
        <c:ser>
          <c:idx val="0"/>
          <c:order val="0"/>
          <c:tx>
            <c:strRef>
              <c:f>'05_PIVOT_TABLES'!$AW$2:$AW$3</c:f>
              <c:strCache>
                <c:ptCount val="1"/>
                <c:pt idx="0">
                  <c:v>Beauty</c:v>
                </c:pt>
              </c:strCache>
            </c:strRef>
          </c:tx>
          <c:spPr>
            <a:solidFill>
              <a:schemeClr val="accent2">
                <a:lumMod val="60000"/>
                <a:lumOff val="40000"/>
              </a:schemeClr>
            </a:solidFill>
            <a:ln>
              <a:solidFill>
                <a:schemeClr val="accent2">
                  <a:lumMod val="60000"/>
                  <a:lumOff val="4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'05_PIVOT_TABLES'!$AW$4:$AW$6</c:f>
              <c:numCache>
                <c:formatCode>0</c:formatCode>
                <c:ptCount val="2"/>
                <c:pt idx="0">
                  <c:v>418</c:v>
                </c:pt>
                <c:pt idx="1">
                  <c:v>353</c:v>
                </c:pt>
              </c:numCache>
            </c:numRef>
          </c:val>
          <c:extLst>
            <c:ext xmlns:c16="http://schemas.microsoft.com/office/drawing/2014/chart" uri="{C3380CC4-5D6E-409C-BE32-E72D297353CC}">
              <c16:uniqueId val="{00000000-9933-4438-A767-08717E3E4364}"/>
            </c:ext>
          </c:extLst>
        </c:ser>
        <c:ser>
          <c:idx val="1"/>
          <c:order val="1"/>
          <c:tx>
            <c:strRef>
              <c:f>'05_PIVOT_TABLES'!$AX$2:$AX$3</c:f>
              <c:strCache>
                <c:ptCount val="1"/>
                <c:pt idx="0">
                  <c:v>Clothing</c:v>
                </c:pt>
              </c:strCache>
            </c:strRef>
          </c:tx>
          <c:spPr>
            <a:solidFill>
              <a:schemeClr val="bg2">
                <a:lumMod val="75000"/>
              </a:schemeClr>
            </a:solidFill>
            <a:ln>
              <a:solidFill>
                <a:schemeClr val="bg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'05_PIVOT_TABLES'!$AX$4:$AX$6</c:f>
              <c:numCache>
                <c:formatCode>0</c:formatCode>
                <c:ptCount val="2"/>
                <c:pt idx="0">
                  <c:v>441</c:v>
                </c:pt>
                <c:pt idx="1">
                  <c:v>453</c:v>
                </c:pt>
              </c:numCache>
            </c:numRef>
          </c:val>
          <c:extLst>
            <c:ext xmlns:c16="http://schemas.microsoft.com/office/drawing/2014/chart" uri="{C3380CC4-5D6E-409C-BE32-E72D297353CC}">
              <c16:uniqueId val="{00000000-DA88-48DC-A80A-7C8DB4F1E4E1}"/>
            </c:ext>
          </c:extLst>
        </c:ser>
        <c:ser>
          <c:idx val="2"/>
          <c:order val="2"/>
          <c:tx>
            <c:strRef>
              <c:f>'05_PIVOT_TABLES'!$AY$2:$AY$3</c:f>
              <c:strCache>
                <c:ptCount val="1"/>
                <c:pt idx="0">
                  <c:v>Electronics</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'05_PIVOT_TABLES'!$AV$4:$AV$6</c:f>
              <c:strCache>
                <c:ptCount val="2"/>
                <c:pt idx="0">
                  <c:v>Female</c:v>
                </c:pt>
                <c:pt idx="1">
                  <c:v>Male</c:v>
                </c:pt>
              </c:strCache>
            </c:strRef>
          </c:cat>
          <c:val>
            <c:numRef>
              <c:f>'05_PIVOT_TABLES'!$AY$4:$AY$6</c:f>
              <c:numCache>
                <c:formatCode>0</c:formatCode>
                <c:ptCount val="2"/>
                <c:pt idx="0">
                  <c:v>439</c:v>
                </c:pt>
                <c:pt idx="1">
                  <c:v>410</c:v>
                </c:pt>
              </c:numCache>
            </c:numRef>
          </c:val>
          <c:extLst>
            <c:ext xmlns:c16="http://schemas.microsoft.com/office/drawing/2014/chart" uri="{C3380CC4-5D6E-409C-BE32-E72D297353CC}">
              <c16:uniqueId val="{00000001-DA88-48DC-A80A-7C8DB4F1E4E1}"/>
            </c:ext>
          </c:extLst>
        </c:ser>
        <c:dLbls>
          <c:dLblPos val="outEnd"/>
          <c:showLegendKey val="0"/>
          <c:showVal val="1"/>
          <c:showCatName val="0"/>
          <c:showSerName val="0"/>
          <c:showPercent val="0"/>
          <c:showBubbleSize val="0"/>
        </c:dLbls>
        <c:gapWidth val="219"/>
        <c:overlap val="-27"/>
        <c:axId val="609418832"/>
        <c:axId val="609397232"/>
      </c:barChart>
      <c:catAx>
        <c:axId val="6094188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9397232"/>
        <c:crosses val="autoZero"/>
        <c:auto val="1"/>
        <c:lblAlgn val="ctr"/>
        <c:lblOffset val="100"/>
        <c:noMultiLvlLbl val="0"/>
      </c:catAx>
      <c:valAx>
        <c:axId val="60939723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09418832"/>
        <c:crosses val="autoZero"/>
        <c:crossBetween val="between"/>
        <c:majorUnit val="100"/>
      </c:valAx>
      <c:spPr>
        <a:noFill/>
        <a:ln>
          <a:noFill/>
        </a:ln>
        <a:effectLst/>
      </c:spPr>
    </c:plotArea>
    <c:legend>
      <c:legendPos val="r"/>
      <c:layout>
        <c:manualLayout>
          <c:xMode val="edge"/>
          <c:yMode val="edge"/>
          <c:x val="0.81551646521259591"/>
          <c:y val="0.38209086161682648"/>
          <c:w val="0.18166227744389674"/>
          <c:h val="0.27194690867336524"/>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Revenue per Transaction by</a:t>
            </a:r>
            <a:r>
              <a:rPr lang="en-US" sz="1400" b="1" baseline="0">
                <a:solidFill>
                  <a:schemeClr val="tx1"/>
                </a:solidFill>
                <a:latin typeface="Times New Roman" panose="02020603050405020304" pitchFamily="18" charset="0"/>
                <a:cs typeface="Times New Roman" panose="02020603050405020304" pitchFamily="18" charset="0"/>
              </a:rPr>
              <a:t> Category</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'05_PIVOT_TABLES'!$BH$2</c:f>
              <c:strCache>
                <c:ptCount val="1"/>
                <c:pt idx="0">
                  <c:v>Revenue per Transaction</c:v>
                </c:pt>
              </c:strCache>
            </c:strRef>
          </c:tx>
          <c:spPr>
            <a:solidFill>
              <a:schemeClr val="accent1"/>
            </a:solidFill>
            <a:ln>
              <a:no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5633-4E93-9DE1-13342ED5418C}"/>
              </c:ext>
            </c:extLst>
          </c:dPt>
          <c:dPt>
            <c:idx val="1"/>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3-5633-4E93-9DE1-13342ED5418C}"/>
              </c:ext>
            </c:extLst>
          </c:dPt>
          <c:dPt>
            <c:idx val="2"/>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5-5633-4E93-9DE1-13342ED5418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'05_PIVOT_TABLES'!$BG$3:$BG$5</c:f>
              <c:strCache>
                <c:ptCount val="3"/>
                <c:pt idx="0">
                  <c:v>Beauty</c:v>
                </c:pt>
                <c:pt idx="1">
                  <c:v>Clothing</c:v>
                </c:pt>
                <c:pt idx="2">
                  <c:v>Electronics</c:v>
                </c:pt>
              </c:strCache>
            </c:strRef>
          </c:cat>
          <c:val>
            <c:numRef>
              <c:f>'05_PIVOT_TABLES'!$BH$3:$BH$5</c:f>
              <c:numCache>
                <c:formatCode>_("$"* #,##0_);_("$"* \(#,##0\);_("$"* "-"??_);_(@_)</c:formatCode>
                <c:ptCount val="3"/>
                <c:pt idx="0">
                  <c:v>467.47557003257327</c:v>
                </c:pt>
                <c:pt idx="1">
                  <c:v>443.24786324786322</c:v>
                </c:pt>
                <c:pt idx="2">
                  <c:v>458.78654970760232</c:v>
                </c:pt>
              </c:numCache>
            </c:numRef>
          </c:val>
          <c:extLst>
            <c:ext xmlns:c16="http://schemas.microsoft.com/office/drawing/2014/chart" uri="{C3380CC4-5D6E-409C-BE32-E72D297353CC}">
              <c16:uniqueId val="{00000006-5633-4E93-9DE1-13342ED5418C}"/>
            </c:ext>
          </c:extLst>
        </c:ser>
        <c:dLbls>
          <c:dLblPos val="outEnd"/>
          <c:showLegendKey val="0"/>
          <c:showVal val="1"/>
          <c:showCatName val="0"/>
          <c:showSerName val="0"/>
          <c:showPercent val="0"/>
          <c:showBubbleSize val="0"/>
        </c:dLbls>
        <c:gapWidth val="219"/>
        <c:overlap val="-27"/>
        <c:axId val="1425821920"/>
        <c:axId val="1425801760"/>
      </c:barChart>
      <c:catAx>
        <c:axId val="1425821920"/>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01760"/>
        <c:crosses val="autoZero"/>
        <c:auto val="1"/>
        <c:lblAlgn val="ctr"/>
        <c:lblOffset val="100"/>
        <c:noMultiLvlLbl val="0"/>
      </c:catAx>
      <c:valAx>
        <c:axId val="14258017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425821920"/>
        <c:crosses val="autoZero"/>
        <c:crossBetween val="between"/>
        <c:majorUnit val="10"/>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[Retail_Sales_Analysis_Excel_Project.xlsx]05_PIVOT_TABLES!PivotTable10</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Price Per Unit by Category</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2">
              <a:lumMod val="75000"/>
            </a:schemeClr>
          </a:solidFill>
          <a:ln w="19050">
            <a:solidFill>
              <a:schemeClr val="accent2">
                <a:lumMod val="75000"/>
              </a:schemeClr>
            </a:solidFill>
          </a:ln>
          <a:effectLst/>
        </c:spPr>
      </c:pivotFmt>
      <c:pivotFmt>
        <c:idx val="2"/>
        <c:spPr>
          <a:solidFill>
            <a:schemeClr val="accent2">
              <a:lumMod val="60000"/>
              <a:lumOff val="40000"/>
            </a:schemeClr>
          </a:solidFill>
          <a:ln w="19050">
            <a:solidFill>
              <a:schemeClr val="accent2">
                <a:lumMod val="60000"/>
                <a:lumOff val="40000"/>
              </a:schemeClr>
            </a:solidFill>
          </a:ln>
          <a:effectLst/>
        </c:spPr>
      </c:pivotFmt>
      <c:pivotFmt>
        <c:idx val="3"/>
        <c:spPr>
          <a:solidFill>
            <a:schemeClr val="bg2">
              <a:lumMod val="75000"/>
            </a:schemeClr>
          </a:solidFill>
          <a:ln w="19050">
            <a:solidFill>
              <a:schemeClr val="bg2">
                <a:lumMod val="75000"/>
              </a:schemeClr>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w="19050">
            <a:solidFill>
              <a:schemeClr val="accent2">
                <a:lumMod val="60000"/>
                <a:lumOff val="40000"/>
              </a:schemeClr>
            </a:solidFill>
          </a:ln>
          <a:effectLst/>
        </c:spPr>
      </c:pivotFmt>
      <c:pivotFmt>
        <c:idx val="6"/>
        <c:spPr>
          <a:solidFill>
            <a:schemeClr val="bg2">
              <a:lumMod val="75000"/>
            </a:schemeClr>
          </a:solidFill>
          <a:ln w="19050">
            <a:solidFill>
              <a:schemeClr val="bg2">
                <a:lumMod val="75000"/>
              </a:schemeClr>
            </a:solidFill>
          </a:ln>
          <a:effectLst/>
        </c:spPr>
      </c:pivotFmt>
      <c:pivotFmt>
        <c:idx val="7"/>
        <c:spPr>
          <a:solidFill>
            <a:schemeClr val="accent2">
              <a:lumMod val="75000"/>
            </a:schemeClr>
          </a:solidFill>
          <a:ln w="19050">
            <a:solidFill>
              <a:schemeClr val="accent2">
                <a:lumMod val="75000"/>
              </a:schemeClr>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w="19050">
            <a:solidFill>
              <a:schemeClr val="accent2">
                <a:lumMod val="60000"/>
                <a:lumOff val="40000"/>
              </a:schemeClr>
            </a:solidFill>
          </a:ln>
          <a:effectLst/>
        </c:spPr>
      </c:pivotFmt>
      <c:pivotFmt>
        <c:idx val="10"/>
        <c:spPr>
          <a:solidFill>
            <a:schemeClr val="bg2">
              <a:lumMod val="50000"/>
            </a:schemeClr>
          </a:solidFill>
          <a:ln w="19050">
            <a:solidFill>
              <a:schemeClr val="bg2">
                <a:lumMod val="50000"/>
              </a:schemeClr>
            </a:solidFill>
          </a:ln>
          <a:effectLst/>
        </c:spPr>
      </c:pivotFmt>
      <c:pivotFmt>
        <c:idx val="11"/>
        <c:spPr>
          <a:solidFill>
            <a:schemeClr val="accent2">
              <a:lumMod val="75000"/>
            </a:schemeClr>
          </a:solidFill>
          <a:ln w="19050">
            <a:solidFill>
              <a:schemeClr val="accent2">
                <a:lumMod val="75000"/>
              </a:schemeClr>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bg2">
              <a:lumMod val="50000"/>
            </a:schemeClr>
          </a:solidFill>
          <a:ln w="19050">
            <a:solidFill>
              <a:schemeClr val="bg2">
                <a:lumMod val="50000"/>
              </a:schemeClr>
            </a:solidFill>
          </a:ln>
          <a:effectLst/>
        </c:spPr>
      </c:pivotFmt>
      <c:pivotFmt>
        <c:idx val="14"/>
        <c:spPr>
          <a:solidFill>
            <a:schemeClr val="accent2">
              <a:lumMod val="75000"/>
            </a:schemeClr>
          </a:solidFill>
          <a:ln w="19050">
            <a:solidFill>
              <a:schemeClr val="accent2">
                <a:lumMod val="75000"/>
              </a:schemeClr>
            </a:solidFill>
          </a:ln>
          <a:effectLst/>
        </c:spPr>
      </c:pivotFmt>
      <c:pivotFmt>
        <c:idx val="15"/>
        <c:spPr>
          <a:solidFill>
            <a:schemeClr val="accent2">
              <a:lumMod val="60000"/>
              <a:lumOff val="40000"/>
            </a:schemeClr>
          </a:solidFill>
          <a:ln w="19050">
            <a:solidFill>
              <a:schemeClr val="accent2">
                <a:lumMod val="60000"/>
                <a:lumOff val="40000"/>
              </a:schemeClr>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bg2">
              <a:lumMod val="75000"/>
            </a:schemeClr>
          </a:solidFill>
          <a:ln w="19050">
            <a:solidFill>
              <a:schemeClr val="bg2">
                <a:lumMod val="75000"/>
              </a:schemeClr>
            </a:solidFill>
          </a:ln>
          <a:effectLst/>
        </c:spPr>
      </c:pivotFmt>
      <c:pivotFmt>
        <c:idx val="18"/>
        <c:spPr>
          <a:solidFill>
            <a:schemeClr val="accent2">
              <a:lumMod val="75000"/>
            </a:schemeClr>
          </a:solidFill>
          <a:ln w="19050">
            <a:solidFill>
              <a:schemeClr val="accent2">
                <a:lumMod val="75000"/>
              </a:schemeClr>
            </a:solidFill>
          </a:ln>
          <a:effectLst/>
        </c:spPr>
      </c:pivotFmt>
      <c:pivotFmt>
        <c:idx val="19"/>
        <c:spPr>
          <a:solidFill>
            <a:schemeClr val="accent2">
              <a:lumMod val="60000"/>
              <a:lumOff val="40000"/>
            </a:schemeClr>
          </a:solidFill>
          <a:ln w="19050">
            <a:solidFill>
              <a:schemeClr val="accent2">
                <a:lumMod val="60000"/>
                <a:lumOff val="40000"/>
              </a:schemeClr>
            </a:solidFill>
          </a:ln>
          <a:effectLst/>
        </c:spPr>
      </c:pivotFmt>
    </c:pivotFmts>
    <c:plotArea>
      <c:layout>
        <c:manualLayout>
          <c:layoutTarget val="inner"/>
          <c:xMode val="edge"/>
          <c:yMode val="edge"/>
          <c:x val="0.17842655985495012"/>
          <c:y val="0.19625091992022908"/>
          <c:w val="0.76728965133605898"/>
          <c:h val="0.68580270216107642"/>
        </c:manualLayout>
      </c:layout>
      <c:barChart>
        <c:barDir val="bar"/>
        <c:grouping val="clustered"/>
        <c:varyColors val="0"/>
        <c:ser>
          <c:idx val="0"/>
          <c:order val="0"/>
          <c:tx>
            <c:strRef>
              <c:f>'05_PIVOT_TABLES'!$AS$2</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1-CAEB-4D27-8B4C-A07BB119ED1D}"/>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3-CAEB-4D27-8B4C-A07BB119ED1D}"/>
              </c:ext>
            </c:extLst>
          </c:dPt>
          <c:dPt>
            <c:idx val="2"/>
            <c:invertIfNegative val="0"/>
            <c:bubble3D val="0"/>
            <c:spPr>
              <a:solidFill>
                <a:schemeClr val="accent2">
                  <a:lumMod val="60000"/>
                  <a:lumOff val="40000"/>
                </a:schemeClr>
              </a:solidFill>
              <a:ln w="19050">
                <a:solidFill>
                  <a:schemeClr val="accent2">
                    <a:lumMod val="60000"/>
                    <a:lumOff val="40000"/>
                  </a:schemeClr>
                </a:solidFill>
              </a:ln>
              <a:effectLst/>
            </c:spPr>
            <c:extLst>
              <c:ext xmlns:c16="http://schemas.microsoft.com/office/drawing/2014/chart" uri="{C3380CC4-5D6E-409C-BE32-E72D297353CC}">
                <c16:uniqueId val="{00000005-CAEB-4D27-8B4C-A07BB119ED1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'05_PIVOT_TABLES'!$AR$3:$AR$6</c:f>
              <c:strCache>
                <c:ptCount val="3"/>
                <c:pt idx="0">
                  <c:v>Clothing</c:v>
                </c:pt>
                <c:pt idx="1">
                  <c:v>Electronics</c:v>
                </c:pt>
                <c:pt idx="2">
                  <c:v>Beauty</c:v>
                </c:pt>
              </c:strCache>
            </c:strRef>
          </c:cat>
          <c:val>
            <c:numRef>
              <c:f>'05_PIVOT_TABLES'!$AS$3:$AS$6</c:f>
              <c:numCache>
                <c:formatCode>_("$"* #,##0_);_("$"* \(#,##0\);_("$"* "-"??_);_(@_)</c:formatCode>
                <c:ptCount val="3"/>
                <c:pt idx="0">
                  <c:v>174.28774928774928</c:v>
                </c:pt>
                <c:pt idx="1">
                  <c:v>181.90058479532163</c:v>
                </c:pt>
                <c:pt idx="2">
                  <c:v>184.05537459283389</c:v>
                </c:pt>
              </c:numCache>
            </c:numRef>
          </c:val>
          <c:extLst>
            <c:ext xmlns:c16="http://schemas.microsoft.com/office/drawing/2014/chart" uri="{C3380CC4-5D6E-409C-BE32-E72D297353CC}">
              <c16:uniqueId val="{00000006-CAEB-4D27-8B4C-A07BB119ED1D}"/>
            </c:ext>
          </c:extLst>
        </c:ser>
        <c:dLbls>
          <c:showLegendKey val="0"/>
          <c:showVal val="0"/>
          <c:showCatName val="0"/>
          <c:showSerName val="0"/>
          <c:showPercent val="0"/>
          <c:showBubbleSize val="0"/>
        </c:dLbls>
        <c:gapWidth val="100"/>
        <c:axId val="1711998560"/>
        <c:axId val="1711996640"/>
      </c:barChart>
      <c:valAx>
        <c:axId val="1711996640"/>
        <c:scaling>
          <c:orientation val="minMax"/>
        </c:scaling>
        <c:delete val="0"/>
        <c:axPos val="b"/>
        <c:numFmt formatCode="_(&quot;$&quot;* #,##0_);_(&quot;$&quot;* \(#,##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8560"/>
        <c:crosses val="autoZero"/>
        <c:crossBetween val="between"/>
        <c:majorUnit val="10"/>
      </c:valAx>
      <c:catAx>
        <c:axId val="1711998560"/>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71199664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[Retail_Sales_Analysis_Excel_Project.xlsx]05_PIVOT_TABLES!PivotTable2</c:name>
    <c:fmtId val="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u="none" strike="noStrike" kern="1200" spc="0" baseline="0">
                <a:solidFill>
                  <a:sysClr val="windowText" lastClr="000000"/>
                </a:solidFill>
                <a:latin typeface="Times New Roman" panose="02020603050405020304" pitchFamily="18" charset="0"/>
                <a:cs typeface="Times New Roman" panose="02020603050405020304" pitchFamily="18" charset="0"/>
              </a:rPr>
              <a:t>Average Spend Per Transaction by Gender</a:t>
            </a:r>
          </a:p>
        </c:rich>
      </c:tx>
      <c:layout>
        <c:manualLayout>
          <c:xMode val="edge"/>
          <c:yMode val="edge"/>
          <c:x val="0.1379891201208836"/>
          <c:y val="0"/>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marker>
          <c:symbol val="none"/>
        </c:marker>
      </c:pivotFmt>
      <c:pivotFmt>
        <c:idx val="10"/>
        <c:spPr>
          <a:solidFill>
            <a:schemeClr val="bg2">
              <a:lumMod val="75000"/>
            </a:schemeClr>
          </a:solidFill>
          <a:ln w="19050">
            <a:solidFill>
              <a:schemeClr val="bg2">
                <a:lumMod val="75000"/>
              </a:schemeClr>
            </a:solidFill>
          </a:ln>
          <a:effectLst/>
        </c:spPr>
      </c:pivotFmt>
      <c:pivotFmt>
        <c:idx val="11"/>
        <c:spPr>
          <a:solidFill>
            <a:schemeClr val="accent2">
              <a:lumMod val="75000"/>
            </a:schemeClr>
          </a:solidFill>
          <a:ln w="19050">
            <a:solidFill>
              <a:schemeClr val="accent2">
                <a:lumMod val="75000"/>
              </a:schemeClr>
            </a:solidFill>
          </a:ln>
          <a:effectLst/>
        </c:spPr>
      </c:pivotFmt>
      <c:pivotFmt>
        <c:idx val="12"/>
        <c:marker>
          <c:symbol val="none"/>
        </c:marker>
        <c:dLbl>
          <c:idx val="0"/>
          <c:delete val="1"/>
          <c:extLst>
            <c:ext xmlns:c15="http://schemas.microsoft.com/office/drawing/2012/chart" uri="{CE6537A1-D6FC-4f65-9D91-7224C49458BB}"/>
          </c:extLst>
        </c:dLbl>
      </c:pivotFmt>
      <c:pivotFmt>
        <c:idx val="13"/>
        <c:spPr>
          <a:solidFill>
            <a:schemeClr val="bg2">
              <a:lumMod val="75000"/>
            </a:schemeClr>
          </a:solidFill>
          <a:ln w="19050">
            <a:solidFill>
              <a:schemeClr val="bg2">
                <a:lumMod val="75000"/>
              </a:schemeClr>
            </a:solidFill>
          </a:ln>
          <a:effectLst/>
        </c:spPr>
      </c:pivotFmt>
      <c:pivotFmt>
        <c:idx val="14"/>
        <c:spPr>
          <a:solidFill>
            <a:schemeClr val="accent2">
              <a:lumMod val="75000"/>
            </a:schemeClr>
          </a:solidFill>
          <a:ln w="19050">
            <a:solidFill>
              <a:schemeClr val="accent2">
                <a:lumMod val="75000"/>
              </a:schemeClr>
            </a:solidFill>
          </a:ln>
          <a:effectLst/>
        </c:spPr>
      </c:pivotFmt>
      <c:pivotFmt>
        <c:idx val="15"/>
        <c:marker>
          <c:symbol val="none"/>
        </c:marker>
        <c:dLbl>
          <c:idx val="0"/>
          <c:delete val="1"/>
          <c:extLst>
            <c:ext xmlns:c15="http://schemas.microsoft.com/office/drawing/2012/chart" uri="{CE6537A1-D6FC-4f65-9D91-7224C49458BB}"/>
          </c:extLst>
        </c:dLbl>
      </c:pivotFmt>
      <c:pivotFmt>
        <c:idx val="16"/>
        <c:spPr>
          <a:solidFill>
            <a:schemeClr val="bg2">
              <a:lumMod val="50000"/>
            </a:schemeClr>
          </a:solidFill>
          <a:ln w="19050">
            <a:solidFill>
              <a:schemeClr val="bg2">
                <a:lumMod val="50000"/>
              </a:schemeClr>
            </a:solidFill>
          </a:ln>
          <a:effectLst/>
        </c:spPr>
      </c:pivotFmt>
      <c:pivotFmt>
        <c:idx val="17"/>
        <c:spPr>
          <a:solidFill>
            <a:schemeClr val="accent2">
              <a:lumMod val="75000"/>
            </a:schemeClr>
          </a:solidFill>
          <a:ln w="19050">
            <a:solidFill>
              <a:schemeClr val="accent2">
                <a:lumMod val="75000"/>
              </a:schemeClr>
            </a:solidFill>
          </a:ln>
          <a:effectLst/>
        </c:spPr>
      </c:pivotFmt>
      <c:pivotFmt>
        <c:idx val="18"/>
        <c:marker>
          <c:symbol val="none"/>
        </c:marker>
        <c:dLbl>
          <c:idx val="0"/>
          <c:delete val="1"/>
          <c:extLst>
            <c:ext xmlns:c15="http://schemas.microsoft.com/office/drawing/2012/chart" uri="{CE6537A1-D6FC-4f65-9D91-7224C49458BB}"/>
          </c:extLst>
        </c:dLbl>
      </c:pivotFmt>
      <c:pivotFmt>
        <c:idx val="19"/>
        <c:spPr>
          <a:solidFill>
            <a:schemeClr val="bg2">
              <a:lumMod val="50000"/>
            </a:schemeClr>
          </a:solidFill>
          <a:ln w="19050">
            <a:solidFill>
              <a:schemeClr val="bg2">
                <a:lumMod val="50000"/>
              </a:schemeClr>
            </a:solidFill>
          </a:ln>
          <a:effectLst/>
        </c:spPr>
      </c:pivotFmt>
      <c:pivotFmt>
        <c:idx val="20"/>
        <c:spPr>
          <a:solidFill>
            <a:schemeClr val="accent2">
              <a:lumMod val="75000"/>
            </a:schemeClr>
          </a:solidFill>
          <a:ln w="19050">
            <a:solidFill>
              <a:schemeClr val="accent2">
                <a:lumMod val="75000"/>
              </a:schemeClr>
            </a:solidFill>
          </a:ln>
          <a:effectLst/>
        </c:spPr>
      </c:pivotFmt>
      <c:pivotFmt>
        <c:idx val="21"/>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bg2">
              <a:lumMod val="75000"/>
            </a:schemeClr>
          </a:solidFill>
          <a:ln w="19050">
            <a:solidFill>
              <a:schemeClr val="bg2">
                <a:lumMod val="75000"/>
              </a:schemeClr>
            </a:solidFill>
          </a:ln>
          <a:effectLst/>
        </c:spPr>
      </c:pivotFmt>
      <c:pivotFmt>
        <c:idx val="23"/>
        <c:spPr>
          <a:solidFill>
            <a:schemeClr val="accent2">
              <a:lumMod val="75000"/>
            </a:schemeClr>
          </a:solidFill>
          <a:ln w="19050">
            <a:solidFill>
              <a:schemeClr val="accent2">
                <a:lumMod val="75000"/>
              </a:schemeClr>
            </a:solidFill>
          </a:ln>
          <a:effectLst/>
        </c:spPr>
      </c:pivotFmt>
    </c:pivotFmts>
    <c:plotArea>
      <c:layout>
        <c:manualLayout>
          <c:layoutTarget val="inner"/>
          <c:xMode val="edge"/>
          <c:yMode val="edge"/>
          <c:x val="0.13564579371623783"/>
          <c:y val="0.20921024251680728"/>
          <c:w val="0.8013539558389885"/>
          <c:h val="0.59508424138186267"/>
        </c:manualLayout>
      </c:layout>
      <c:barChart>
        <c:barDir val="bar"/>
        <c:grouping val="clustered"/>
        <c:varyColors val="0"/>
        <c:ser>
          <c:idx val="0"/>
          <c:order val="0"/>
          <c:tx>
            <c:strRef>
              <c:f>'05_PIVOT_TABLES'!$Y$2</c:f>
              <c:strCache>
                <c:ptCount val="1"/>
                <c:pt idx="0">
                  <c:v>Total</c:v>
                </c:pt>
              </c:strCache>
            </c:strRef>
          </c:tx>
          <c:invertIfNegative val="0"/>
          <c:dPt>
            <c:idx val="0"/>
            <c:invertIfNegative val="0"/>
            <c:bubble3D val="0"/>
            <c:spPr>
              <a:solidFill>
                <a:schemeClr val="bg2">
                  <a:lumMod val="75000"/>
                </a:schemeClr>
              </a:solidFill>
              <a:ln w="19050">
                <a:solidFill>
                  <a:schemeClr val="bg2">
                    <a:lumMod val="75000"/>
                  </a:schemeClr>
                </a:solidFill>
              </a:ln>
              <a:effectLst/>
            </c:spPr>
            <c:extLst>
              <c:ext xmlns:c16="http://schemas.microsoft.com/office/drawing/2014/chart" uri="{C3380CC4-5D6E-409C-BE32-E72D297353CC}">
                <c16:uniqueId val="{00000001-816E-44CA-8E16-FC9807AA4F7E}"/>
              </c:ext>
            </c:extLst>
          </c:dPt>
          <c:dPt>
            <c:idx val="1"/>
            <c:invertIfNegative val="0"/>
            <c:bubble3D val="0"/>
            <c:spPr>
              <a:solidFill>
                <a:schemeClr val="accent2">
                  <a:lumMod val="75000"/>
                </a:schemeClr>
              </a:solidFill>
              <a:ln w="19050">
                <a:solidFill>
                  <a:schemeClr val="accent2">
                    <a:lumMod val="75000"/>
                  </a:schemeClr>
                </a:solidFill>
              </a:ln>
              <a:effectLst/>
            </c:spPr>
            <c:extLst>
              <c:ext xmlns:c16="http://schemas.microsoft.com/office/drawing/2014/chart" uri="{C3380CC4-5D6E-409C-BE32-E72D297353CC}">
                <c16:uniqueId val="{00000003-816E-44CA-8E16-FC9807AA4F7E}"/>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'05_PIVOT_TABLES'!$X$3:$X$5</c:f>
              <c:strCache>
                <c:ptCount val="2"/>
                <c:pt idx="0">
                  <c:v>Female</c:v>
                </c:pt>
                <c:pt idx="1">
                  <c:v>Male</c:v>
                </c:pt>
              </c:strCache>
            </c:strRef>
          </c:cat>
          <c:val>
            <c:numRef>
              <c:f>'05_PIVOT_TABLES'!$Y$3:$Y$5</c:f>
              <c:numCache>
                <c:formatCode>_("$"* #,##0_);_("$"* \(#,##0\);_("$"* "-"??_);_(@_)</c:formatCode>
                <c:ptCount val="2"/>
                <c:pt idx="0">
                  <c:v>456.54901960784315</c:v>
                </c:pt>
                <c:pt idx="1">
                  <c:v>455.42857142857144</c:v>
                </c:pt>
              </c:numCache>
            </c:numRef>
          </c:val>
          <c:extLst>
            <c:ext xmlns:c16="http://schemas.microsoft.com/office/drawing/2014/chart" uri="{C3380CC4-5D6E-409C-BE32-E72D297353CC}">
              <c16:uniqueId val="{00000004-816E-44CA-8E16-FC9807AA4F7E}"/>
            </c:ext>
          </c:extLst>
        </c:ser>
        <c:dLbls>
          <c:showLegendKey val="0"/>
          <c:showVal val="0"/>
          <c:showCatName val="0"/>
          <c:showSerName val="0"/>
          <c:showPercent val="0"/>
          <c:showBubbleSize val="0"/>
        </c:dLbls>
        <c:gapWidth val="100"/>
        <c:axId val="747493487"/>
        <c:axId val="747493007"/>
      </c:barChart>
      <c:valAx>
        <c:axId val="747493007"/>
        <c:scaling>
          <c:orientation val="minMax"/>
        </c:scaling>
        <c:delete val="0"/>
        <c:axPos val="b"/>
        <c:numFmt formatCode="_(&quot;$&quot;* #,##0_);_(&quot;$&quot;* \(#,##0\);_(&quot;$&quot;* &quot;-&quot;??_);_(@_)" sourceLinked="1"/>
        <c:majorTickMark val="out"/>
        <c:minorTickMark val="none"/>
        <c:tickLblPos val="nextTo"/>
        <c:spPr>
          <a:ln>
            <a:noFill/>
          </a:ln>
        </c:spPr>
        <c:txPr>
          <a:bodyPr/>
          <a:lstStyle/>
          <a:p>
            <a:pPr>
              <a:defRPr sz="1050" b="1">
                <a:solidFill>
                  <a:schemeClr val="tx1"/>
                </a:solidFill>
                <a:latin typeface="Times New Roman" panose="02020603050405020304" pitchFamily="18" charset="0"/>
                <a:cs typeface="Times New Roman" panose="02020603050405020304" pitchFamily="18" charset="0"/>
              </a:defRPr>
            </a:pPr>
            <a:endParaRPr lang="en-US"/>
          </a:p>
        </c:txPr>
        <c:crossAx val="747493487"/>
        <c:crosses val="autoZero"/>
        <c:crossBetween val="between"/>
        <c:majorUnit val="0.8"/>
      </c:valAx>
      <c:catAx>
        <c:axId val="747493487"/>
        <c:scaling>
          <c:orientation val="minMax"/>
        </c:scaling>
        <c:delete val="0"/>
        <c:axPos val="l"/>
        <c:numFmt formatCode="General" sourceLinked="1"/>
        <c:majorTickMark val="out"/>
        <c:minorTickMark val="none"/>
        <c:tickLblPos val="nextTo"/>
        <c:spPr>
          <a:ln>
            <a:solidFill>
              <a:schemeClr val="tx1"/>
            </a:solidFill>
          </a:ln>
        </c:spPr>
        <c:txPr>
          <a:bodyPr/>
          <a:lstStyle/>
          <a:p>
            <a:pPr>
              <a:defRPr sz="1050" b="1">
                <a:solidFill>
                  <a:schemeClr val="tx1"/>
                </a:solidFill>
                <a:latin typeface="Times New Roman" panose="02020603050405020304" pitchFamily="18" charset="0"/>
                <a:cs typeface="Times New Roman" panose="02020603050405020304" pitchFamily="18" charset="0"/>
              </a:defRPr>
            </a:pPr>
            <a:endParaRPr lang="en-US"/>
          </a:p>
        </c:txPr>
        <c:crossAx val="747493007"/>
        <c:crosses val="autoZero"/>
        <c:auto val="1"/>
        <c:lblAlgn val="ctr"/>
        <c:lblOffset val="100"/>
        <c:noMultiLvlLbl val="0"/>
      </c:cat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Average</a:t>
            </a:r>
            <a:r>
              <a:rPr lang="en-US" sz="1400" b="1" baseline="0">
                <a:solidFill>
                  <a:schemeClr val="tx1"/>
                </a:solidFill>
                <a:latin typeface="Times New Roman" panose="02020603050405020304" pitchFamily="18" charset="0"/>
                <a:cs typeface="Times New Roman" panose="02020603050405020304" pitchFamily="18" charset="0"/>
              </a:rPr>
              <a:t> Spend per Transaction by Age Group</a:t>
            </a:r>
            <a:endParaRPr lang="en-US" sz="1400" b="1">
              <a:solidFill>
                <a:schemeClr val="tx1"/>
              </a:solidFill>
              <a:latin typeface="Times New Roman" panose="02020603050405020304" pitchFamily="18" charset="0"/>
              <a:cs typeface="Times New Roman" panose="02020603050405020304" pitchFamily="18" charset="0"/>
            </a:endParaRPr>
          </a:p>
        </c:rich>
      </c:tx>
      <c:layout>
        <c:manualLayout>
          <c:xMode val="edge"/>
          <c:yMode val="edge"/>
          <c:x val="0.1231545194658042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85610881859872"/>
          <c:y val="0.17030067665604731"/>
          <c:w val="0.88514389118140124"/>
          <c:h val="0.65691334331148232"/>
        </c:manualLayout>
      </c:layout>
      <c:barChart>
        <c:barDir val="col"/>
        <c:grouping val="clustered"/>
        <c:varyColors val="0"/>
        <c:ser>
          <c:idx val="0"/>
          <c:order val="0"/>
          <c:tx>
            <c:strRef>
              <c:f>'05_PIVOT_TABLES'!$AG$2</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'05_PIVOT_TABLES'!$AF$3:$AF$8</c:f>
              <c:strCache>
                <c:ptCount val="5"/>
                <c:pt idx="0">
                  <c:v>Elderly</c:v>
                </c:pt>
                <c:pt idx="1">
                  <c:v>Seniors</c:v>
                </c:pt>
                <c:pt idx="2">
                  <c:v>Adults</c:v>
                </c:pt>
                <c:pt idx="3">
                  <c:v>Young Adults</c:v>
                </c:pt>
                <c:pt idx="4">
                  <c:v>Teenagers</c:v>
                </c:pt>
              </c:strCache>
            </c:strRef>
          </c:cat>
          <c:val>
            <c:numRef>
              <c:f>'05_PIVOT_TABLES'!$AG$3:$AG$8</c:f>
              <c:numCache>
                <c:formatCode>_("$"* #,##0_);_("$"* \(#,##0\);_("$"* "-"??_);_(@_)</c:formatCode>
                <c:ptCount val="5"/>
                <c:pt idx="0">
                  <c:v>412.35897435897436</c:v>
                </c:pt>
                <c:pt idx="1">
                  <c:v>439.69432314410483</c:v>
                </c:pt>
                <c:pt idx="2">
                  <c:v>460.53571428571428</c:v>
                </c:pt>
                <c:pt idx="3">
                  <c:v>484.96978851963746</c:v>
                </c:pt>
                <c:pt idx="4">
                  <c:v>534.04761904761904</c:v>
                </c:pt>
              </c:numCache>
            </c:numRef>
          </c:val>
          <c:extLst>
            <c:ext xmlns:c16="http://schemas.microsoft.com/office/drawing/2014/chart" uri="{C3380CC4-5D6E-409C-BE32-E72D297353CC}">
              <c16:uniqueId val="{00000000-B972-4AD4-93B8-ED07427207EA}"/>
            </c:ext>
          </c:extLst>
        </c:ser>
        <c:dLbls>
          <c:showLegendKey val="0"/>
          <c:showVal val="0"/>
          <c:showCatName val="0"/>
          <c:showSerName val="0"/>
          <c:showPercent val="0"/>
          <c:showBubbleSize val="0"/>
        </c:dLbls>
        <c:gapWidth val="219"/>
        <c:overlap val="-27"/>
        <c:axId val="845898687"/>
        <c:axId val="845877087"/>
      </c:barChart>
      <c:catAx>
        <c:axId val="845898687"/>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77087"/>
        <c:crosses val="autoZero"/>
        <c:auto val="1"/>
        <c:lblAlgn val="ctr"/>
        <c:lblOffset val="100"/>
        <c:noMultiLvlLbl val="0"/>
      </c:catAx>
      <c:valAx>
        <c:axId val="845877087"/>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45898687"/>
        <c:crosses val="autoZero"/>
        <c:crossBetween val="between"/>
        <c:majorUnit val="15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[Retail_Sales_Analysis_Excel_Project.xlsx]05_PIVOT_TABLES!PivotTable6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ysClr val="windowText" lastClr="000000"/>
                </a:solidFill>
                <a:latin typeface="Times New Roman" panose="02020603050405020304" pitchFamily="18" charset="0"/>
                <a:cs typeface="Times New Roman" panose="02020603050405020304" pitchFamily="18" charset="0"/>
              </a:rPr>
              <a:t>Quantity</a:t>
            </a:r>
            <a:r>
              <a:rPr lang="en-US" sz="1400" b="1" baseline="0">
                <a:solidFill>
                  <a:sysClr val="windowText" lastClr="000000"/>
                </a:solidFill>
                <a:latin typeface="Times New Roman" panose="02020603050405020304" pitchFamily="18" charset="0"/>
                <a:cs typeface="Times New Roman" panose="02020603050405020304" pitchFamily="18" charset="0"/>
              </a:rPr>
              <a:t> Sold by Product Category</a:t>
            </a:r>
            <a:endParaRPr lang="en-US" sz="1400" b="1">
              <a:solidFill>
                <a:sysClr val="windowText" lastClr="000000"/>
              </a:solidFill>
              <a:latin typeface="Times New Roman" panose="02020603050405020304" pitchFamily="18" charset="0"/>
              <a:cs typeface="Times New Roman" panose="02020603050405020304" pitchFamily="18" charset="0"/>
            </a:endParaRPr>
          </a:p>
        </c:rich>
      </c:tx>
      <c:layout>
        <c:manualLayout>
          <c:xMode val="edge"/>
          <c:yMode val="edge"/>
          <c:x val="0.18569399064018419"/>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2"/>
          </a:solidFill>
          <a:ln>
            <a:solidFill>
              <a:schemeClr val="accent2"/>
            </a:solidFill>
          </a:ln>
          <a:effectLst/>
        </c:spPr>
        <c:marker>
          <c:symbol val="none"/>
        </c:marker>
        <c:dLbl>
          <c:idx val="0"/>
          <c:delete val="1"/>
          <c:extLst>
            <c:ext xmlns:c15="http://schemas.microsoft.com/office/drawing/2012/chart" uri="{CE6537A1-D6FC-4f65-9D91-7224C49458BB}"/>
          </c:extLst>
        </c:dLbl>
      </c:pivotFmt>
      <c:pivotFmt>
        <c:idx val="6"/>
        <c:spPr>
          <a:solidFill>
            <a:schemeClr val="accent2">
              <a:lumMod val="75000"/>
            </a:schemeClr>
          </a:solidFill>
          <a:ln>
            <a:solidFill>
              <a:schemeClr val="accent2">
                <a:lumMod val="75000"/>
              </a:schemeClr>
            </a:solidFill>
          </a:ln>
          <a:effectLst/>
        </c:spPr>
      </c:pivotFmt>
      <c:pivotFmt>
        <c:idx val="7"/>
        <c:spPr>
          <a:solidFill>
            <a:schemeClr val="bg2">
              <a:lumMod val="50000"/>
            </a:schemeClr>
          </a:solidFill>
          <a:ln>
            <a:solidFill>
              <a:schemeClr val="bg2">
                <a:lumMod val="50000"/>
              </a:schemeClr>
            </a:solidFill>
          </a:ln>
          <a:effectLst/>
        </c:spPr>
      </c:pivotFmt>
      <c:pivotFmt>
        <c:idx val="8"/>
        <c:spPr>
          <a:solidFill>
            <a:schemeClr val="accent2">
              <a:lumMod val="60000"/>
              <a:lumOff val="40000"/>
            </a:schemeClr>
          </a:solidFill>
          <a:ln>
            <a:solidFill>
              <a:schemeClr val="accent2">
                <a:lumMod val="60000"/>
                <a:lumOff val="40000"/>
              </a:schemeClr>
            </a:solidFill>
          </a:ln>
          <a:effectLst/>
        </c:spPr>
      </c:pivotFmt>
      <c:pivotFmt>
        <c:idx val="9"/>
        <c:spPr>
          <a:solidFill>
            <a:schemeClr val="accent2"/>
          </a:solidFill>
          <a:ln>
            <a:solidFill>
              <a:schemeClr val="accent2"/>
            </a:solidFill>
          </a:ln>
          <a:effectLst/>
        </c:spPr>
        <c:marker>
          <c:symbol val="none"/>
        </c:marker>
        <c:dLbl>
          <c:idx val="0"/>
          <c:delete val="1"/>
          <c:extLst>
            <c:ext xmlns:c15="http://schemas.microsoft.com/office/drawing/2012/chart" uri="{CE6537A1-D6FC-4f65-9D91-7224C49458BB}"/>
          </c:extLst>
        </c:dLbl>
      </c:pivotFmt>
      <c:pivotFmt>
        <c:idx val="10"/>
        <c:spPr>
          <a:solidFill>
            <a:schemeClr val="accent2">
              <a:lumMod val="60000"/>
              <a:lumOff val="40000"/>
            </a:schemeClr>
          </a:solidFill>
          <a:ln>
            <a:solidFill>
              <a:schemeClr val="accent2">
                <a:lumMod val="60000"/>
                <a:lumOff val="40000"/>
              </a:schemeClr>
            </a:solidFill>
          </a:ln>
          <a:effectLst/>
        </c:spPr>
      </c:pivotFmt>
      <c:pivotFmt>
        <c:idx val="11"/>
        <c:spPr>
          <a:solidFill>
            <a:schemeClr val="accent2">
              <a:lumMod val="75000"/>
            </a:schemeClr>
          </a:solidFill>
          <a:ln>
            <a:solidFill>
              <a:schemeClr val="accent2">
                <a:lumMod val="75000"/>
              </a:schemeClr>
            </a:solidFill>
          </a:ln>
          <a:effectLst/>
        </c:spPr>
      </c:pivotFmt>
      <c:pivotFmt>
        <c:idx val="12"/>
        <c:spPr>
          <a:solidFill>
            <a:schemeClr val="bg2">
              <a:lumMod val="50000"/>
            </a:schemeClr>
          </a:solidFill>
          <a:ln>
            <a:solidFill>
              <a:schemeClr val="bg2">
                <a:lumMod val="50000"/>
              </a:schemeClr>
            </a:solidFill>
          </a:ln>
          <a:effectLst/>
        </c:spPr>
      </c:pivotFmt>
      <c:pivotFmt>
        <c:idx val="13"/>
        <c:spPr>
          <a:solidFill>
            <a:schemeClr val="accent2"/>
          </a:solidFill>
          <a:ln>
            <a:solidFill>
              <a:schemeClr val="accent2"/>
            </a:solidFill>
          </a:ln>
          <a:effectLst/>
        </c:spPr>
        <c:marker>
          <c:symbol val="none"/>
        </c:marker>
        <c:dLbl>
          <c:idx val="0"/>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60000"/>
              <a:lumOff val="40000"/>
            </a:schemeClr>
          </a:solidFill>
          <a:ln>
            <a:solidFill>
              <a:schemeClr val="accent2">
                <a:lumMod val="60000"/>
                <a:lumOff val="40000"/>
              </a:schemeClr>
            </a:solidFill>
          </a:ln>
          <a:effectLst/>
        </c:spPr>
      </c:pivotFmt>
      <c:pivotFmt>
        <c:idx val="15"/>
        <c:spPr>
          <a:solidFill>
            <a:schemeClr val="accent2">
              <a:lumMod val="75000"/>
            </a:schemeClr>
          </a:solidFill>
          <a:ln>
            <a:solidFill>
              <a:schemeClr val="accent2">
                <a:lumMod val="75000"/>
              </a:schemeClr>
            </a:solidFill>
          </a:ln>
          <a:effectLst/>
        </c:spPr>
      </c:pivotFmt>
      <c:pivotFmt>
        <c:idx val="16"/>
        <c:spPr>
          <a:solidFill>
            <a:schemeClr val="bg2">
              <a:lumMod val="75000"/>
            </a:schemeClr>
          </a:solidFill>
          <a:ln>
            <a:solidFill>
              <a:schemeClr val="bg2">
                <a:lumMod val="75000"/>
              </a:schemeClr>
            </a:solidFill>
          </a:ln>
          <a:effectLst/>
        </c:spPr>
      </c:pivotFmt>
    </c:pivotFmts>
    <c:plotArea>
      <c:layout>
        <c:manualLayout>
          <c:layoutTarget val="inner"/>
          <c:xMode val="edge"/>
          <c:yMode val="edge"/>
          <c:x val="0.15411855367067406"/>
          <c:y val="0.14897335511302431"/>
          <c:w val="0.81141903941966365"/>
          <c:h val="0.72243569444711941"/>
        </c:manualLayout>
      </c:layout>
      <c:barChart>
        <c:barDir val="bar"/>
        <c:grouping val="clustered"/>
        <c:varyColors val="0"/>
        <c:ser>
          <c:idx val="0"/>
          <c:order val="0"/>
          <c:tx>
            <c:strRef>
              <c:f>'05_PIVOT_TABLES'!$AO$2</c:f>
              <c:strCache>
                <c:ptCount val="1"/>
                <c:pt idx="0">
                  <c:v>Total</c:v>
                </c:pt>
              </c:strCache>
            </c:strRef>
          </c:tx>
          <c:spPr>
            <a:solidFill>
              <a:schemeClr val="accent2"/>
            </a:solidFill>
            <a:ln>
              <a:solidFill>
                <a:schemeClr val="accent2"/>
              </a:solidFill>
            </a:ln>
            <a:effectLst/>
          </c:spPr>
          <c:invertIfNegative val="0"/>
          <c:dPt>
            <c:idx val="0"/>
            <c:invertIfNegative val="0"/>
            <c:bubble3D val="0"/>
            <c:spPr>
              <a:solidFill>
                <a:schemeClr val="accent2">
                  <a:lumMod val="60000"/>
                  <a:lumOff val="40000"/>
                </a:schemeClr>
              </a:solidFill>
              <a:ln>
                <a:solidFill>
                  <a:schemeClr val="accent2">
                    <a:lumMod val="60000"/>
                    <a:lumOff val="40000"/>
                  </a:schemeClr>
                </a:solidFill>
              </a:ln>
              <a:effectLst/>
            </c:spPr>
            <c:extLst>
              <c:ext xmlns:c16="http://schemas.microsoft.com/office/drawing/2014/chart" uri="{C3380CC4-5D6E-409C-BE32-E72D297353CC}">
                <c16:uniqueId val="{00000001-FC83-4DB1-8D67-23FD0786E78E}"/>
              </c:ext>
            </c:extLst>
          </c:dPt>
          <c:dPt>
            <c:idx val="1"/>
            <c:invertIfNegative val="0"/>
            <c:bubble3D val="0"/>
            <c:spPr>
              <a:solidFill>
                <a:schemeClr val="accent2">
                  <a:lumMod val="75000"/>
                </a:schemeClr>
              </a:solidFill>
              <a:ln>
                <a:solidFill>
                  <a:schemeClr val="accent2">
                    <a:lumMod val="75000"/>
                  </a:schemeClr>
                </a:solidFill>
              </a:ln>
              <a:effectLst/>
            </c:spPr>
            <c:extLst>
              <c:ext xmlns:c16="http://schemas.microsoft.com/office/drawing/2014/chart" uri="{C3380CC4-5D6E-409C-BE32-E72D297353CC}">
                <c16:uniqueId val="{00000003-FC83-4DB1-8D67-23FD0786E78E}"/>
              </c:ext>
            </c:extLst>
          </c:dPt>
          <c:dPt>
            <c:idx val="2"/>
            <c:invertIfNegative val="0"/>
            <c:bubble3D val="0"/>
            <c:spPr>
              <a:solidFill>
                <a:schemeClr val="bg2">
                  <a:lumMod val="75000"/>
                </a:schemeClr>
              </a:solidFill>
              <a:ln>
                <a:solidFill>
                  <a:schemeClr val="bg2">
                    <a:lumMod val="75000"/>
                  </a:schemeClr>
                </a:solidFill>
              </a:ln>
              <a:effectLst/>
            </c:spPr>
            <c:extLst>
              <c:ext xmlns:c16="http://schemas.microsoft.com/office/drawing/2014/chart" uri="{C3380CC4-5D6E-409C-BE32-E72D297353CC}">
                <c16:uniqueId val="{00000005-FC83-4DB1-8D67-23FD0786E78E}"/>
              </c:ext>
            </c:extLst>
          </c:dPt>
          <c:dLbls>
            <c:spPr>
              <a:noFill/>
              <a:ln>
                <a:noFill/>
              </a:ln>
              <a:effectLst/>
            </c:spPr>
            <c:txPr>
              <a:bodyPr wrap="square" lIns="38100" tIns="19050" rIns="38100" bIns="19050" anchor="ctr">
                <a:spAutoFit/>
              </a:bodyPr>
              <a:lstStyle/>
              <a:p>
                <a:pPr>
                  <a:defRPr>
                    <a:solidFill>
                      <a:schemeClr val="tx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'05_PIVOT_TABLES'!$AN$3:$AN$6</c:f>
              <c:strCache>
                <c:ptCount val="3"/>
                <c:pt idx="0">
                  <c:v>Beauty</c:v>
                </c:pt>
                <c:pt idx="1">
                  <c:v>Electronics</c:v>
                </c:pt>
                <c:pt idx="2">
                  <c:v>Clothing</c:v>
                </c:pt>
              </c:strCache>
            </c:strRef>
          </c:cat>
          <c:val>
            <c:numRef>
              <c:f>'05_PIVOT_TABLES'!$AO$3:$AO$6</c:f>
              <c:numCache>
                <c:formatCode>0</c:formatCode>
                <c:ptCount val="3"/>
                <c:pt idx="0">
                  <c:v>771</c:v>
                </c:pt>
                <c:pt idx="1">
                  <c:v>849</c:v>
                </c:pt>
                <c:pt idx="2">
                  <c:v>894</c:v>
                </c:pt>
              </c:numCache>
            </c:numRef>
          </c:val>
          <c:extLst>
            <c:ext xmlns:c16="http://schemas.microsoft.com/office/drawing/2014/chart" uri="{C3380CC4-5D6E-409C-BE32-E72D297353CC}">
              <c16:uniqueId val="{00000006-FC83-4DB1-8D67-23FD0786E78E}"/>
            </c:ext>
          </c:extLst>
        </c:ser>
        <c:dLbls>
          <c:dLblPos val="outEnd"/>
          <c:showLegendKey val="0"/>
          <c:showVal val="1"/>
          <c:showCatName val="0"/>
          <c:showSerName val="0"/>
          <c:showPercent val="0"/>
          <c:showBubbleSize val="0"/>
        </c:dLbls>
        <c:gapWidth val="182"/>
        <c:axId val="208767504"/>
        <c:axId val="208768944"/>
      </c:barChart>
      <c:catAx>
        <c:axId val="208767504"/>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8944"/>
        <c:crosses val="autoZero"/>
        <c:auto val="1"/>
        <c:lblAlgn val="ctr"/>
        <c:lblOffset val="100"/>
        <c:noMultiLvlLbl val="0"/>
      </c:catAx>
      <c:valAx>
        <c:axId val="208768944"/>
        <c:scaling>
          <c:orientation val="minMax"/>
          <c:max val="900"/>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208767504"/>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06_DASHBOARD_OVERVIEW'!A1"/></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5" Type="http://schemas.openxmlformats.org/officeDocument/2006/relationships/hyperlink" Target="#'07_DASHBOAD_DEEP_DIVE'!A1"/><Relationship Id="rId4"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hyperlink" Target="#'06_DASHBOARD_OVERVIEW'!A1"/></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104775</xdr:rowOff>
    </xdr:from>
    <xdr:to>
      <xdr:col>22</xdr:col>
      <xdr:colOff>419100</xdr:colOff>
      <xdr:row>2</xdr:row>
      <xdr:rowOff>104775</xdr:rowOff>
    </xdr:to>
    <xdr:cxnSp macro="">
      <xdr:nvCxnSpPr>
        <xdr:cNvPr id="3" name="Straight Connector 2">
          <a:extLst>
            <a:ext uri="{FF2B5EF4-FFF2-40B4-BE49-F238E27FC236}">
              <a16:creationId xmlns:a16="http://schemas.microsoft.com/office/drawing/2014/main" id="{080CB93E-0539-B589-DA17-02A721BA896A}"/>
            </a:ext>
          </a:extLst>
        </xdr:cNvPr>
        <xdr:cNvCxnSpPr/>
      </xdr:nvCxnSpPr>
      <xdr:spPr>
        <a:xfrm>
          <a:off x="0" y="3429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5</xdr:row>
      <xdr:rowOff>104775</xdr:rowOff>
    </xdr:from>
    <xdr:to>
      <xdr:col>22</xdr:col>
      <xdr:colOff>419100</xdr:colOff>
      <xdr:row>5</xdr:row>
      <xdr:rowOff>104775</xdr:rowOff>
    </xdr:to>
    <xdr:cxnSp macro="">
      <xdr:nvCxnSpPr>
        <xdr:cNvPr id="4" name="Straight Connector 3">
          <a:extLst>
            <a:ext uri="{FF2B5EF4-FFF2-40B4-BE49-F238E27FC236}">
              <a16:creationId xmlns:a16="http://schemas.microsoft.com/office/drawing/2014/main" id="{4C95D69C-89C9-460C-9705-5A8677EE24A9}"/>
            </a:ext>
          </a:extLst>
        </xdr:cNvPr>
        <xdr:cNvCxnSpPr/>
      </xdr:nvCxnSpPr>
      <xdr:spPr>
        <a:xfrm>
          <a:off x="0" y="914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9</xdr:row>
      <xdr:rowOff>104775</xdr:rowOff>
    </xdr:from>
    <xdr:to>
      <xdr:col>22</xdr:col>
      <xdr:colOff>419100</xdr:colOff>
      <xdr:row>9</xdr:row>
      <xdr:rowOff>104775</xdr:rowOff>
    </xdr:to>
    <xdr:cxnSp macro="">
      <xdr:nvCxnSpPr>
        <xdr:cNvPr id="5" name="Straight Connector 4">
          <a:extLst>
            <a:ext uri="{FF2B5EF4-FFF2-40B4-BE49-F238E27FC236}">
              <a16:creationId xmlns:a16="http://schemas.microsoft.com/office/drawing/2014/main" id="{55A7FDFC-C83C-45D8-A024-18A71E701910}"/>
            </a:ext>
          </a:extLst>
        </xdr:cNvPr>
        <xdr:cNvCxnSpPr/>
      </xdr:nvCxnSpPr>
      <xdr:spPr>
        <a:xfrm>
          <a:off x="0" y="1676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19</xdr:row>
      <xdr:rowOff>114300</xdr:rowOff>
    </xdr:from>
    <xdr:to>
      <xdr:col>22</xdr:col>
      <xdr:colOff>419100</xdr:colOff>
      <xdr:row>19</xdr:row>
      <xdr:rowOff>114300</xdr:rowOff>
    </xdr:to>
    <xdr:cxnSp macro="">
      <xdr:nvCxnSpPr>
        <xdr:cNvPr id="6" name="Straight Connector 5">
          <a:extLst>
            <a:ext uri="{FF2B5EF4-FFF2-40B4-BE49-F238E27FC236}">
              <a16:creationId xmlns:a16="http://schemas.microsoft.com/office/drawing/2014/main" id="{B2B264D6-D39E-40FC-8C1D-371B33DB7E74}"/>
            </a:ext>
          </a:extLst>
        </xdr:cNvPr>
        <xdr:cNvCxnSpPr/>
      </xdr:nvCxnSpPr>
      <xdr:spPr>
        <a:xfrm>
          <a:off x="0" y="3590925"/>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26</xdr:row>
      <xdr:rowOff>123825</xdr:rowOff>
    </xdr:from>
    <xdr:to>
      <xdr:col>22</xdr:col>
      <xdr:colOff>419100</xdr:colOff>
      <xdr:row>26</xdr:row>
      <xdr:rowOff>123825</xdr:rowOff>
    </xdr:to>
    <xdr:cxnSp macro="">
      <xdr:nvCxnSpPr>
        <xdr:cNvPr id="7" name="Straight Connector 6">
          <a:extLst>
            <a:ext uri="{FF2B5EF4-FFF2-40B4-BE49-F238E27FC236}">
              <a16:creationId xmlns:a16="http://schemas.microsoft.com/office/drawing/2014/main" id="{BA75DB31-25E9-4B7D-B24E-745401818CFC}"/>
            </a:ext>
          </a:extLst>
        </xdr:cNvPr>
        <xdr:cNvCxnSpPr/>
      </xdr:nvCxnSpPr>
      <xdr:spPr>
        <a:xfrm>
          <a:off x="0" y="493395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37</xdr:row>
      <xdr:rowOff>104775</xdr:rowOff>
    </xdr:from>
    <xdr:to>
      <xdr:col>22</xdr:col>
      <xdr:colOff>419100</xdr:colOff>
      <xdr:row>37</xdr:row>
      <xdr:rowOff>104775</xdr:rowOff>
    </xdr:to>
    <xdr:cxnSp macro="">
      <xdr:nvCxnSpPr>
        <xdr:cNvPr id="8" name="Straight Connector 7">
          <a:extLst>
            <a:ext uri="{FF2B5EF4-FFF2-40B4-BE49-F238E27FC236}">
              <a16:creationId xmlns:a16="http://schemas.microsoft.com/office/drawing/2014/main" id="{263E6D0C-36A2-43CE-8973-9E9B51CDCD5A}"/>
            </a:ext>
          </a:extLst>
        </xdr:cNvPr>
        <xdr:cNvCxnSpPr/>
      </xdr:nvCxnSpPr>
      <xdr:spPr>
        <a:xfrm>
          <a:off x="0" y="7010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48</xdr:row>
      <xdr:rowOff>104775</xdr:rowOff>
    </xdr:from>
    <xdr:to>
      <xdr:col>22</xdr:col>
      <xdr:colOff>419100</xdr:colOff>
      <xdr:row>48</xdr:row>
      <xdr:rowOff>104775</xdr:rowOff>
    </xdr:to>
    <xdr:cxnSp macro="">
      <xdr:nvCxnSpPr>
        <xdr:cNvPr id="9" name="Straight Connector 8">
          <a:extLst>
            <a:ext uri="{FF2B5EF4-FFF2-40B4-BE49-F238E27FC236}">
              <a16:creationId xmlns:a16="http://schemas.microsoft.com/office/drawing/2014/main" id="{7D63E8E2-FF4D-46D6-BA69-7BDA1884DA1D}"/>
            </a:ext>
          </a:extLst>
        </xdr:cNvPr>
        <xdr:cNvCxnSpPr/>
      </xdr:nvCxnSpPr>
      <xdr:spPr>
        <a:xfrm>
          <a:off x="0" y="91059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57</xdr:row>
      <xdr:rowOff>104775</xdr:rowOff>
    </xdr:from>
    <xdr:to>
      <xdr:col>22</xdr:col>
      <xdr:colOff>419100</xdr:colOff>
      <xdr:row>57</xdr:row>
      <xdr:rowOff>104775</xdr:rowOff>
    </xdr:to>
    <xdr:cxnSp macro="">
      <xdr:nvCxnSpPr>
        <xdr:cNvPr id="10" name="Straight Connector 9">
          <a:extLst>
            <a:ext uri="{FF2B5EF4-FFF2-40B4-BE49-F238E27FC236}">
              <a16:creationId xmlns:a16="http://schemas.microsoft.com/office/drawing/2014/main" id="{56E3F3D4-CB7F-49A7-8464-E55EBAFC8984}"/>
            </a:ext>
          </a:extLst>
        </xdr:cNvPr>
        <xdr:cNvCxnSpPr/>
      </xdr:nvCxnSpPr>
      <xdr:spPr>
        <a:xfrm>
          <a:off x="0" y="10820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65</xdr:row>
      <xdr:rowOff>104775</xdr:rowOff>
    </xdr:from>
    <xdr:to>
      <xdr:col>22</xdr:col>
      <xdr:colOff>419100</xdr:colOff>
      <xdr:row>65</xdr:row>
      <xdr:rowOff>104775</xdr:rowOff>
    </xdr:to>
    <xdr:cxnSp macro="">
      <xdr:nvCxnSpPr>
        <xdr:cNvPr id="11" name="Straight Connector 10">
          <a:extLst>
            <a:ext uri="{FF2B5EF4-FFF2-40B4-BE49-F238E27FC236}">
              <a16:creationId xmlns:a16="http://schemas.microsoft.com/office/drawing/2014/main" id="{479BB184-2A4D-414A-B077-E969E79F7D77}"/>
            </a:ext>
          </a:extLst>
        </xdr:cNvPr>
        <xdr:cNvCxnSpPr/>
      </xdr:nvCxnSpPr>
      <xdr:spPr>
        <a:xfrm>
          <a:off x="0" y="1234440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72</xdr:row>
      <xdr:rowOff>114300</xdr:rowOff>
    </xdr:from>
    <xdr:to>
      <xdr:col>22</xdr:col>
      <xdr:colOff>419100</xdr:colOff>
      <xdr:row>72</xdr:row>
      <xdr:rowOff>114300</xdr:rowOff>
    </xdr:to>
    <xdr:cxnSp macro="">
      <xdr:nvCxnSpPr>
        <xdr:cNvPr id="12" name="Straight Connector 11">
          <a:extLst>
            <a:ext uri="{FF2B5EF4-FFF2-40B4-BE49-F238E27FC236}">
              <a16:creationId xmlns:a16="http://schemas.microsoft.com/office/drawing/2014/main" id="{E276F35E-214C-4468-B450-C82B244974BE}"/>
            </a:ext>
          </a:extLst>
        </xdr:cNvPr>
        <xdr:cNvCxnSpPr/>
      </xdr:nvCxnSpPr>
      <xdr:spPr>
        <a:xfrm>
          <a:off x="0" y="13687425"/>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85</xdr:row>
      <xdr:rowOff>95250</xdr:rowOff>
    </xdr:from>
    <xdr:to>
      <xdr:col>22</xdr:col>
      <xdr:colOff>419100</xdr:colOff>
      <xdr:row>85</xdr:row>
      <xdr:rowOff>95250</xdr:rowOff>
    </xdr:to>
    <xdr:cxnSp macro="">
      <xdr:nvCxnSpPr>
        <xdr:cNvPr id="13" name="Straight Connector 12">
          <a:extLst>
            <a:ext uri="{FF2B5EF4-FFF2-40B4-BE49-F238E27FC236}">
              <a16:creationId xmlns:a16="http://schemas.microsoft.com/office/drawing/2014/main" id="{C2F639C4-1F9D-43A4-A803-9C72090B10A2}"/>
            </a:ext>
          </a:extLst>
        </xdr:cNvPr>
        <xdr:cNvCxnSpPr/>
      </xdr:nvCxnSpPr>
      <xdr:spPr>
        <a:xfrm>
          <a:off x="0" y="15382875"/>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0</xdr:colOff>
      <xdr:row>89</xdr:row>
      <xdr:rowOff>123825</xdr:rowOff>
    </xdr:from>
    <xdr:to>
      <xdr:col>22</xdr:col>
      <xdr:colOff>419100</xdr:colOff>
      <xdr:row>89</xdr:row>
      <xdr:rowOff>123825</xdr:rowOff>
    </xdr:to>
    <xdr:cxnSp macro="">
      <xdr:nvCxnSpPr>
        <xdr:cNvPr id="14" name="Straight Connector 13">
          <a:extLst>
            <a:ext uri="{FF2B5EF4-FFF2-40B4-BE49-F238E27FC236}">
              <a16:creationId xmlns:a16="http://schemas.microsoft.com/office/drawing/2014/main" id="{190717F9-A136-442F-9C59-230B4C610900}"/>
            </a:ext>
          </a:extLst>
        </xdr:cNvPr>
        <xdr:cNvCxnSpPr/>
      </xdr:nvCxnSpPr>
      <xdr:spPr>
        <a:xfrm>
          <a:off x="0" y="1617345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0</xdr:col>
      <xdr:colOff>19052</xdr:colOff>
      <xdr:row>0</xdr:row>
      <xdr:rowOff>228599</xdr:rowOff>
    </xdr:from>
    <xdr:to>
      <xdr:col>0</xdr:col>
      <xdr:colOff>2428876</xdr:colOff>
      <xdr:row>2</xdr:row>
      <xdr:rowOff>9524</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B1B8CFEB-B430-41C1-8C20-1BEFFF84F0F1}"/>
            </a:ext>
          </a:extLst>
        </xdr:cNvPr>
        <xdr:cNvSpPr/>
      </xdr:nvSpPr>
      <xdr:spPr>
        <a:xfrm>
          <a:off x="19052" y="228599"/>
          <a:ext cx="2409824" cy="257175"/>
        </a:xfrm>
        <a:prstGeom prst="round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00" b="1" baseline="0">
              <a:solidFill>
                <a:schemeClr val="tx1"/>
              </a:solidFill>
              <a:latin typeface="Calibri" panose="020F0502020204030204" pitchFamily="34" charset="0"/>
              <a:cs typeface="Calibri" panose="020F0502020204030204" pitchFamily="34" charset="0"/>
            </a:rPr>
            <a:t>Start Here → View Dashboard Overview</a:t>
          </a:r>
          <a:endParaRPr lang="en-US" sz="1000" b="1" baseline="0">
            <a:solidFill>
              <a:schemeClr val="tx1"/>
            </a:solidFill>
          </a:endParaRPr>
        </a:p>
      </xdr:txBody>
    </xdr:sp>
    <xdr:clientData/>
  </xdr:twoCellAnchor>
  <xdr:twoCellAnchor>
    <xdr:from>
      <xdr:col>0</xdr:col>
      <xdr:colOff>0</xdr:colOff>
      <xdr:row>81</xdr:row>
      <xdr:rowOff>114300</xdr:rowOff>
    </xdr:from>
    <xdr:to>
      <xdr:col>22</xdr:col>
      <xdr:colOff>419100</xdr:colOff>
      <xdr:row>81</xdr:row>
      <xdr:rowOff>114300</xdr:rowOff>
    </xdr:to>
    <xdr:cxnSp macro="">
      <xdr:nvCxnSpPr>
        <xdr:cNvPr id="16" name="Straight Connector 15">
          <a:extLst>
            <a:ext uri="{FF2B5EF4-FFF2-40B4-BE49-F238E27FC236}">
              <a16:creationId xmlns:a16="http://schemas.microsoft.com/office/drawing/2014/main" id="{1559DC6E-E314-4B31-B730-A3CAC51A0EB8}"/>
            </a:ext>
          </a:extLst>
        </xdr:cNvPr>
        <xdr:cNvCxnSpPr/>
      </xdr:nvCxnSpPr>
      <xdr:spPr>
        <a:xfrm>
          <a:off x="0" y="15640050"/>
          <a:ext cx="21888450" cy="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161925</xdr:colOff>
      <xdr:row>8</xdr:row>
      <xdr:rowOff>123825</xdr:rowOff>
    </xdr:from>
    <xdr:to>
      <xdr:col>18</xdr:col>
      <xdr:colOff>38100</xdr:colOff>
      <xdr:row>20</xdr:row>
      <xdr:rowOff>66675</xdr:rowOff>
    </xdr:to>
    <xdr:graphicFrame macro="">
      <xdr:nvGraphicFramePr>
        <xdr:cNvPr id="2" name="Chart 1">
          <a:extLst>
            <a:ext uri="{FF2B5EF4-FFF2-40B4-BE49-F238E27FC236}">
              <a16:creationId xmlns:a16="http://schemas.microsoft.com/office/drawing/2014/main" id="{8EC752CA-8EF2-29E2-8002-1E89A280CA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419100</xdr:colOff>
      <xdr:row>6</xdr:row>
      <xdr:rowOff>57150</xdr:rowOff>
    </xdr:from>
    <xdr:to>
      <xdr:col>25</xdr:col>
      <xdr:colOff>266700</xdr:colOff>
      <xdr:row>18</xdr:row>
      <xdr:rowOff>142875</xdr:rowOff>
    </xdr:to>
    <xdr:graphicFrame macro="">
      <xdr:nvGraphicFramePr>
        <xdr:cNvPr id="11" name="Chart 10">
          <a:extLst>
            <a:ext uri="{FF2B5EF4-FFF2-40B4-BE49-F238E27FC236}">
              <a16:creationId xmlns:a16="http://schemas.microsoft.com/office/drawing/2014/main" id="{1523A95A-D42C-D55A-2780-62E2AF4724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323850</xdr:colOff>
      <xdr:row>16</xdr:row>
      <xdr:rowOff>47624</xdr:rowOff>
    </xdr:from>
    <xdr:to>
      <xdr:col>10</xdr:col>
      <xdr:colOff>123825</xdr:colOff>
      <xdr:row>28</xdr:row>
      <xdr:rowOff>38099</xdr:rowOff>
    </xdr:to>
    <xdr:graphicFrame macro="">
      <xdr:nvGraphicFramePr>
        <xdr:cNvPr id="17" name="Chart 16">
          <a:extLst>
            <a:ext uri="{FF2B5EF4-FFF2-40B4-BE49-F238E27FC236}">
              <a16:creationId xmlns:a16="http://schemas.microsoft.com/office/drawing/2014/main" id="{0A6D37BD-6DD2-4A8D-94B0-8CAE7A207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7</xdr:row>
      <xdr:rowOff>123825</xdr:rowOff>
    </xdr:from>
    <xdr:to>
      <xdr:col>13</xdr:col>
      <xdr:colOff>304800</xdr:colOff>
      <xdr:row>20</xdr:row>
      <xdr:rowOff>123825</xdr:rowOff>
    </xdr:to>
    <xdr:graphicFrame macro="">
      <xdr:nvGraphicFramePr>
        <xdr:cNvPr id="20" name="Chart 19">
          <a:extLst>
            <a:ext uri="{FF2B5EF4-FFF2-40B4-BE49-F238E27FC236}">
              <a16:creationId xmlns:a16="http://schemas.microsoft.com/office/drawing/2014/main" id="{C7DCAE9E-7427-4621-B1CA-4A7E524FA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190501</xdr:colOff>
      <xdr:row>6</xdr:row>
      <xdr:rowOff>38099</xdr:rowOff>
    </xdr:from>
    <xdr:to>
      <xdr:col>21</xdr:col>
      <xdr:colOff>438151</xdr:colOff>
      <xdr:row>18</xdr:row>
      <xdr:rowOff>47624</xdr:rowOff>
    </xdr:to>
    <xdr:graphicFrame macro="">
      <xdr:nvGraphicFramePr>
        <xdr:cNvPr id="21" name="Chart 20">
          <a:extLst>
            <a:ext uri="{FF2B5EF4-FFF2-40B4-BE49-F238E27FC236}">
              <a16:creationId xmlns:a16="http://schemas.microsoft.com/office/drawing/2014/main" id="{7A65C7F9-89A4-4ED4-8910-F7CC5B92EB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161926</xdr:colOff>
      <xdr:row>6</xdr:row>
      <xdr:rowOff>57150</xdr:rowOff>
    </xdr:from>
    <xdr:to>
      <xdr:col>29</xdr:col>
      <xdr:colOff>342901</xdr:colOff>
      <xdr:row>18</xdr:row>
      <xdr:rowOff>38100</xdr:rowOff>
    </xdr:to>
    <xdr:graphicFrame macro="">
      <xdr:nvGraphicFramePr>
        <xdr:cNvPr id="22" name="Chart 21">
          <a:extLst>
            <a:ext uri="{FF2B5EF4-FFF2-40B4-BE49-F238E27FC236}">
              <a16:creationId xmlns:a16="http://schemas.microsoft.com/office/drawing/2014/main" id="{D9A661F8-E6D7-49DE-93AC-6E34E74E7B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381000</xdr:colOff>
      <xdr:row>9</xdr:row>
      <xdr:rowOff>0</xdr:rowOff>
    </xdr:from>
    <xdr:to>
      <xdr:col>33</xdr:col>
      <xdr:colOff>381000</xdr:colOff>
      <xdr:row>25</xdr:row>
      <xdr:rowOff>19050</xdr:rowOff>
    </xdr:to>
    <xdr:graphicFrame macro="">
      <xdr:nvGraphicFramePr>
        <xdr:cNvPr id="23" name="Chart 22">
          <a:extLst>
            <a:ext uri="{FF2B5EF4-FFF2-40B4-BE49-F238E27FC236}">
              <a16:creationId xmlns:a16="http://schemas.microsoft.com/office/drawing/2014/main" id="{BA949244-1B42-4A02-B203-22E293A864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400050</xdr:colOff>
      <xdr:row>8</xdr:row>
      <xdr:rowOff>0</xdr:rowOff>
    </xdr:from>
    <xdr:to>
      <xdr:col>41</xdr:col>
      <xdr:colOff>428625</xdr:colOff>
      <xdr:row>20</xdr:row>
      <xdr:rowOff>28575</xdr:rowOff>
    </xdr:to>
    <xdr:graphicFrame macro="">
      <xdr:nvGraphicFramePr>
        <xdr:cNvPr id="24" name="Chart 23">
          <a:extLst>
            <a:ext uri="{FF2B5EF4-FFF2-40B4-BE49-F238E27FC236}">
              <a16:creationId xmlns:a16="http://schemas.microsoft.com/office/drawing/2014/main" id="{FD5B7AB1-5271-4E4B-A9BD-85A6DA732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43</xdr:col>
      <xdr:colOff>0</xdr:colOff>
      <xdr:row>8</xdr:row>
      <xdr:rowOff>0</xdr:rowOff>
    </xdr:from>
    <xdr:to>
      <xdr:col>45</xdr:col>
      <xdr:colOff>104774</xdr:colOff>
      <xdr:row>21</xdr:row>
      <xdr:rowOff>142875</xdr:rowOff>
    </xdr:to>
    <xdr:graphicFrame macro="">
      <xdr:nvGraphicFramePr>
        <xdr:cNvPr id="26" name="Chart 25">
          <a:extLst>
            <a:ext uri="{FF2B5EF4-FFF2-40B4-BE49-F238E27FC236}">
              <a16:creationId xmlns:a16="http://schemas.microsoft.com/office/drawing/2014/main" id="{75763AF4-5A27-4D99-8360-4275E2B2F6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34</xdr:col>
      <xdr:colOff>457200</xdr:colOff>
      <xdr:row>10</xdr:row>
      <xdr:rowOff>0</xdr:rowOff>
    </xdr:from>
    <xdr:to>
      <xdr:col>38</xdr:col>
      <xdr:colOff>38100</xdr:colOff>
      <xdr:row>23</xdr:row>
      <xdr:rowOff>133350</xdr:rowOff>
    </xdr:to>
    <xdr:graphicFrame macro="">
      <xdr:nvGraphicFramePr>
        <xdr:cNvPr id="27" name="Chart 26">
          <a:extLst>
            <a:ext uri="{FF2B5EF4-FFF2-40B4-BE49-F238E27FC236}">
              <a16:creationId xmlns:a16="http://schemas.microsoft.com/office/drawing/2014/main" id="{501B3041-915F-423A-8E2A-30255253B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47</xdr:col>
      <xdr:colOff>0</xdr:colOff>
      <xdr:row>8</xdr:row>
      <xdr:rowOff>0</xdr:rowOff>
    </xdr:from>
    <xdr:to>
      <xdr:col>51</xdr:col>
      <xdr:colOff>600075</xdr:colOff>
      <xdr:row>23</xdr:row>
      <xdr:rowOff>95250</xdr:rowOff>
    </xdr:to>
    <xdr:graphicFrame macro="">
      <xdr:nvGraphicFramePr>
        <xdr:cNvPr id="28" name="Chart 27">
          <a:extLst>
            <a:ext uri="{FF2B5EF4-FFF2-40B4-BE49-F238E27FC236}">
              <a16:creationId xmlns:a16="http://schemas.microsoft.com/office/drawing/2014/main" id="{D737AE34-C199-475E-94D5-2A576351F6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57</xdr:col>
      <xdr:colOff>476249</xdr:colOff>
      <xdr:row>7</xdr:row>
      <xdr:rowOff>0</xdr:rowOff>
    </xdr:from>
    <xdr:to>
      <xdr:col>62</xdr:col>
      <xdr:colOff>104775</xdr:colOff>
      <xdr:row>20</xdr:row>
      <xdr:rowOff>0</xdr:rowOff>
    </xdr:to>
    <xdr:graphicFrame macro="">
      <xdr:nvGraphicFramePr>
        <xdr:cNvPr id="29" name="Chart 28">
          <a:extLst>
            <a:ext uri="{FF2B5EF4-FFF2-40B4-BE49-F238E27FC236}">
              <a16:creationId xmlns:a16="http://schemas.microsoft.com/office/drawing/2014/main" id="{E26440C7-3EBB-41F8-A517-BA167E6FEA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53</xdr:col>
      <xdr:colOff>47625</xdr:colOff>
      <xdr:row>7</xdr:row>
      <xdr:rowOff>76200</xdr:rowOff>
    </xdr:from>
    <xdr:to>
      <xdr:col>57</xdr:col>
      <xdr:colOff>76200</xdr:colOff>
      <xdr:row>20</xdr:row>
      <xdr:rowOff>47625</xdr:rowOff>
    </xdr:to>
    <xdr:graphicFrame macro="">
      <xdr:nvGraphicFramePr>
        <xdr:cNvPr id="30" name="Chart 29">
          <a:extLst>
            <a:ext uri="{FF2B5EF4-FFF2-40B4-BE49-F238E27FC236}">
              <a16:creationId xmlns:a16="http://schemas.microsoft.com/office/drawing/2014/main" id="{A29E5709-2FDB-B0F4-CBD8-30087FE74A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371475</xdr:colOff>
      <xdr:row>4</xdr:row>
      <xdr:rowOff>14287</xdr:rowOff>
    </xdr:from>
    <xdr:to>
      <xdr:col>5</xdr:col>
      <xdr:colOff>236982</xdr:colOff>
      <xdr:row>5</xdr:row>
      <xdr:rowOff>135826</xdr:rowOff>
    </xdr:to>
    <xdr:sp macro="" textlink="">
      <xdr:nvSpPr>
        <xdr:cNvPr id="2" name="Rectangle: Rounded Corners 1">
          <a:extLst>
            <a:ext uri="{FF2B5EF4-FFF2-40B4-BE49-F238E27FC236}">
              <a16:creationId xmlns:a16="http://schemas.microsoft.com/office/drawing/2014/main" id="{FCB60CA4-32C4-41E0-9D86-3E755543E43F}"/>
            </a:ext>
          </a:extLst>
        </xdr:cNvPr>
        <xdr:cNvSpPr/>
      </xdr:nvSpPr>
      <xdr:spPr>
        <a:xfrm>
          <a:off x="990600" y="661987"/>
          <a:ext cx="2542032" cy="283464"/>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latin typeface="Times New Roman" panose="02020603050405020304" pitchFamily="18" charset="0"/>
              <a:cs typeface="Times New Roman" panose="02020603050405020304" pitchFamily="18" charset="0"/>
            </a:rPr>
            <a:t>Average Order Value (AOV)</a:t>
          </a:r>
          <a:endParaRPr lang="en-US" sz="1400" b="0" i="0" u="none" strike="noStrike">
            <a:solidFill>
              <a:schemeClr val="lt1"/>
            </a:solidFill>
            <a:effectLst/>
            <a:latin typeface="+mn-lt"/>
            <a:ea typeface="+mn-ea"/>
            <a:cs typeface="+mn-cs"/>
          </a:endParaRPr>
        </a:p>
      </xdr:txBody>
    </xdr:sp>
    <xdr:clientData/>
  </xdr:twoCellAnchor>
  <xdr:twoCellAnchor editAs="absolute">
    <xdr:from>
      <xdr:col>8</xdr:col>
      <xdr:colOff>162496</xdr:colOff>
      <xdr:row>4</xdr:row>
      <xdr:rowOff>14287</xdr:rowOff>
    </xdr:from>
    <xdr:to>
      <xdr:col>12</xdr:col>
      <xdr:colOff>228028</xdr:colOff>
      <xdr:row>5</xdr:row>
      <xdr:rowOff>135826</xdr:rowOff>
    </xdr:to>
    <xdr:sp macro="" textlink="">
      <xdr:nvSpPr>
        <xdr:cNvPr id="3" name="Rectangle: Rounded Corners 2">
          <a:extLst>
            <a:ext uri="{FF2B5EF4-FFF2-40B4-BE49-F238E27FC236}">
              <a16:creationId xmlns:a16="http://schemas.microsoft.com/office/drawing/2014/main" id="{1ED98D58-C4B0-4079-9B4F-FBE9FDCE2CC7}"/>
            </a:ext>
          </a:extLst>
        </xdr:cNvPr>
        <xdr:cNvSpPr/>
      </xdr:nvSpPr>
      <xdr:spPr>
        <a:xfrm>
          <a:off x="5315521" y="661987"/>
          <a:ext cx="2542032" cy="283464"/>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latin typeface="Times New Roman" panose="02020603050405020304" pitchFamily="18" charset="0"/>
              <a:cs typeface="Times New Roman" panose="02020603050405020304" pitchFamily="18" charset="0"/>
            </a:rPr>
            <a:t>Total Number</a:t>
          </a:r>
          <a:r>
            <a:rPr lang="en-US" sz="1400" b="1" baseline="0">
              <a:solidFill>
                <a:sysClr val="windowText" lastClr="000000"/>
              </a:solidFill>
              <a:latin typeface="Times New Roman" panose="02020603050405020304" pitchFamily="18" charset="0"/>
              <a:cs typeface="Times New Roman" panose="02020603050405020304" pitchFamily="18" charset="0"/>
            </a:rPr>
            <a:t> of Transactions</a:t>
          </a:r>
          <a:endParaRPr lang="en-US" sz="1400" b="0" i="0" u="none" strike="noStrike">
            <a:solidFill>
              <a:schemeClr val="lt1"/>
            </a:solidFill>
            <a:effectLst/>
            <a:latin typeface="+mn-lt"/>
            <a:ea typeface="+mn-ea"/>
            <a:cs typeface="+mn-cs"/>
          </a:endParaRPr>
        </a:p>
      </xdr:txBody>
    </xdr:sp>
    <xdr:clientData/>
  </xdr:twoCellAnchor>
  <xdr:twoCellAnchor editAs="absolute">
    <xdr:from>
      <xdr:col>13</xdr:col>
      <xdr:colOff>771524</xdr:colOff>
      <xdr:row>4</xdr:row>
      <xdr:rowOff>14287</xdr:rowOff>
    </xdr:from>
    <xdr:to>
      <xdr:col>17</xdr:col>
      <xdr:colOff>141731</xdr:colOff>
      <xdr:row>5</xdr:row>
      <xdr:rowOff>135826</xdr:rowOff>
    </xdr:to>
    <xdr:sp macro="" textlink="">
      <xdr:nvSpPr>
        <xdr:cNvPr id="17" name="Rectangle: Rounded Corners 16">
          <a:extLst>
            <a:ext uri="{FF2B5EF4-FFF2-40B4-BE49-F238E27FC236}">
              <a16:creationId xmlns:a16="http://schemas.microsoft.com/office/drawing/2014/main" id="{FBD12DE8-C15E-86AF-22F3-633AE4E26147}"/>
            </a:ext>
          </a:extLst>
        </xdr:cNvPr>
        <xdr:cNvSpPr/>
      </xdr:nvSpPr>
      <xdr:spPr>
        <a:xfrm>
          <a:off x="9020174" y="661987"/>
          <a:ext cx="2542032" cy="283464"/>
        </a:xfrm>
        <a:prstGeom prst="roundRect">
          <a:avLst/>
        </a:prstGeom>
        <a:solidFill>
          <a:schemeClr val="bg1"/>
        </a:solid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latin typeface="Times New Roman" panose="02020603050405020304" pitchFamily="18" charset="0"/>
              <a:cs typeface="Times New Roman" panose="02020603050405020304" pitchFamily="18" charset="0"/>
            </a:rPr>
            <a:t>Total Revenue (2023 - 2024)</a:t>
          </a:r>
        </a:p>
      </xdr:txBody>
    </xdr:sp>
    <xdr:clientData/>
  </xdr:twoCellAnchor>
  <xdr:twoCellAnchor editAs="absolute">
    <xdr:from>
      <xdr:col>13</xdr:col>
      <xdr:colOff>277199</xdr:colOff>
      <xdr:row>7</xdr:row>
      <xdr:rowOff>85723</xdr:rowOff>
    </xdr:from>
    <xdr:to>
      <xdr:col>16</xdr:col>
      <xdr:colOff>29994</xdr:colOff>
      <xdr:row>32</xdr:row>
      <xdr:rowOff>47625</xdr:rowOff>
    </xdr:to>
    <xdr:sp macro="" textlink="">
      <xdr:nvSpPr>
        <xdr:cNvPr id="19" name="Rectangle: Rounded Corners 18">
          <a:extLst>
            <a:ext uri="{FF2B5EF4-FFF2-40B4-BE49-F238E27FC236}">
              <a16:creationId xmlns:a16="http://schemas.microsoft.com/office/drawing/2014/main" id="{2BFBBCBA-ED4C-48BD-A554-F1ACBDFEC08A}"/>
            </a:ext>
          </a:extLst>
        </xdr:cNvPr>
        <xdr:cNvSpPr/>
      </xdr:nvSpPr>
      <xdr:spPr>
        <a:xfrm>
          <a:off x="8525849" y="1295398"/>
          <a:ext cx="2305495" cy="4010027"/>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latin typeface="Times New Roman" panose="02020603050405020304" pitchFamily="18" charset="0"/>
              <a:cs typeface="Times New Roman" panose="02020603050405020304" pitchFamily="18" charset="0"/>
            </a:rPr>
            <a:t>KEY</a:t>
          </a:r>
          <a:r>
            <a:rPr lang="en-US" sz="1400" b="1" baseline="0">
              <a:solidFill>
                <a:schemeClr val="tx1"/>
              </a:solidFill>
              <a:latin typeface="Times New Roman" panose="02020603050405020304" pitchFamily="18" charset="0"/>
              <a:cs typeface="Times New Roman" panose="02020603050405020304" pitchFamily="18" charset="0"/>
            </a:rPr>
            <a:t> INSIGHTS</a:t>
          </a:r>
          <a:r>
            <a:rPr lang="en-US" sz="1200" b="1" baseline="0">
              <a:solidFill>
                <a:schemeClr val="tx1"/>
              </a:solidFill>
              <a:latin typeface="Times New Roman" panose="02020603050405020304" pitchFamily="18" charset="0"/>
              <a:cs typeface="Times New Roman" panose="02020603050405020304" pitchFamily="18" charset="0"/>
            </a:rPr>
            <a:t>:</a:t>
          </a:r>
        </a:p>
        <a:p>
          <a:pPr algn="l"/>
          <a:endParaRPr lang="en-US" sz="1400" b="1" baseline="0">
            <a:solidFill>
              <a:schemeClr val="tx1"/>
            </a:solidFill>
            <a:latin typeface="Times New Roman" panose="02020603050405020304" pitchFamily="18" charset="0"/>
            <a:cs typeface="Times New Roman" panose="02020603050405020304" pitchFamily="18" charset="0"/>
          </a:endParaRPr>
        </a:p>
        <a:p>
          <a:pPr algn="l"/>
          <a:r>
            <a:rPr lang="en-US" sz="1600" b="1" baseline="0">
              <a:solidFill>
                <a:schemeClr val="tx1"/>
              </a:solidFill>
              <a:latin typeface="Times New Roman" panose="02020603050405020304" pitchFamily="18" charset="0"/>
              <a:cs typeface="Times New Roman" panose="02020603050405020304" pitchFamily="18" charset="0"/>
            </a:rPr>
            <a:t>• </a:t>
          </a:r>
          <a:r>
            <a:rPr lang="en-US" sz="1400" b="0" baseline="0">
              <a:solidFill>
                <a:schemeClr val="tx1"/>
              </a:solidFill>
              <a:latin typeface="Times New Roman" panose="02020603050405020304" pitchFamily="18" charset="0"/>
              <a:cs typeface="Times New Roman" panose="02020603050405020304" pitchFamily="18" charset="0"/>
            </a:rPr>
            <a:t>Young Adults drive the highest revenue</a:t>
          </a:r>
        </a:p>
        <a:p>
          <a:pPr algn="l"/>
          <a:endParaRPr lang="en-US" sz="1400" b="1" baseline="0">
            <a:solidFill>
              <a:schemeClr val="tx1"/>
            </a:solidFill>
            <a:latin typeface="Times New Roman" panose="02020603050405020304" pitchFamily="18" charset="0"/>
            <a:cs typeface="Times New Roman" panose="02020603050405020304" pitchFamily="18" charset="0"/>
          </a:endParaRPr>
        </a:p>
        <a:p>
          <a:pPr algn="l"/>
          <a:r>
            <a:rPr lang="en-US" sz="1400" b="1" baseline="0">
              <a:solidFill>
                <a:schemeClr val="tx1"/>
              </a:solidFill>
              <a:latin typeface="Times New Roman" panose="02020603050405020304" pitchFamily="18" charset="0"/>
              <a:cs typeface="Times New Roman" panose="02020603050405020304" pitchFamily="18" charset="0"/>
            </a:rPr>
            <a:t>•</a:t>
          </a:r>
          <a:r>
            <a:rPr lang="en-US" sz="1400" b="0" baseline="0">
              <a:solidFill>
                <a:schemeClr val="tx1"/>
              </a:solidFill>
              <a:latin typeface="Times New Roman" panose="02020603050405020304" pitchFamily="18" charset="0"/>
              <a:cs typeface="Times New Roman" panose="02020603050405020304" pitchFamily="18" charset="0"/>
            </a:rPr>
            <a:t> Female customers purchase more frequently</a:t>
          </a:r>
        </a:p>
        <a:p>
          <a:pPr algn="l"/>
          <a:endParaRPr lang="en-US" sz="1400" b="0" baseline="0">
            <a:solidFill>
              <a:schemeClr val="tx1"/>
            </a:solidFill>
            <a:latin typeface="Times New Roman" panose="02020603050405020304" pitchFamily="18" charset="0"/>
            <a:cs typeface="Times New Roman" panose="02020603050405020304" pitchFamily="18" charset="0"/>
          </a:endParaRPr>
        </a:p>
        <a:p>
          <a:pPr algn="l"/>
          <a:r>
            <a:rPr lang="en-US" sz="1400" b="0" baseline="0">
              <a:solidFill>
                <a:schemeClr val="tx1"/>
              </a:solidFill>
              <a:latin typeface="Times New Roman" panose="02020603050405020304" pitchFamily="18" charset="0"/>
              <a:cs typeface="Times New Roman" panose="02020603050405020304" pitchFamily="18" charset="0"/>
            </a:rPr>
            <a:t>• Clothing leads in sales volume</a:t>
          </a:r>
        </a:p>
        <a:p>
          <a:pPr algn="l"/>
          <a:endParaRPr lang="en-US" sz="1400" b="0" baseline="0">
            <a:solidFill>
              <a:schemeClr val="tx1"/>
            </a:solidFill>
            <a:latin typeface="Times New Roman" panose="02020603050405020304" pitchFamily="18" charset="0"/>
            <a:cs typeface="Times New Roman" panose="02020603050405020304" pitchFamily="18" charset="0"/>
          </a:endParaRPr>
        </a:p>
        <a:p>
          <a:pPr algn="l"/>
          <a:r>
            <a:rPr lang="en-US" sz="1400" b="0" baseline="0">
              <a:solidFill>
                <a:schemeClr val="tx1"/>
              </a:solidFill>
              <a:latin typeface="Times New Roman" panose="02020603050405020304" pitchFamily="18" charset="0"/>
              <a:cs typeface="Times New Roman" panose="02020603050405020304" pitchFamily="18" charset="0"/>
            </a:rPr>
            <a:t>• Electronics contibute strongly to revenue</a:t>
          </a:r>
        </a:p>
        <a:p>
          <a:pPr algn="l"/>
          <a:endParaRPr lang="en-US" sz="1400" b="0" baseline="0">
            <a:solidFill>
              <a:schemeClr val="tx1"/>
            </a:solidFill>
            <a:latin typeface="Times New Roman" panose="02020603050405020304" pitchFamily="18" charset="0"/>
            <a:cs typeface="Times New Roman" panose="02020603050405020304" pitchFamily="18" charset="0"/>
          </a:endParaRPr>
        </a:p>
        <a:p>
          <a:pPr algn="l"/>
          <a:r>
            <a:rPr lang="en-US" sz="1400" b="0" baseline="0">
              <a:solidFill>
                <a:schemeClr val="tx1"/>
              </a:solidFill>
              <a:latin typeface="Times New Roman" panose="02020603050405020304" pitchFamily="18" charset="0"/>
              <a:cs typeface="Times New Roman" panose="02020603050405020304" pitchFamily="18" charset="0"/>
            </a:rPr>
            <a:t>• Sales peak in February, July and December</a:t>
          </a:r>
        </a:p>
      </xdr:txBody>
    </xdr:sp>
    <xdr:clientData/>
  </xdr:twoCellAnchor>
  <xdr:twoCellAnchor editAs="absolute">
    <xdr:from>
      <xdr:col>0</xdr:col>
      <xdr:colOff>19050</xdr:colOff>
      <xdr:row>20</xdr:row>
      <xdr:rowOff>38099</xdr:rowOff>
    </xdr:from>
    <xdr:to>
      <xdr:col>8</xdr:col>
      <xdr:colOff>32385</xdr:colOff>
      <xdr:row>32</xdr:row>
      <xdr:rowOff>42671</xdr:rowOff>
    </xdr:to>
    <xdr:grpSp>
      <xdr:nvGrpSpPr>
        <xdr:cNvPr id="13" name="Group 12">
          <a:extLst>
            <a:ext uri="{FF2B5EF4-FFF2-40B4-BE49-F238E27FC236}">
              <a16:creationId xmlns:a16="http://schemas.microsoft.com/office/drawing/2014/main" id="{9FA735A9-5185-467A-AEDA-DCE25AE67EC7}"/>
            </a:ext>
          </a:extLst>
        </xdr:cNvPr>
        <xdr:cNvGrpSpPr/>
      </xdr:nvGrpSpPr>
      <xdr:grpSpPr>
        <a:xfrm>
          <a:off x="19050" y="3352799"/>
          <a:ext cx="5166360" cy="1947672"/>
          <a:chOff x="57150" y="990600"/>
          <a:chExt cx="4762500" cy="2952750"/>
        </a:xfrm>
        <a:solidFill>
          <a:schemeClr val="bg1"/>
        </a:solidFill>
        <a:effectLst/>
      </xdr:grpSpPr>
      <xdr:sp macro="" textlink="">
        <xdr:nvSpPr>
          <xdr:cNvPr id="14" name="Rectangle: Rounded Corners 13">
            <a:extLst>
              <a:ext uri="{FF2B5EF4-FFF2-40B4-BE49-F238E27FC236}">
                <a16:creationId xmlns:a16="http://schemas.microsoft.com/office/drawing/2014/main" id="{D3B9F34C-BFCC-0DC9-9C49-606503A0C892}"/>
              </a:ext>
            </a:extLst>
          </xdr:cNvPr>
          <xdr:cNvSpPr/>
        </xdr:nvSpPr>
        <xdr:spPr>
          <a:xfrm>
            <a:off x="57150" y="990600"/>
            <a:ext cx="4762500" cy="2952750"/>
          </a:xfrm>
          <a:prstGeom prst="roundRect">
            <a:avLst>
              <a:gd name="adj" fmla="val 5607"/>
            </a:avLst>
          </a:prstGeom>
          <a:grp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5" name="Chart 14">
            <a:extLst>
              <a:ext uri="{FF2B5EF4-FFF2-40B4-BE49-F238E27FC236}">
                <a16:creationId xmlns:a16="http://schemas.microsoft.com/office/drawing/2014/main" id="{AE35BD3F-3B70-309D-0CB3-7386FB03E9B3}"/>
              </a:ext>
            </a:extLst>
          </xdr:cNvPr>
          <xdr:cNvGraphicFramePr>
            <a:graphicFrameLocks/>
          </xdr:cNvGraphicFramePr>
        </xdr:nvGraphicFramePr>
        <xdr:xfrm>
          <a:off x="114302" y="1066800"/>
          <a:ext cx="4629150" cy="276225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editAs="absolute">
    <xdr:from>
      <xdr:col>0</xdr:col>
      <xdr:colOff>20955</xdr:colOff>
      <xdr:row>7</xdr:row>
      <xdr:rowOff>85723</xdr:rowOff>
    </xdr:from>
    <xdr:to>
      <xdr:col>8</xdr:col>
      <xdr:colOff>30480</xdr:colOff>
      <xdr:row>19</xdr:row>
      <xdr:rowOff>161923</xdr:rowOff>
    </xdr:to>
    <xdr:grpSp>
      <xdr:nvGrpSpPr>
        <xdr:cNvPr id="4" name="Group 3">
          <a:extLst>
            <a:ext uri="{FF2B5EF4-FFF2-40B4-BE49-F238E27FC236}">
              <a16:creationId xmlns:a16="http://schemas.microsoft.com/office/drawing/2014/main" id="{A76FAFFD-3978-49C6-84AB-E3B046ABCE1D}"/>
            </a:ext>
          </a:extLst>
        </xdr:cNvPr>
        <xdr:cNvGrpSpPr/>
      </xdr:nvGrpSpPr>
      <xdr:grpSpPr>
        <a:xfrm>
          <a:off x="20955" y="1295398"/>
          <a:ext cx="5162550" cy="2019300"/>
          <a:chOff x="4419600" y="3632200"/>
          <a:chExt cx="4352544" cy="2912364"/>
        </a:xfrm>
      </xdr:grpSpPr>
      <xdr:sp macro="" textlink="">
        <xdr:nvSpPr>
          <xdr:cNvPr id="5" name="Rectangle: Rounded Corners 4">
            <a:extLst>
              <a:ext uri="{FF2B5EF4-FFF2-40B4-BE49-F238E27FC236}">
                <a16:creationId xmlns:a16="http://schemas.microsoft.com/office/drawing/2014/main" id="{8A3BB006-AF8C-0BA2-E9C1-957F289BF68D}"/>
              </a:ext>
            </a:extLst>
          </xdr:cNvPr>
          <xdr:cNvSpPr/>
        </xdr:nvSpPr>
        <xdr:spPr>
          <a:xfrm>
            <a:off x="4419600" y="3632200"/>
            <a:ext cx="4352544" cy="2912364"/>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6" name="Chart 5">
            <a:extLst>
              <a:ext uri="{FF2B5EF4-FFF2-40B4-BE49-F238E27FC236}">
                <a16:creationId xmlns:a16="http://schemas.microsoft.com/office/drawing/2014/main" id="{54DA9D5B-22DE-0597-5A12-26583B66042A}"/>
              </a:ext>
            </a:extLst>
          </xdr:cNvPr>
          <xdr:cNvGraphicFramePr>
            <a:graphicFrameLocks/>
          </xdr:cNvGraphicFramePr>
        </xdr:nvGraphicFramePr>
        <xdr:xfrm>
          <a:off x="4475069" y="3710475"/>
          <a:ext cx="4241800" cy="27559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8</xdr:col>
      <xdr:colOff>69257</xdr:colOff>
      <xdr:row>20</xdr:row>
      <xdr:rowOff>52195</xdr:rowOff>
    </xdr:from>
    <xdr:to>
      <xdr:col>13</xdr:col>
      <xdr:colOff>240326</xdr:colOff>
      <xdr:row>32</xdr:row>
      <xdr:rowOff>52196</xdr:rowOff>
    </xdr:to>
    <xdr:grpSp>
      <xdr:nvGrpSpPr>
        <xdr:cNvPr id="10" name="Group 9">
          <a:extLst>
            <a:ext uri="{FF2B5EF4-FFF2-40B4-BE49-F238E27FC236}">
              <a16:creationId xmlns:a16="http://schemas.microsoft.com/office/drawing/2014/main" id="{40BAA94D-48AC-4793-8B67-B0106F3C8B1F}"/>
            </a:ext>
          </a:extLst>
        </xdr:cNvPr>
        <xdr:cNvGrpSpPr/>
      </xdr:nvGrpSpPr>
      <xdr:grpSpPr>
        <a:xfrm>
          <a:off x="5222282" y="3366895"/>
          <a:ext cx="3266694" cy="1943101"/>
          <a:chOff x="3747337" y="1853712"/>
          <a:chExt cx="3657219" cy="2304288"/>
        </a:xfrm>
      </xdr:grpSpPr>
      <xdr:sp macro="" textlink="">
        <xdr:nvSpPr>
          <xdr:cNvPr id="11" name="Rectangle: Rounded Corners 10">
            <a:extLst>
              <a:ext uri="{FF2B5EF4-FFF2-40B4-BE49-F238E27FC236}">
                <a16:creationId xmlns:a16="http://schemas.microsoft.com/office/drawing/2014/main" id="{C138A050-30DD-08A2-A1FC-7F87D57CB41D}"/>
              </a:ext>
            </a:extLst>
          </xdr:cNvPr>
          <xdr:cNvSpPr/>
        </xdr:nvSpPr>
        <xdr:spPr>
          <a:xfrm>
            <a:off x="3747337" y="1853712"/>
            <a:ext cx="3657219" cy="2304288"/>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2" name="Chart 11">
            <a:extLst>
              <a:ext uri="{FF2B5EF4-FFF2-40B4-BE49-F238E27FC236}">
                <a16:creationId xmlns:a16="http://schemas.microsoft.com/office/drawing/2014/main" id="{87217ECE-59C3-A30C-B2C4-F7504F714B38}"/>
              </a:ext>
            </a:extLst>
          </xdr:cNvPr>
          <xdr:cNvGraphicFramePr>
            <a:graphicFrameLocks/>
          </xdr:cNvGraphicFramePr>
        </xdr:nvGraphicFramePr>
        <xdr:xfrm>
          <a:off x="3796653" y="1909276"/>
          <a:ext cx="3576337" cy="2187207"/>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editAs="absolute">
    <xdr:from>
      <xdr:col>8</xdr:col>
      <xdr:colOff>69067</xdr:colOff>
      <xdr:row>7</xdr:row>
      <xdr:rowOff>85723</xdr:rowOff>
    </xdr:from>
    <xdr:to>
      <xdr:col>13</xdr:col>
      <xdr:colOff>240517</xdr:colOff>
      <xdr:row>20</xdr:row>
      <xdr:rowOff>1522</xdr:rowOff>
    </xdr:to>
    <xdr:grpSp>
      <xdr:nvGrpSpPr>
        <xdr:cNvPr id="7" name="Group 6">
          <a:extLst>
            <a:ext uri="{FF2B5EF4-FFF2-40B4-BE49-F238E27FC236}">
              <a16:creationId xmlns:a16="http://schemas.microsoft.com/office/drawing/2014/main" id="{852A3C20-1B93-4E1A-B3D8-7FCF222701E0}"/>
            </a:ext>
          </a:extLst>
        </xdr:cNvPr>
        <xdr:cNvGrpSpPr/>
      </xdr:nvGrpSpPr>
      <xdr:grpSpPr>
        <a:xfrm>
          <a:off x="5222092" y="1295398"/>
          <a:ext cx="3267075" cy="2020824"/>
          <a:chOff x="11612677" y="1140060"/>
          <a:chExt cx="3392862" cy="3017520"/>
        </a:xfrm>
      </xdr:grpSpPr>
      <xdr:sp macro="" textlink="">
        <xdr:nvSpPr>
          <xdr:cNvPr id="8" name="Rectangle: Rounded Corners 7">
            <a:extLst>
              <a:ext uri="{FF2B5EF4-FFF2-40B4-BE49-F238E27FC236}">
                <a16:creationId xmlns:a16="http://schemas.microsoft.com/office/drawing/2014/main" id="{8CEFB6DE-17CC-FE95-52CF-DAC1DEA03FC1}"/>
              </a:ext>
            </a:extLst>
          </xdr:cNvPr>
          <xdr:cNvSpPr/>
        </xdr:nvSpPr>
        <xdr:spPr>
          <a:xfrm>
            <a:off x="11612677" y="1140060"/>
            <a:ext cx="3392862" cy="3017520"/>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9" name="Chart 8">
            <a:extLst>
              <a:ext uri="{FF2B5EF4-FFF2-40B4-BE49-F238E27FC236}">
                <a16:creationId xmlns:a16="http://schemas.microsoft.com/office/drawing/2014/main" id="{EDB40A11-DBB1-0311-09C5-24A8B28DC3BB}"/>
              </a:ext>
            </a:extLst>
          </xdr:cNvPr>
          <xdr:cNvGraphicFramePr>
            <a:graphicFrameLocks/>
          </xdr:cNvGraphicFramePr>
        </xdr:nvGraphicFramePr>
        <xdr:xfrm>
          <a:off x="11693769" y="1196953"/>
          <a:ext cx="3238500" cy="2905692"/>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7</xdr:col>
      <xdr:colOff>614362</xdr:colOff>
      <xdr:row>0</xdr:row>
      <xdr:rowOff>19050</xdr:rowOff>
    </xdr:from>
    <xdr:to>
      <xdr:col>12</xdr:col>
      <xdr:colOff>395287</xdr:colOff>
      <xdr:row>1</xdr:row>
      <xdr:rowOff>133350</xdr:rowOff>
    </xdr:to>
    <xdr:sp macro="" textlink="">
      <xdr:nvSpPr>
        <xdr:cNvPr id="23" name="Rectangle: Rounded Corners 22">
          <a:extLst>
            <a:ext uri="{FF2B5EF4-FFF2-40B4-BE49-F238E27FC236}">
              <a16:creationId xmlns:a16="http://schemas.microsoft.com/office/drawing/2014/main" id="{59DAA697-7E0A-4D22-9B7C-B9094D9BA667}"/>
            </a:ext>
          </a:extLst>
        </xdr:cNvPr>
        <xdr:cNvSpPr/>
      </xdr:nvSpPr>
      <xdr:spPr>
        <a:xfrm>
          <a:off x="5148262" y="19050"/>
          <a:ext cx="2876550" cy="276225"/>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RETAIL</a:t>
          </a:r>
          <a:r>
            <a:rPr lang="en-US" sz="1600" b="1"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SALES ANALYSIS</a:t>
          </a:r>
          <a:endParaRPr lang="en-US" sz="1600" b="0" i="0" u="none" strike="noStrike">
            <a:solidFill>
              <a:schemeClr val="lt1"/>
            </a:solidFill>
            <a:effectLst/>
            <a:latin typeface="+mn-lt"/>
            <a:ea typeface="+mn-ea"/>
            <a:cs typeface="+mn-cs"/>
          </a:endParaRPr>
        </a:p>
      </xdr:txBody>
    </xdr:sp>
    <xdr:clientData/>
  </xdr:twoCellAnchor>
  <xdr:twoCellAnchor editAs="absolute">
    <xdr:from>
      <xdr:col>15</xdr:col>
      <xdr:colOff>771524</xdr:colOff>
      <xdr:row>0</xdr:row>
      <xdr:rowOff>28576</xdr:rowOff>
    </xdr:from>
    <xdr:to>
      <xdr:col>18</xdr:col>
      <xdr:colOff>476248</xdr:colOff>
      <xdr:row>1</xdr:row>
      <xdr:rowOff>76200</xdr:rowOff>
    </xdr:to>
    <xdr:sp macro="" textlink="">
      <xdr:nvSpPr>
        <xdr:cNvPr id="16" name="Rectangle: Rounded Corners 15">
          <a:extLst>
            <a:ext uri="{FF2B5EF4-FFF2-40B4-BE49-F238E27FC236}">
              <a16:creationId xmlns:a16="http://schemas.microsoft.com/office/drawing/2014/main" id="{FACDE3D4-EB39-4FA5-B7F4-7998D373DABF}"/>
            </a:ext>
          </a:extLst>
        </xdr:cNvPr>
        <xdr:cNvSpPr/>
      </xdr:nvSpPr>
      <xdr:spPr>
        <a:xfrm>
          <a:off x="10496549" y="28576"/>
          <a:ext cx="2019299" cy="209549"/>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chemeClr val="tx1"/>
              </a:solidFill>
              <a:effectLst/>
              <a:latin typeface="Times New Roman" panose="02020603050405020304" pitchFamily="18" charset="0"/>
              <a:ea typeface="+mn-ea"/>
              <a:cs typeface="Times New Roman" panose="02020603050405020304" pitchFamily="18" charset="0"/>
            </a:rPr>
            <a:t>MGBONYE WINNIFRED</a:t>
          </a:r>
          <a:r>
            <a:rPr lang="en-US" sz="900" b="1" i="0" u="none" strike="noStrike" baseline="0">
              <a:solidFill>
                <a:schemeClr val="tx1"/>
              </a:solidFill>
              <a:effectLst/>
              <a:latin typeface="Times New Roman" panose="02020603050405020304" pitchFamily="18" charset="0"/>
              <a:ea typeface="+mn-ea"/>
              <a:cs typeface="Times New Roman" panose="02020603050405020304" pitchFamily="18" charset="0"/>
            </a:rPr>
            <a:t> EBELE</a:t>
          </a:r>
          <a:endParaRPr lang="en-US" sz="900" b="1" i="0" u="none" strike="noStrike">
            <a:solidFill>
              <a:schemeClr val="tx1"/>
            </a:solidFill>
            <a:effectLst/>
            <a:latin typeface="Times New Roman" panose="02020603050405020304" pitchFamily="18" charset="0"/>
            <a:ea typeface="+mn-ea"/>
            <a:cs typeface="Times New Roman" panose="02020603050405020304" pitchFamily="18" charset="0"/>
          </a:endParaRPr>
        </a:p>
      </xdr:txBody>
    </xdr:sp>
    <xdr:clientData/>
  </xdr:twoCellAnchor>
  <xdr:twoCellAnchor editAs="absolute">
    <xdr:from>
      <xdr:col>7</xdr:col>
      <xdr:colOff>9524</xdr:colOff>
      <xdr:row>2</xdr:row>
      <xdr:rowOff>0</xdr:rowOff>
    </xdr:from>
    <xdr:to>
      <xdr:col>13</xdr:col>
      <xdr:colOff>381000</xdr:colOff>
      <xdr:row>3</xdr:row>
      <xdr:rowOff>0</xdr:rowOff>
    </xdr:to>
    <xdr:sp macro="" textlink="">
      <xdr:nvSpPr>
        <xdr:cNvPr id="51" name="Rectangle: Rounded Corners 50">
          <a:extLst>
            <a:ext uri="{FF2B5EF4-FFF2-40B4-BE49-F238E27FC236}">
              <a16:creationId xmlns:a16="http://schemas.microsoft.com/office/drawing/2014/main" id="{48FEBDA3-56F9-4B20-A063-CEDAEE9485E4}"/>
            </a:ext>
          </a:extLst>
        </xdr:cNvPr>
        <xdr:cNvSpPr/>
      </xdr:nvSpPr>
      <xdr:spPr>
        <a:xfrm>
          <a:off x="4543424" y="323850"/>
          <a:ext cx="4086226" cy="161925"/>
        </a:xfrm>
        <a:prstGeom prst="roundRect">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i="0" u="none" strike="noStrike">
              <a:solidFill>
                <a:schemeClr val="tx1"/>
              </a:solidFill>
              <a:effectLst/>
              <a:latin typeface="+mn-lt"/>
              <a:ea typeface="+mn-ea"/>
              <a:cs typeface="+mn-cs"/>
            </a:rPr>
            <a:t>An analysis of customer</a:t>
          </a:r>
          <a:r>
            <a:rPr lang="en-US" sz="1000" b="0" i="0" u="none" strike="noStrike" baseline="0">
              <a:solidFill>
                <a:schemeClr val="tx1"/>
              </a:solidFill>
              <a:effectLst/>
              <a:latin typeface="+mn-lt"/>
              <a:ea typeface="+mn-ea"/>
              <a:cs typeface="+mn-cs"/>
            </a:rPr>
            <a:t> behavior, product performance and sales trends</a:t>
          </a:r>
          <a:endParaRPr lang="en-US" sz="1000" b="0" i="0" u="none" strike="noStrike">
            <a:solidFill>
              <a:schemeClr val="tx1"/>
            </a:solidFill>
            <a:effectLst/>
            <a:latin typeface="+mn-lt"/>
            <a:ea typeface="+mn-ea"/>
            <a:cs typeface="+mn-cs"/>
          </a:endParaRPr>
        </a:p>
      </xdr:txBody>
    </xdr:sp>
    <xdr:clientData/>
  </xdr:twoCellAnchor>
  <xdr:twoCellAnchor editAs="absolute">
    <xdr:from>
      <xdr:col>16</xdr:col>
      <xdr:colOff>70771</xdr:colOff>
      <xdr:row>7</xdr:row>
      <xdr:rowOff>85723</xdr:rowOff>
    </xdr:from>
    <xdr:to>
      <xdr:col>18</xdr:col>
      <xdr:colOff>478441</xdr:colOff>
      <xdr:row>14</xdr:row>
      <xdr:rowOff>40384</xdr:rowOff>
    </xdr:to>
    <mc:AlternateContent xmlns:mc="http://schemas.openxmlformats.org/markup-compatibility/2006" xmlns:a14="http://schemas.microsoft.com/office/drawing/2010/main">
      <mc:Choice Requires="a14">
        <xdr:graphicFrame macro="">
          <xdr:nvGraphicFramePr>
            <xdr:cNvPr id="20" name="Year 1">
              <a:extLst>
                <a:ext uri="{FF2B5EF4-FFF2-40B4-BE49-F238E27FC236}">
                  <a16:creationId xmlns:a16="http://schemas.microsoft.com/office/drawing/2014/main" id="{CE80B3EE-9605-DCB2-AC9B-6BDE0AD4E54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0872121" y="1295398"/>
              <a:ext cx="1645920" cy="1088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70771</xdr:colOff>
      <xdr:row>15</xdr:row>
      <xdr:rowOff>9524</xdr:rowOff>
    </xdr:from>
    <xdr:to>
      <xdr:col>18</xdr:col>
      <xdr:colOff>478441</xdr:colOff>
      <xdr:row>21</xdr:row>
      <xdr:rowOff>126110</xdr:rowOff>
    </xdr:to>
    <mc:AlternateContent xmlns:mc="http://schemas.openxmlformats.org/markup-compatibility/2006" xmlns:a14="http://schemas.microsoft.com/office/drawing/2010/main">
      <mc:Choice Requires="a14">
        <xdr:graphicFrame macro="">
          <xdr:nvGraphicFramePr>
            <xdr:cNvPr id="21" name="Gender 1">
              <a:extLst>
                <a:ext uri="{FF2B5EF4-FFF2-40B4-BE49-F238E27FC236}">
                  <a16:creationId xmlns:a16="http://schemas.microsoft.com/office/drawing/2014/main" id="{83CA8D64-8C5E-ACF8-BE47-9E782F0A8D45}"/>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872121" y="2514599"/>
              <a:ext cx="1645920" cy="1088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69056</xdr:colOff>
      <xdr:row>22</xdr:row>
      <xdr:rowOff>95250</xdr:rowOff>
    </xdr:from>
    <xdr:to>
      <xdr:col>18</xdr:col>
      <xdr:colOff>476726</xdr:colOff>
      <xdr:row>29</xdr:row>
      <xdr:rowOff>49911</xdr:rowOff>
    </xdr:to>
    <mc:AlternateContent xmlns:mc="http://schemas.openxmlformats.org/markup-compatibility/2006" xmlns:a14="http://schemas.microsoft.com/office/drawing/2010/main">
      <mc:Choice Requires="a14">
        <xdr:graphicFrame macro="">
          <xdr:nvGraphicFramePr>
            <xdr:cNvPr id="22" name="Product_Category 1">
              <a:extLst>
                <a:ext uri="{FF2B5EF4-FFF2-40B4-BE49-F238E27FC236}">
                  <a16:creationId xmlns:a16="http://schemas.microsoft.com/office/drawing/2014/main" id="{5ADAC244-5DB0-04AE-DC8C-18FA1C64C5BC}"/>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0870406" y="3733800"/>
              <a:ext cx="1645920" cy="10881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66675</xdr:colOff>
      <xdr:row>30</xdr:row>
      <xdr:rowOff>19050</xdr:rowOff>
    </xdr:from>
    <xdr:to>
      <xdr:col>18</xdr:col>
      <xdr:colOff>476250</xdr:colOff>
      <xdr:row>32</xdr:row>
      <xdr:rowOff>28575</xdr:rowOff>
    </xdr:to>
    <xdr:sp macro="" textlink="">
      <xdr:nvSpPr>
        <xdr:cNvPr id="57" name="Rectangle: Rounded Corners 56">
          <a:hlinkClick xmlns:r="http://schemas.openxmlformats.org/officeDocument/2006/relationships" r:id="rId5"/>
          <a:extLst>
            <a:ext uri="{FF2B5EF4-FFF2-40B4-BE49-F238E27FC236}">
              <a16:creationId xmlns:a16="http://schemas.microsoft.com/office/drawing/2014/main" id="{051BC054-B490-4F2A-9A62-CAB6BFA5B598}"/>
            </a:ext>
          </a:extLst>
        </xdr:cNvPr>
        <xdr:cNvSpPr/>
      </xdr:nvSpPr>
      <xdr:spPr>
        <a:xfrm>
          <a:off x="10868025" y="4953000"/>
          <a:ext cx="1647825" cy="333375"/>
        </a:xfrm>
        <a:prstGeom prst="round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00" b="1">
              <a:solidFill>
                <a:schemeClr val="tx1"/>
              </a:solidFill>
            </a:rPr>
            <a:t>View Detailed</a:t>
          </a:r>
          <a:r>
            <a:rPr lang="en-US" sz="1000" b="1" baseline="0">
              <a:solidFill>
                <a:schemeClr val="tx1"/>
              </a:solidFill>
            </a:rPr>
            <a:t> Analysis </a:t>
          </a:r>
          <a:r>
            <a:rPr lang="en-US" sz="1000" b="1" baseline="0">
              <a:solidFill>
                <a:schemeClr val="tx1"/>
              </a:solidFill>
              <a:latin typeface="Calibri" panose="020F0502020204030204" pitchFamily="34" charset="0"/>
              <a:cs typeface="Calibri" panose="020F0502020204030204" pitchFamily="34" charset="0"/>
            </a:rPr>
            <a:t>→</a:t>
          </a:r>
          <a:endParaRPr lang="en-US" sz="1000" b="1" baseline="0">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7</xdr:col>
      <xdr:colOff>389588</xdr:colOff>
      <xdr:row>0</xdr:row>
      <xdr:rowOff>18143</xdr:rowOff>
    </xdr:from>
    <xdr:to>
      <xdr:col>15</xdr:col>
      <xdr:colOff>99593</xdr:colOff>
      <xdr:row>11</xdr:row>
      <xdr:rowOff>9253</xdr:rowOff>
    </xdr:to>
    <xdr:grpSp>
      <xdr:nvGrpSpPr>
        <xdr:cNvPr id="5" name="Group 4">
          <a:extLst>
            <a:ext uri="{FF2B5EF4-FFF2-40B4-BE49-F238E27FC236}">
              <a16:creationId xmlns:a16="http://schemas.microsoft.com/office/drawing/2014/main" id="{C3DAE588-EC44-4D6C-AE98-6D8A0F34E0E2}"/>
            </a:ext>
          </a:extLst>
        </xdr:cNvPr>
        <xdr:cNvGrpSpPr/>
      </xdr:nvGrpSpPr>
      <xdr:grpSpPr>
        <a:xfrm>
          <a:off x="4675838" y="18143"/>
          <a:ext cx="4608576" cy="1737360"/>
          <a:chOff x="0" y="4437432"/>
          <a:chExt cx="3359150" cy="3252138"/>
        </a:xfrm>
      </xdr:grpSpPr>
      <xdr:sp macro="" textlink="">
        <xdr:nvSpPr>
          <xdr:cNvPr id="6" name="Rectangle: Rounded Corners 5">
            <a:extLst>
              <a:ext uri="{FF2B5EF4-FFF2-40B4-BE49-F238E27FC236}">
                <a16:creationId xmlns:a16="http://schemas.microsoft.com/office/drawing/2014/main" id="{C333D975-5FCE-3F23-7C2D-02B1C67A3D8E}"/>
              </a:ext>
            </a:extLst>
          </xdr:cNvPr>
          <xdr:cNvSpPr/>
        </xdr:nvSpPr>
        <xdr:spPr>
          <a:xfrm>
            <a:off x="0" y="4437432"/>
            <a:ext cx="3359150" cy="3252138"/>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7" name="Chart 6">
            <a:extLst>
              <a:ext uri="{FF2B5EF4-FFF2-40B4-BE49-F238E27FC236}">
                <a16:creationId xmlns:a16="http://schemas.microsoft.com/office/drawing/2014/main" id="{EC5E8897-C1FE-7651-490F-E6F3CBDAC3ED}"/>
              </a:ext>
            </a:extLst>
          </xdr:cNvPr>
          <xdr:cNvGraphicFramePr>
            <a:graphicFrameLocks/>
          </xdr:cNvGraphicFramePr>
        </xdr:nvGraphicFramePr>
        <xdr:xfrm>
          <a:off x="41191" y="4525266"/>
          <a:ext cx="3267238" cy="307085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editAs="absolute">
    <xdr:from>
      <xdr:col>7</xdr:col>
      <xdr:colOff>389588</xdr:colOff>
      <xdr:row>11</xdr:row>
      <xdr:rowOff>57507</xdr:rowOff>
    </xdr:from>
    <xdr:to>
      <xdr:col>15</xdr:col>
      <xdr:colOff>99593</xdr:colOff>
      <xdr:row>25</xdr:row>
      <xdr:rowOff>139295</xdr:rowOff>
    </xdr:to>
    <xdr:grpSp>
      <xdr:nvGrpSpPr>
        <xdr:cNvPr id="11" name="Group 10">
          <a:extLst>
            <a:ext uri="{FF2B5EF4-FFF2-40B4-BE49-F238E27FC236}">
              <a16:creationId xmlns:a16="http://schemas.microsoft.com/office/drawing/2014/main" id="{06C3AAF7-C701-4FAA-90FF-16D7E5DFBF2A}"/>
            </a:ext>
          </a:extLst>
        </xdr:cNvPr>
        <xdr:cNvGrpSpPr/>
      </xdr:nvGrpSpPr>
      <xdr:grpSpPr>
        <a:xfrm>
          <a:off x="4675838" y="1803757"/>
          <a:ext cx="4608576" cy="2304288"/>
          <a:chOff x="6617919" y="1329591"/>
          <a:chExt cx="3331798" cy="3007692"/>
        </a:xfrm>
      </xdr:grpSpPr>
      <xdr:sp macro="" textlink="">
        <xdr:nvSpPr>
          <xdr:cNvPr id="12" name="Rectangle: Rounded Corners 11">
            <a:extLst>
              <a:ext uri="{FF2B5EF4-FFF2-40B4-BE49-F238E27FC236}">
                <a16:creationId xmlns:a16="http://schemas.microsoft.com/office/drawing/2014/main" id="{34604CD2-7702-15A2-1665-E4BE23B029C0}"/>
              </a:ext>
            </a:extLst>
          </xdr:cNvPr>
          <xdr:cNvSpPr/>
        </xdr:nvSpPr>
        <xdr:spPr>
          <a:xfrm>
            <a:off x="6617919" y="1329591"/>
            <a:ext cx="3331798" cy="3007692"/>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3" name="Chart 12">
            <a:extLst>
              <a:ext uri="{FF2B5EF4-FFF2-40B4-BE49-F238E27FC236}">
                <a16:creationId xmlns:a16="http://schemas.microsoft.com/office/drawing/2014/main" id="{E6261D73-12C9-52AA-7F66-C56EA9060B65}"/>
              </a:ext>
            </a:extLst>
          </xdr:cNvPr>
          <xdr:cNvGraphicFramePr>
            <a:graphicFrameLocks/>
          </xdr:cNvGraphicFramePr>
        </xdr:nvGraphicFramePr>
        <xdr:xfrm>
          <a:off x="6680335" y="1357944"/>
          <a:ext cx="3209615" cy="2940783"/>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7</xdr:col>
      <xdr:colOff>389588</xdr:colOff>
      <xdr:row>26</xdr:row>
      <xdr:rowOff>28799</xdr:rowOff>
    </xdr:from>
    <xdr:to>
      <xdr:col>15</xdr:col>
      <xdr:colOff>99593</xdr:colOff>
      <xdr:row>40</xdr:row>
      <xdr:rowOff>859</xdr:rowOff>
    </xdr:to>
    <xdr:grpSp>
      <xdr:nvGrpSpPr>
        <xdr:cNvPr id="17" name="Group 16">
          <a:extLst>
            <a:ext uri="{FF2B5EF4-FFF2-40B4-BE49-F238E27FC236}">
              <a16:creationId xmlns:a16="http://schemas.microsoft.com/office/drawing/2014/main" id="{3AD13569-8516-4DF5-8110-9D0840C0043A}"/>
            </a:ext>
          </a:extLst>
        </xdr:cNvPr>
        <xdr:cNvGrpSpPr/>
      </xdr:nvGrpSpPr>
      <xdr:grpSpPr>
        <a:xfrm>
          <a:off x="4675838" y="4156299"/>
          <a:ext cx="4608576" cy="2194560"/>
          <a:chOff x="8839200" y="762000"/>
          <a:chExt cx="3784600" cy="2798064"/>
        </a:xfrm>
      </xdr:grpSpPr>
      <xdr:sp macro="" textlink="">
        <xdr:nvSpPr>
          <xdr:cNvPr id="18" name="Rectangle: Rounded Corners 17">
            <a:extLst>
              <a:ext uri="{FF2B5EF4-FFF2-40B4-BE49-F238E27FC236}">
                <a16:creationId xmlns:a16="http://schemas.microsoft.com/office/drawing/2014/main" id="{78173AFB-A3DC-4E8C-8DDD-7B7156932856}"/>
              </a:ext>
            </a:extLst>
          </xdr:cNvPr>
          <xdr:cNvSpPr/>
        </xdr:nvSpPr>
        <xdr:spPr>
          <a:xfrm>
            <a:off x="8839200" y="762000"/>
            <a:ext cx="3784600" cy="2798064"/>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9" name="Chart 18">
            <a:extLst>
              <a:ext uri="{FF2B5EF4-FFF2-40B4-BE49-F238E27FC236}">
                <a16:creationId xmlns:a16="http://schemas.microsoft.com/office/drawing/2014/main" id="{D2F07F05-5485-C63F-8211-747293EA16CC}"/>
              </a:ext>
            </a:extLst>
          </xdr:cNvPr>
          <xdr:cNvGraphicFramePr>
            <a:graphicFrameLocks/>
          </xdr:cNvGraphicFramePr>
        </xdr:nvGraphicFramePr>
        <xdr:xfrm>
          <a:off x="8902700" y="812800"/>
          <a:ext cx="3644900" cy="26797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editAs="absolute">
    <xdr:from>
      <xdr:col>15</xdr:col>
      <xdr:colOff>147492</xdr:colOff>
      <xdr:row>19</xdr:row>
      <xdr:rowOff>23537</xdr:rowOff>
    </xdr:from>
    <xdr:to>
      <xdr:col>21</xdr:col>
      <xdr:colOff>385047</xdr:colOff>
      <xdr:row>40</xdr:row>
      <xdr:rowOff>859</xdr:rowOff>
    </xdr:to>
    <xdr:grpSp>
      <xdr:nvGrpSpPr>
        <xdr:cNvPr id="20" name="Group 19">
          <a:extLst>
            <a:ext uri="{FF2B5EF4-FFF2-40B4-BE49-F238E27FC236}">
              <a16:creationId xmlns:a16="http://schemas.microsoft.com/office/drawing/2014/main" id="{6297A0F4-5966-4BFD-AC69-45848F382D32}"/>
            </a:ext>
          </a:extLst>
        </xdr:cNvPr>
        <xdr:cNvGrpSpPr/>
      </xdr:nvGrpSpPr>
      <xdr:grpSpPr>
        <a:xfrm>
          <a:off x="9332313" y="3039787"/>
          <a:ext cx="3911484" cy="3311072"/>
          <a:chOff x="3282214" y="1288074"/>
          <a:chExt cx="4064489" cy="3007692"/>
        </a:xfrm>
      </xdr:grpSpPr>
      <xdr:sp macro="" textlink="">
        <xdr:nvSpPr>
          <xdr:cNvPr id="21" name="Rectangle: Rounded Corners 20">
            <a:extLst>
              <a:ext uri="{FF2B5EF4-FFF2-40B4-BE49-F238E27FC236}">
                <a16:creationId xmlns:a16="http://schemas.microsoft.com/office/drawing/2014/main" id="{88FD0BA4-8BA1-1F42-019E-87B3325865F4}"/>
              </a:ext>
            </a:extLst>
          </xdr:cNvPr>
          <xdr:cNvSpPr/>
        </xdr:nvSpPr>
        <xdr:spPr>
          <a:xfrm>
            <a:off x="3282214" y="1288074"/>
            <a:ext cx="4064489" cy="3007692"/>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2" name="Chart 21">
            <a:extLst>
              <a:ext uri="{FF2B5EF4-FFF2-40B4-BE49-F238E27FC236}">
                <a16:creationId xmlns:a16="http://schemas.microsoft.com/office/drawing/2014/main" id="{A4EFB7EF-DCD9-CA79-4815-392CB07F3B18}"/>
              </a:ext>
            </a:extLst>
          </xdr:cNvPr>
          <xdr:cNvGraphicFramePr>
            <a:graphicFrameLocks/>
          </xdr:cNvGraphicFramePr>
        </xdr:nvGraphicFramePr>
        <xdr:xfrm>
          <a:off x="3381375" y="1365250"/>
          <a:ext cx="3889375" cy="2873375"/>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15</xdr:col>
      <xdr:colOff>146418</xdr:colOff>
      <xdr:row>0</xdr:row>
      <xdr:rowOff>18143</xdr:rowOff>
    </xdr:from>
    <xdr:to>
      <xdr:col>21</xdr:col>
      <xdr:colOff>386121</xdr:colOff>
      <xdr:row>18</xdr:row>
      <xdr:rowOff>136071</xdr:rowOff>
    </xdr:to>
    <xdr:grpSp>
      <xdr:nvGrpSpPr>
        <xdr:cNvPr id="23" name="Group 22">
          <a:extLst>
            <a:ext uri="{FF2B5EF4-FFF2-40B4-BE49-F238E27FC236}">
              <a16:creationId xmlns:a16="http://schemas.microsoft.com/office/drawing/2014/main" id="{B5782F80-DD41-4F89-986B-A559D45C4000}"/>
            </a:ext>
          </a:extLst>
        </xdr:cNvPr>
        <xdr:cNvGrpSpPr/>
      </xdr:nvGrpSpPr>
      <xdr:grpSpPr>
        <a:xfrm>
          <a:off x="9331239" y="18143"/>
          <a:ext cx="3913632" cy="2975428"/>
          <a:chOff x="14854089" y="1201616"/>
          <a:chExt cx="3287374" cy="3054096"/>
        </a:xfrm>
      </xdr:grpSpPr>
      <xdr:sp macro="" textlink="">
        <xdr:nvSpPr>
          <xdr:cNvPr id="24" name="Rectangle: Rounded Corners 23">
            <a:extLst>
              <a:ext uri="{FF2B5EF4-FFF2-40B4-BE49-F238E27FC236}">
                <a16:creationId xmlns:a16="http://schemas.microsoft.com/office/drawing/2014/main" id="{B4A3D1EF-AF23-9626-0401-F82A23363BA4}"/>
              </a:ext>
            </a:extLst>
          </xdr:cNvPr>
          <xdr:cNvSpPr/>
        </xdr:nvSpPr>
        <xdr:spPr>
          <a:xfrm>
            <a:off x="14854089" y="1201616"/>
            <a:ext cx="3287374" cy="3054096"/>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5" name="Chart 24">
            <a:extLst>
              <a:ext uri="{FF2B5EF4-FFF2-40B4-BE49-F238E27FC236}">
                <a16:creationId xmlns:a16="http://schemas.microsoft.com/office/drawing/2014/main" id="{D84D656E-4C8C-71A8-3161-4A8379DCD148}"/>
              </a:ext>
            </a:extLst>
          </xdr:cNvPr>
          <xdr:cNvGraphicFramePr>
            <a:graphicFrameLocks/>
          </xdr:cNvGraphicFramePr>
        </xdr:nvGraphicFramePr>
        <xdr:xfrm>
          <a:off x="14893455" y="1269276"/>
          <a:ext cx="3208441" cy="2916603"/>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absolute">
    <xdr:from>
      <xdr:col>21</xdr:col>
      <xdr:colOff>432945</xdr:colOff>
      <xdr:row>0</xdr:row>
      <xdr:rowOff>18143</xdr:rowOff>
    </xdr:from>
    <xdr:to>
      <xdr:col>24</xdr:col>
      <xdr:colOff>241901</xdr:colOff>
      <xdr:row>5</xdr:row>
      <xdr:rowOff>49893</xdr:rowOff>
    </xdr:to>
    <mc:AlternateContent xmlns:mc="http://schemas.openxmlformats.org/markup-compatibility/2006" xmlns:a14="http://schemas.microsoft.com/office/drawing/2010/main">
      <mc:Choice Requires="a14">
        <xdr:graphicFrame macro="">
          <xdr:nvGraphicFramePr>
            <xdr:cNvPr id="26" name="Year 2">
              <a:extLst>
                <a:ext uri="{FF2B5EF4-FFF2-40B4-BE49-F238E27FC236}">
                  <a16:creationId xmlns:a16="http://schemas.microsoft.com/office/drawing/2014/main" id="{7C8015FA-4989-7D46-EAAA-4B7C9BB87ABD}"/>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3291695" y="18143"/>
              <a:ext cx="1645920" cy="825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432945</xdr:colOff>
      <xdr:row>30</xdr:row>
      <xdr:rowOff>79930</xdr:rowOff>
    </xdr:from>
    <xdr:to>
      <xdr:col>24</xdr:col>
      <xdr:colOff>241901</xdr:colOff>
      <xdr:row>40</xdr:row>
      <xdr:rowOff>9628</xdr:rowOff>
    </xdr:to>
    <mc:AlternateContent xmlns:mc="http://schemas.openxmlformats.org/markup-compatibility/2006" xmlns:a14="http://schemas.microsoft.com/office/drawing/2010/main">
      <mc:Choice Requires="a14">
        <xdr:graphicFrame macro="">
          <xdr:nvGraphicFramePr>
            <xdr:cNvPr id="27" name="Age_Group 1">
              <a:extLst>
                <a:ext uri="{FF2B5EF4-FFF2-40B4-BE49-F238E27FC236}">
                  <a16:creationId xmlns:a16="http://schemas.microsoft.com/office/drawing/2014/main" id="{902DCA13-2A8D-C64C-E9B7-FEAD895DAF63}"/>
                </a:ext>
              </a:extLst>
            </xdr:cNvPr>
            <xdr:cNvGraphicFramePr/>
          </xdr:nvGraphicFramePr>
          <xdr:xfrm>
            <a:off x="0" y="0"/>
            <a:ext cx="0" cy="0"/>
          </xdr:xfrm>
          <a:graphic>
            <a:graphicData uri="http://schemas.microsoft.com/office/drawing/2010/slicer">
              <sle:slicer xmlns:sle="http://schemas.microsoft.com/office/drawing/2010/slicer" name="Age_Group 1"/>
            </a:graphicData>
          </a:graphic>
        </xdr:graphicFrame>
      </mc:Choice>
      <mc:Fallback xmlns="">
        <xdr:sp macro="" textlink="">
          <xdr:nvSpPr>
            <xdr:cNvPr id="0" name=""/>
            <xdr:cNvSpPr>
              <a:spLocks noTextEdit="1"/>
            </xdr:cNvSpPr>
          </xdr:nvSpPr>
          <xdr:spPr>
            <a:xfrm>
              <a:off x="13291695" y="4842430"/>
              <a:ext cx="1645920" cy="15171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432945</xdr:colOff>
      <xdr:row>5</xdr:row>
      <xdr:rowOff>112825</xdr:rowOff>
    </xdr:from>
    <xdr:to>
      <xdr:col>24</xdr:col>
      <xdr:colOff>241901</xdr:colOff>
      <xdr:row>12</xdr:row>
      <xdr:rowOff>56128</xdr:rowOff>
    </xdr:to>
    <mc:AlternateContent xmlns:mc="http://schemas.openxmlformats.org/markup-compatibility/2006" xmlns:a14="http://schemas.microsoft.com/office/drawing/2010/main">
      <mc:Choice Requires="a14">
        <xdr:graphicFrame macro="">
          <xdr:nvGraphicFramePr>
            <xdr:cNvPr id="28" name="Product_Category 2">
              <a:extLst>
                <a:ext uri="{FF2B5EF4-FFF2-40B4-BE49-F238E27FC236}">
                  <a16:creationId xmlns:a16="http://schemas.microsoft.com/office/drawing/2014/main" id="{B7234E59-0F6E-876C-BFA0-AEC3C135F083}"/>
                </a:ext>
              </a:extLst>
            </xdr:cNvPr>
            <xdr:cNvGraphicFramePr/>
          </xdr:nvGraphicFramePr>
          <xdr:xfrm>
            <a:off x="0" y="0"/>
            <a:ext cx="0" cy="0"/>
          </xdr:xfrm>
          <a:graphic>
            <a:graphicData uri="http://schemas.microsoft.com/office/drawing/2010/slicer">
              <sle:slicer xmlns:sle="http://schemas.microsoft.com/office/drawing/2010/slicer" name="Product_Category 2"/>
            </a:graphicData>
          </a:graphic>
        </xdr:graphicFrame>
      </mc:Choice>
      <mc:Fallback xmlns="">
        <xdr:sp macro="" textlink="">
          <xdr:nvSpPr>
            <xdr:cNvPr id="0" name=""/>
            <xdr:cNvSpPr>
              <a:spLocks noTextEdit="1"/>
            </xdr:cNvSpPr>
          </xdr:nvSpPr>
          <xdr:spPr>
            <a:xfrm>
              <a:off x="13291695" y="906575"/>
              <a:ext cx="1645920" cy="10545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432945</xdr:colOff>
      <xdr:row>12</xdr:row>
      <xdr:rowOff>119060</xdr:rowOff>
    </xdr:from>
    <xdr:to>
      <xdr:col>24</xdr:col>
      <xdr:colOff>241901</xdr:colOff>
      <xdr:row>30</xdr:row>
      <xdr:rowOff>0</xdr:rowOff>
    </xdr:to>
    <mc:AlternateContent xmlns:mc="http://schemas.openxmlformats.org/markup-compatibility/2006" xmlns:a14="http://schemas.microsoft.com/office/drawing/2010/main">
      <mc:Choice Requires="a14">
        <xdr:graphicFrame macro="">
          <xdr:nvGraphicFramePr>
            <xdr:cNvPr id="29" name="Month_Name 1">
              <a:extLst>
                <a:ext uri="{FF2B5EF4-FFF2-40B4-BE49-F238E27FC236}">
                  <a16:creationId xmlns:a16="http://schemas.microsoft.com/office/drawing/2014/main" id="{22980CCD-1BF4-8F82-879D-56A33031A30F}"/>
                </a:ext>
              </a:extLst>
            </xdr:cNvPr>
            <xdr:cNvGraphicFramePr/>
          </xdr:nvGraphicFramePr>
          <xdr:xfrm>
            <a:off x="0" y="0"/>
            <a:ext cx="0" cy="0"/>
          </xdr:xfrm>
          <a:graphic>
            <a:graphicData uri="http://schemas.microsoft.com/office/drawing/2010/slicer">
              <sle:slicer xmlns:sle="http://schemas.microsoft.com/office/drawing/2010/slicer" name="Month_Name 1"/>
            </a:graphicData>
          </a:graphic>
        </xdr:graphicFrame>
      </mc:Choice>
      <mc:Fallback xmlns="">
        <xdr:sp macro="" textlink="">
          <xdr:nvSpPr>
            <xdr:cNvPr id="0" name=""/>
            <xdr:cNvSpPr>
              <a:spLocks noTextEdit="1"/>
            </xdr:cNvSpPr>
          </xdr:nvSpPr>
          <xdr:spPr>
            <a:xfrm>
              <a:off x="13291695" y="2024060"/>
              <a:ext cx="1645920" cy="27384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21914</xdr:colOff>
      <xdr:row>2</xdr:row>
      <xdr:rowOff>75130</xdr:rowOff>
    </xdr:from>
    <xdr:to>
      <xdr:col>7</xdr:col>
      <xdr:colOff>341286</xdr:colOff>
      <xdr:row>11</xdr:row>
      <xdr:rowOff>29773</xdr:rowOff>
    </xdr:to>
    <xdr:grpSp>
      <xdr:nvGrpSpPr>
        <xdr:cNvPr id="2" name="Group 1">
          <a:extLst>
            <a:ext uri="{FF2B5EF4-FFF2-40B4-BE49-F238E27FC236}">
              <a16:creationId xmlns:a16="http://schemas.microsoft.com/office/drawing/2014/main" id="{ABCBB765-D22F-42A2-96BD-AD1DBFAF361B}"/>
            </a:ext>
          </a:extLst>
        </xdr:cNvPr>
        <xdr:cNvGrpSpPr/>
      </xdr:nvGrpSpPr>
      <xdr:grpSpPr>
        <a:xfrm>
          <a:off x="21914" y="392630"/>
          <a:ext cx="4605622" cy="1383393"/>
          <a:chOff x="8813800" y="749300"/>
          <a:chExt cx="2921000" cy="2834640"/>
        </a:xfrm>
      </xdr:grpSpPr>
      <xdr:sp macro="" textlink="">
        <xdr:nvSpPr>
          <xdr:cNvPr id="3" name="Rectangle: Rounded Corners 2">
            <a:extLst>
              <a:ext uri="{FF2B5EF4-FFF2-40B4-BE49-F238E27FC236}">
                <a16:creationId xmlns:a16="http://schemas.microsoft.com/office/drawing/2014/main" id="{90C08C9B-AD64-97BD-A842-3AB344C21C07}"/>
              </a:ext>
            </a:extLst>
          </xdr:cNvPr>
          <xdr:cNvSpPr/>
        </xdr:nvSpPr>
        <xdr:spPr>
          <a:xfrm>
            <a:off x="8813800" y="749300"/>
            <a:ext cx="2921000" cy="2834640"/>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 name="Chart 3">
            <a:extLst>
              <a:ext uri="{FF2B5EF4-FFF2-40B4-BE49-F238E27FC236}">
                <a16:creationId xmlns:a16="http://schemas.microsoft.com/office/drawing/2014/main" id="{760AC2E0-9566-9EFA-A07C-D2B9ED7E1ED5}"/>
              </a:ext>
            </a:extLst>
          </xdr:cNvPr>
          <xdr:cNvGraphicFramePr>
            <a:graphicFrameLocks/>
          </xdr:cNvGraphicFramePr>
        </xdr:nvGraphicFramePr>
        <xdr:xfrm>
          <a:off x="8864601" y="825498"/>
          <a:ext cx="2826566" cy="2698382"/>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absolute">
    <xdr:from>
      <xdr:col>0</xdr:col>
      <xdr:colOff>20437</xdr:colOff>
      <xdr:row>11</xdr:row>
      <xdr:rowOff>70885</xdr:rowOff>
    </xdr:from>
    <xdr:to>
      <xdr:col>7</xdr:col>
      <xdr:colOff>342763</xdr:colOff>
      <xdr:row>25</xdr:row>
      <xdr:rowOff>150258</xdr:rowOff>
    </xdr:to>
    <xdr:grpSp>
      <xdr:nvGrpSpPr>
        <xdr:cNvPr id="8" name="Group 7">
          <a:extLst>
            <a:ext uri="{FF2B5EF4-FFF2-40B4-BE49-F238E27FC236}">
              <a16:creationId xmlns:a16="http://schemas.microsoft.com/office/drawing/2014/main" id="{ACC18BBB-3774-45ED-9D9B-3F29B01FEFD4}"/>
            </a:ext>
          </a:extLst>
        </xdr:cNvPr>
        <xdr:cNvGrpSpPr/>
      </xdr:nvGrpSpPr>
      <xdr:grpSpPr>
        <a:xfrm>
          <a:off x="20437" y="1817135"/>
          <a:ext cx="4608576" cy="2301873"/>
          <a:chOff x="7562360" y="4372703"/>
          <a:chExt cx="4149969" cy="2680677"/>
        </a:xfrm>
      </xdr:grpSpPr>
      <xdr:sp macro="" textlink="">
        <xdr:nvSpPr>
          <xdr:cNvPr id="9" name="Rectangle: Rounded Corners 8">
            <a:extLst>
              <a:ext uri="{FF2B5EF4-FFF2-40B4-BE49-F238E27FC236}">
                <a16:creationId xmlns:a16="http://schemas.microsoft.com/office/drawing/2014/main" id="{06662002-DDFE-B997-FB0D-52AC27109889}"/>
              </a:ext>
            </a:extLst>
          </xdr:cNvPr>
          <xdr:cNvSpPr/>
        </xdr:nvSpPr>
        <xdr:spPr>
          <a:xfrm>
            <a:off x="7562360" y="4372703"/>
            <a:ext cx="4149969" cy="2680677"/>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0" name="Chart 9">
            <a:extLst>
              <a:ext uri="{FF2B5EF4-FFF2-40B4-BE49-F238E27FC236}">
                <a16:creationId xmlns:a16="http://schemas.microsoft.com/office/drawing/2014/main" id="{293FEB33-3749-8CCF-EEBE-42A72BC7AD77}"/>
              </a:ext>
            </a:extLst>
          </xdr:cNvPr>
          <xdr:cNvGraphicFramePr>
            <a:graphicFrameLocks/>
          </xdr:cNvGraphicFramePr>
        </xdr:nvGraphicFramePr>
        <xdr:xfrm>
          <a:off x="7620277" y="4410637"/>
          <a:ext cx="4026526" cy="2601794"/>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editAs="absolute">
    <xdr:from>
      <xdr:col>0</xdr:col>
      <xdr:colOff>20437</xdr:colOff>
      <xdr:row>26</xdr:row>
      <xdr:rowOff>32620</xdr:rowOff>
    </xdr:from>
    <xdr:to>
      <xdr:col>7</xdr:col>
      <xdr:colOff>342763</xdr:colOff>
      <xdr:row>40</xdr:row>
      <xdr:rowOff>859</xdr:rowOff>
    </xdr:to>
    <xdr:grpSp>
      <xdr:nvGrpSpPr>
        <xdr:cNvPr id="14" name="Group 13">
          <a:extLst>
            <a:ext uri="{FF2B5EF4-FFF2-40B4-BE49-F238E27FC236}">
              <a16:creationId xmlns:a16="http://schemas.microsoft.com/office/drawing/2014/main" id="{82D4ED83-3700-470B-A24D-E3AF93E6E15B}"/>
            </a:ext>
          </a:extLst>
        </xdr:cNvPr>
        <xdr:cNvGrpSpPr/>
      </xdr:nvGrpSpPr>
      <xdr:grpSpPr>
        <a:xfrm>
          <a:off x="20437" y="4160120"/>
          <a:ext cx="4608576" cy="2190739"/>
          <a:chOff x="11671300" y="723900"/>
          <a:chExt cx="3314700" cy="2861564"/>
        </a:xfrm>
      </xdr:grpSpPr>
      <xdr:sp macro="" textlink="">
        <xdr:nvSpPr>
          <xdr:cNvPr id="15" name="Rectangle: Rounded Corners 14">
            <a:extLst>
              <a:ext uri="{FF2B5EF4-FFF2-40B4-BE49-F238E27FC236}">
                <a16:creationId xmlns:a16="http://schemas.microsoft.com/office/drawing/2014/main" id="{72CF0529-ED26-561F-3926-392369C2D088}"/>
              </a:ext>
            </a:extLst>
          </xdr:cNvPr>
          <xdr:cNvSpPr/>
        </xdr:nvSpPr>
        <xdr:spPr>
          <a:xfrm>
            <a:off x="11671300" y="723900"/>
            <a:ext cx="3314700" cy="2861564"/>
          </a:xfrm>
          <a:prstGeom prst="roundRect">
            <a:avLst>
              <a:gd name="adj" fmla="val 5607"/>
            </a:avLst>
          </a:prstGeom>
          <a:solidFill>
            <a:schemeClr val="bg1"/>
          </a:solidFill>
          <a:ln>
            <a:solidFill>
              <a:schemeClr val="tx1">
                <a:lumMod val="50000"/>
                <a:lumOff val="5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6" name="Chart 15">
            <a:extLst>
              <a:ext uri="{FF2B5EF4-FFF2-40B4-BE49-F238E27FC236}">
                <a16:creationId xmlns:a16="http://schemas.microsoft.com/office/drawing/2014/main" id="{D8054D6F-2E77-61D6-6C27-F96F69E366BC}"/>
              </a:ext>
            </a:extLst>
          </xdr:cNvPr>
          <xdr:cNvGraphicFramePr>
            <a:graphicFrameLocks/>
          </xdr:cNvGraphicFramePr>
        </xdr:nvGraphicFramePr>
        <xdr:xfrm>
          <a:off x="11723442" y="776696"/>
          <a:ext cx="3197646" cy="2755901"/>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editAs="absolute">
    <xdr:from>
      <xdr:col>0</xdr:col>
      <xdr:colOff>91812</xdr:colOff>
      <xdr:row>0</xdr:row>
      <xdr:rowOff>18143</xdr:rowOff>
    </xdr:from>
    <xdr:to>
      <xdr:col>2</xdr:col>
      <xdr:colOff>514994</xdr:colOff>
      <xdr:row>2</xdr:row>
      <xdr:rowOff>34018</xdr:rowOff>
    </xdr:to>
    <xdr:sp macro="" textlink="">
      <xdr:nvSpPr>
        <xdr:cNvPr id="38" name="Rectangle: Rounded Corners 37">
          <a:hlinkClick xmlns:r="http://schemas.openxmlformats.org/officeDocument/2006/relationships" r:id="rId9"/>
          <a:extLst>
            <a:ext uri="{FF2B5EF4-FFF2-40B4-BE49-F238E27FC236}">
              <a16:creationId xmlns:a16="http://schemas.microsoft.com/office/drawing/2014/main" id="{A2F0571F-6330-41D3-B716-D00632197D4F}"/>
            </a:ext>
          </a:extLst>
        </xdr:cNvPr>
        <xdr:cNvSpPr/>
      </xdr:nvSpPr>
      <xdr:spPr>
        <a:xfrm>
          <a:off x="91812" y="18143"/>
          <a:ext cx="1647825" cy="333375"/>
        </a:xfrm>
        <a:prstGeom prst="roundRect">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baseline="0">
              <a:solidFill>
                <a:schemeClr val="tx1"/>
              </a:solidFill>
              <a:latin typeface="Calibri" panose="020F0502020204030204" pitchFamily="34" charset="0"/>
              <a:cs typeface="Calibri" panose="020F0502020204030204" pitchFamily="34" charset="0"/>
            </a:rPr>
            <a:t>← Back to Overview</a:t>
          </a:r>
          <a:endParaRPr lang="en-US" sz="1200" b="1" baseline="0">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30.292129050926" createdVersion="8" refreshedVersion="8" minRefreshableVersion="3" recordCount="1000" xr:uid="{CF5A86B6-C31E-477B-8ACB-CD2A7E24C158}">
  <cacheSource type="worksheet">
    <worksheetSource name="Table3"/>
  </cacheSource>
  <cacheFields count="14">
    <cacheField name="Transaction ID" numFmtId="1">
      <sharedItems containsSemiMixedTypes="0" containsString="0" containsNumber="1" containsInteger="1" minValue="1" maxValue="1000"/>
    </cacheField>
    <cacheField name="Date" numFmtId="14">
      <sharedItems containsSemiMixedTypes="0" containsNonDate="0" containsDate="1" containsString="0" minDate="2023-01-01T00:00:00" maxDate="2024-01-02T00:00:00"/>
    </cacheField>
    <cacheField name="Month_Name" numFmtId="49">
      <sharedItems count="12">
        <s v="Jan"/>
        <s v="Feb"/>
        <s v="Mar"/>
        <s v="Apr"/>
        <s v="May"/>
        <s v="Jun"/>
        <s v="Jul"/>
        <s v="Aug"/>
        <s v="Sep"/>
        <s v="Oct"/>
        <s v="Nov"/>
        <s v="Dec"/>
      </sharedItems>
    </cacheField>
    <cacheField name="Month_Number" numFmtId="1">
      <sharedItems containsSemiMixedTypes="0" containsString="0" containsNumber="1" containsInteger="1" minValue="1" maxValue="12"/>
    </cacheField>
    <cacheField name="Year" numFmtId="1">
      <sharedItems containsSemiMixedTypes="0" containsString="0" containsNumber="1" containsInteger="1" minValue="2023" maxValue="2024" count="2">
        <n v="2023"/>
        <n v="2024"/>
      </sharedItems>
    </cacheField>
    <cacheField name="Customer_ID" numFmtId="49">
      <sharedItems/>
    </cacheField>
    <cacheField name="Gender" numFmtId="49">
      <sharedItems count="2">
        <s v="Male"/>
        <s v="Female"/>
      </sharedItems>
    </cacheField>
    <cacheField name="Age" numFmtId="1">
      <sharedItems containsSemiMixedTypes="0" containsString="0" containsNumber="1" containsInteger="1" minValue="18" maxValue="64"/>
    </cacheField>
    <cacheField name="Age_Group" numFmtId="49">
      <sharedItems count="5">
        <s v="Adults"/>
        <s v="Seniors"/>
        <s v="Elderly"/>
        <s v="Young Adults"/>
        <s v="Teenagers"/>
      </sharedItems>
    </cacheField>
    <cacheField name="Product_Category" numFmtId="49">
      <sharedItems count="3">
        <s v="Clothing"/>
        <s v="Beauty"/>
        <s v="Electronics"/>
      </sharedItems>
    </cacheField>
    <cacheField name="Quantity" numFmtId="1">
      <sharedItems containsSemiMixedTypes="0" containsString="0" containsNumber="1" containsInteger="1" minValue="1" maxValue="4"/>
    </cacheField>
    <cacheField name="Quantity_Category" numFmtId="49">
      <sharedItems count="4">
        <s v="Medium Order"/>
        <s v="Bulk Order"/>
        <s v="Single Order"/>
        <s v="Small Order"/>
      </sharedItems>
    </cacheField>
    <cacheField name="Price_Per_Unit" numFmtId="44">
      <sharedItems containsSemiMixedTypes="0" containsString="0" containsNumber="1" containsInteger="1" minValue="25" maxValue="500"/>
    </cacheField>
    <cacheField name="Total_Amount" numFmtId="44">
      <sharedItems containsSemiMixedTypes="0" containsString="0" containsNumber="1" containsInteger="1" minValue="25" maxValue="2000"/>
    </cacheField>
  </cacheFields>
  <extLst>
    <ext xmlns:x14="http://schemas.microsoft.com/office/spreadsheetml/2009/9/main" uri="{725AE2AE-9491-48be-B2B4-4EB974FC3084}">
      <x14:pivotCacheDefinition pivotCacheId="5430265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d v="2023-01-01T00:00:00"/>
    <x v="0"/>
    <n v="1"/>
    <x v="0"/>
    <s v="CUST180"/>
    <x v="0"/>
    <n v="41"/>
    <x v="0"/>
    <x v="0"/>
    <n v="3"/>
    <x v="0"/>
    <n v="300"/>
    <n v="900"/>
  </r>
  <r>
    <n v="2"/>
    <d v="2023-01-01T00:00:00"/>
    <x v="0"/>
    <n v="1"/>
    <x v="0"/>
    <s v="CUST522"/>
    <x v="0"/>
    <n v="46"/>
    <x v="1"/>
    <x v="1"/>
    <n v="3"/>
    <x v="0"/>
    <n v="500"/>
    <n v="1500"/>
  </r>
  <r>
    <n v="3"/>
    <d v="2023-01-01T00:00:00"/>
    <x v="0"/>
    <n v="1"/>
    <x v="0"/>
    <s v="CUST559"/>
    <x v="1"/>
    <n v="40"/>
    <x v="0"/>
    <x v="0"/>
    <n v="4"/>
    <x v="1"/>
    <n v="300"/>
    <n v="1200"/>
  </r>
  <r>
    <n v="4"/>
    <d v="2023-01-02T00:00:00"/>
    <x v="0"/>
    <n v="1"/>
    <x v="0"/>
    <s v="CUST163"/>
    <x v="1"/>
    <n v="64"/>
    <x v="2"/>
    <x v="0"/>
    <n v="3"/>
    <x v="0"/>
    <n v="50"/>
    <n v="150"/>
  </r>
  <r>
    <n v="5"/>
    <d v="2023-01-02T00:00:00"/>
    <x v="0"/>
    <n v="1"/>
    <x v="0"/>
    <s v="CUST303"/>
    <x v="0"/>
    <n v="19"/>
    <x v="3"/>
    <x v="2"/>
    <n v="3"/>
    <x v="0"/>
    <n v="30"/>
    <n v="90"/>
  </r>
  <r>
    <n v="6"/>
    <d v="2023-01-02T00:00:00"/>
    <x v="0"/>
    <n v="1"/>
    <x v="0"/>
    <s v="CUST421"/>
    <x v="1"/>
    <n v="37"/>
    <x v="0"/>
    <x v="0"/>
    <n v="3"/>
    <x v="0"/>
    <n v="500"/>
    <n v="1500"/>
  </r>
  <r>
    <n v="7"/>
    <d v="2023-01-02T00:00:00"/>
    <x v="0"/>
    <n v="1"/>
    <x v="0"/>
    <s v="CUST979"/>
    <x v="1"/>
    <n v="19"/>
    <x v="3"/>
    <x v="1"/>
    <n v="1"/>
    <x v="2"/>
    <n v="25"/>
    <n v="25"/>
  </r>
  <r>
    <n v="8"/>
    <d v="2023-01-03T00:00:00"/>
    <x v="0"/>
    <n v="1"/>
    <x v="0"/>
    <s v="CUST610"/>
    <x v="1"/>
    <n v="26"/>
    <x v="3"/>
    <x v="1"/>
    <n v="2"/>
    <x v="3"/>
    <n v="300"/>
    <n v="600"/>
  </r>
  <r>
    <n v="9"/>
    <d v="2023-01-04T00:00:00"/>
    <x v="0"/>
    <n v="1"/>
    <x v="0"/>
    <s v="CUST032"/>
    <x v="0"/>
    <n v="30"/>
    <x v="3"/>
    <x v="1"/>
    <n v="3"/>
    <x v="0"/>
    <n v="30"/>
    <n v="90"/>
  </r>
  <r>
    <n v="10"/>
    <d v="2023-01-04T00:00:00"/>
    <x v="0"/>
    <n v="1"/>
    <x v="0"/>
    <s v="CUST231"/>
    <x v="1"/>
    <n v="23"/>
    <x v="3"/>
    <x v="0"/>
    <n v="3"/>
    <x v="0"/>
    <n v="50"/>
    <n v="150"/>
  </r>
  <r>
    <n v="11"/>
    <d v="2023-01-04T00:00:00"/>
    <x v="0"/>
    <n v="1"/>
    <x v="0"/>
    <s v="CUST683"/>
    <x v="0"/>
    <n v="38"/>
    <x v="0"/>
    <x v="1"/>
    <n v="2"/>
    <x v="3"/>
    <n v="500"/>
    <n v="1000"/>
  </r>
  <r>
    <n v="12"/>
    <d v="2023-01-05T00:00:00"/>
    <x v="0"/>
    <n v="1"/>
    <x v="0"/>
    <s v="CUST367"/>
    <x v="1"/>
    <n v="57"/>
    <x v="2"/>
    <x v="2"/>
    <n v="1"/>
    <x v="2"/>
    <n v="50"/>
    <n v="50"/>
  </r>
  <r>
    <n v="13"/>
    <d v="2023-01-05T00:00:00"/>
    <x v="0"/>
    <n v="1"/>
    <x v="0"/>
    <s v="CUST391"/>
    <x v="0"/>
    <n v="19"/>
    <x v="3"/>
    <x v="1"/>
    <n v="2"/>
    <x v="3"/>
    <n v="25"/>
    <n v="50"/>
  </r>
  <r>
    <n v="14"/>
    <d v="2023-01-05T00:00:00"/>
    <x v="0"/>
    <n v="1"/>
    <x v="0"/>
    <s v="CUST432"/>
    <x v="1"/>
    <n v="60"/>
    <x v="2"/>
    <x v="2"/>
    <n v="2"/>
    <x v="3"/>
    <n v="500"/>
    <n v="1000"/>
  </r>
  <r>
    <n v="15"/>
    <d v="2023-01-06T00:00:00"/>
    <x v="0"/>
    <n v="1"/>
    <x v="0"/>
    <s v="CUST150"/>
    <x v="1"/>
    <n v="58"/>
    <x v="2"/>
    <x v="2"/>
    <n v="4"/>
    <x v="1"/>
    <n v="30"/>
    <n v="120"/>
  </r>
  <r>
    <n v="16"/>
    <d v="2023-01-06T00:00:00"/>
    <x v="0"/>
    <n v="1"/>
    <x v="1"/>
    <s v="CUST845"/>
    <x v="0"/>
    <n v="54"/>
    <x v="1"/>
    <x v="0"/>
    <n v="1"/>
    <x v="2"/>
    <n v="500"/>
    <n v="500"/>
  </r>
  <r>
    <n v="17"/>
    <d v="2023-01-07T00:00:00"/>
    <x v="0"/>
    <n v="1"/>
    <x v="0"/>
    <s v="CUST797"/>
    <x v="0"/>
    <n v="40"/>
    <x v="0"/>
    <x v="0"/>
    <n v="3"/>
    <x v="0"/>
    <n v="25"/>
    <n v="75"/>
  </r>
  <r>
    <n v="18"/>
    <d v="2023-01-07T00:00:00"/>
    <x v="0"/>
    <n v="1"/>
    <x v="0"/>
    <s v="CUST921"/>
    <x v="0"/>
    <n v="51"/>
    <x v="1"/>
    <x v="2"/>
    <n v="3"/>
    <x v="0"/>
    <n v="25"/>
    <n v="75"/>
  </r>
  <r>
    <n v="19"/>
    <d v="2023-01-08T00:00:00"/>
    <x v="0"/>
    <n v="1"/>
    <x v="0"/>
    <s v="CUST291"/>
    <x v="0"/>
    <n v="60"/>
    <x v="2"/>
    <x v="0"/>
    <n v="2"/>
    <x v="3"/>
    <n v="300"/>
    <n v="600"/>
  </r>
  <r>
    <n v="20"/>
    <d v="2023-01-08T00:00:00"/>
    <x v="0"/>
    <n v="1"/>
    <x v="0"/>
    <s v="CUST907"/>
    <x v="1"/>
    <n v="45"/>
    <x v="0"/>
    <x v="2"/>
    <n v="1"/>
    <x v="2"/>
    <n v="25"/>
    <n v="25"/>
  </r>
  <r>
    <n v="21"/>
    <d v="2023-01-09T00:00:00"/>
    <x v="0"/>
    <n v="1"/>
    <x v="0"/>
    <s v="CUST860"/>
    <x v="0"/>
    <n v="63"/>
    <x v="2"/>
    <x v="0"/>
    <n v="4"/>
    <x v="1"/>
    <n v="50"/>
    <n v="200"/>
  </r>
  <r>
    <n v="22"/>
    <d v="2023-01-10T00:00:00"/>
    <x v="0"/>
    <n v="1"/>
    <x v="0"/>
    <s v="CUST184"/>
    <x v="0"/>
    <n v="31"/>
    <x v="3"/>
    <x v="2"/>
    <n v="4"/>
    <x v="1"/>
    <n v="50"/>
    <n v="200"/>
  </r>
  <r>
    <n v="23"/>
    <d v="2023-01-10T00:00:00"/>
    <x v="0"/>
    <n v="1"/>
    <x v="0"/>
    <s v="CUST734"/>
    <x v="1"/>
    <n v="27"/>
    <x v="3"/>
    <x v="0"/>
    <n v="1"/>
    <x v="2"/>
    <n v="30"/>
    <n v="30"/>
  </r>
  <r>
    <n v="24"/>
    <d v="2023-01-11T00:00:00"/>
    <x v="0"/>
    <n v="1"/>
    <x v="0"/>
    <s v="CUST225"/>
    <x v="1"/>
    <n v="57"/>
    <x v="2"/>
    <x v="1"/>
    <n v="4"/>
    <x v="1"/>
    <n v="25"/>
    <n v="100"/>
  </r>
  <r>
    <n v="25"/>
    <d v="2023-01-11T00:00:00"/>
    <x v="0"/>
    <n v="1"/>
    <x v="0"/>
    <s v="CUST679"/>
    <x v="1"/>
    <n v="18"/>
    <x v="4"/>
    <x v="1"/>
    <n v="3"/>
    <x v="0"/>
    <n v="30"/>
    <n v="90"/>
  </r>
  <r>
    <n v="26"/>
    <d v="2023-01-11T00:00:00"/>
    <x v="0"/>
    <n v="1"/>
    <x v="0"/>
    <s v="CUST746"/>
    <x v="1"/>
    <n v="33"/>
    <x v="3"/>
    <x v="0"/>
    <n v="3"/>
    <x v="0"/>
    <n v="30"/>
    <n v="90"/>
  </r>
  <r>
    <n v="27"/>
    <d v="2023-01-13T00:00:00"/>
    <x v="0"/>
    <n v="1"/>
    <x v="0"/>
    <s v="CUST003"/>
    <x v="0"/>
    <n v="50"/>
    <x v="1"/>
    <x v="2"/>
    <n v="1"/>
    <x v="2"/>
    <n v="30"/>
    <n v="30"/>
  </r>
  <r>
    <n v="28"/>
    <d v="2023-01-13T00:00:00"/>
    <x v="0"/>
    <n v="1"/>
    <x v="0"/>
    <s v="CUST464"/>
    <x v="0"/>
    <n v="38"/>
    <x v="0"/>
    <x v="2"/>
    <n v="2"/>
    <x v="3"/>
    <n v="300"/>
    <n v="600"/>
  </r>
  <r>
    <n v="29"/>
    <d v="2023-01-13T00:00:00"/>
    <x v="0"/>
    <n v="1"/>
    <x v="0"/>
    <s v="CUST484"/>
    <x v="1"/>
    <n v="19"/>
    <x v="3"/>
    <x v="0"/>
    <n v="4"/>
    <x v="1"/>
    <n v="300"/>
    <n v="1200"/>
  </r>
  <r>
    <n v="30"/>
    <d v="2023-01-13T00:00:00"/>
    <x v="0"/>
    <n v="1"/>
    <x v="0"/>
    <s v="CUST591"/>
    <x v="0"/>
    <n v="53"/>
    <x v="1"/>
    <x v="2"/>
    <n v="4"/>
    <x v="1"/>
    <n v="25"/>
    <n v="100"/>
  </r>
  <r>
    <n v="31"/>
    <d v="2023-01-14T00:00:00"/>
    <x v="0"/>
    <n v="1"/>
    <x v="0"/>
    <s v="CUST021"/>
    <x v="1"/>
    <n v="50"/>
    <x v="1"/>
    <x v="1"/>
    <n v="1"/>
    <x v="2"/>
    <n v="500"/>
    <n v="500"/>
  </r>
  <r>
    <n v="32"/>
    <d v="2023-01-14T00:00:00"/>
    <x v="0"/>
    <n v="1"/>
    <x v="0"/>
    <s v="CUST708"/>
    <x v="1"/>
    <n v="43"/>
    <x v="0"/>
    <x v="1"/>
    <n v="3"/>
    <x v="0"/>
    <n v="300"/>
    <n v="900"/>
  </r>
  <r>
    <n v="33"/>
    <d v="2023-01-14T00:00:00"/>
    <x v="0"/>
    <n v="1"/>
    <x v="0"/>
    <s v="CUST713"/>
    <x v="0"/>
    <n v="34"/>
    <x v="3"/>
    <x v="1"/>
    <n v="3"/>
    <x v="0"/>
    <n v="25"/>
    <n v="75"/>
  </r>
  <r>
    <n v="34"/>
    <d v="2023-01-14T00:00:00"/>
    <x v="0"/>
    <n v="1"/>
    <x v="0"/>
    <s v="CUST768"/>
    <x v="1"/>
    <n v="24"/>
    <x v="3"/>
    <x v="1"/>
    <n v="3"/>
    <x v="0"/>
    <n v="25"/>
    <n v="75"/>
  </r>
  <r>
    <n v="35"/>
    <d v="2023-01-15T00:00:00"/>
    <x v="0"/>
    <n v="1"/>
    <x v="0"/>
    <s v="CUST499"/>
    <x v="0"/>
    <n v="46"/>
    <x v="1"/>
    <x v="1"/>
    <n v="2"/>
    <x v="3"/>
    <n v="30"/>
    <n v="60"/>
  </r>
  <r>
    <n v="36"/>
    <d v="2023-01-15T00:00:00"/>
    <x v="0"/>
    <n v="1"/>
    <x v="0"/>
    <s v="CUST697"/>
    <x v="0"/>
    <n v="53"/>
    <x v="1"/>
    <x v="0"/>
    <n v="1"/>
    <x v="2"/>
    <n v="500"/>
    <n v="500"/>
  </r>
  <r>
    <n v="37"/>
    <d v="2023-01-15T00:00:00"/>
    <x v="0"/>
    <n v="1"/>
    <x v="0"/>
    <s v="CUST831"/>
    <x v="0"/>
    <n v="27"/>
    <x v="3"/>
    <x v="2"/>
    <n v="4"/>
    <x v="1"/>
    <n v="25"/>
    <n v="100"/>
  </r>
  <r>
    <n v="38"/>
    <d v="2023-01-16T00:00:00"/>
    <x v="0"/>
    <n v="1"/>
    <x v="0"/>
    <s v="CUST015"/>
    <x v="1"/>
    <n v="42"/>
    <x v="0"/>
    <x v="2"/>
    <n v="4"/>
    <x v="1"/>
    <n v="500"/>
    <n v="2000"/>
  </r>
  <r>
    <n v="39"/>
    <d v="2023-01-16T00:00:00"/>
    <x v="0"/>
    <n v="1"/>
    <x v="0"/>
    <s v="CUST743"/>
    <x v="1"/>
    <n v="34"/>
    <x v="3"/>
    <x v="1"/>
    <n v="4"/>
    <x v="1"/>
    <n v="500"/>
    <n v="2000"/>
  </r>
  <r>
    <n v="40"/>
    <d v="2023-01-17T00:00:00"/>
    <x v="0"/>
    <n v="1"/>
    <x v="0"/>
    <s v="CUST014"/>
    <x v="0"/>
    <n v="64"/>
    <x v="2"/>
    <x v="0"/>
    <n v="4"/>
    <x v="1"/>
    <n v="30"/>
    <n v="120"/>
  </r>
  <r>
    <n v="41"/>
    <d v="2023-01-17T00:00:00"/>
    <x v="0"/>
    <n v="1"/>
    <x v="0"/>
    <s v="CUST103"/>
    <x v="1"/>
    <n v="59"/>
    <x v="2"/>
    <x v="0"/>
    <n v="1"/>
    <x v="2"/>
    <n v="25"/>
    <n v="25"/>
  </r>
  <r>
    <n v="42"/>
    <d v="2023-01-17T00:00:00"/>
    <x v="0"/>
    <n v="1"/>
    <x v="0"/>
    <s v="CUST238"/>
    <x v="1"/>
    <n v="39"/>
    <x v="0"/>
    <x v="1"/>
    <n v="1"/>
    <x v="2"/>
    <n v="500"/>
    <n v="500"/>
  </r>
  <r>
    <n v="43"/>
    <d v="2023-01-17T00:00:00"/>
    <x v="0"/>
    <n v="1"/>
    <x v="0"/>
    <s v="CUST986"/>
    <x v="1"/>
    <n v="49"/>
    <x v="1"/>
    <x v="0"/>
    <n v="2"/>
    <x v="3"/>
    <n v="500"/>
    <n v="1000"/>
  </r>
  <r>
    <n v="44"/>
    <d v="2023-01-19T00:00:00"/>
    <x v="0"/>
    <n v="1"/>
    <x v="0"/>
    <s v="CUST438"/>
    <x v="1"/>
    <n v="42"/>
    <x v="0"/>
    <x v="0"/>
    <n v="1"/>
    <x v="2"/>
    <n v="30"/>
    <n v="30"/>
  </r>
  <r>
    <n v="45"/>
    <d v="2023-01-20T00:00:00"/>
    <x v="0"/>
    <n v="1"/>
    <x v="0"/>
    <s v="CUST475"/>
    <x v="0"/>
    <n v="26"/>
    <x v="3"/>
    <x v="0"/>
    <n v="3"/>
    <x v="0"/>
    <n v="25"/>
    <n v="75"/>
  </r>
  <r>
    <n v="46"/>
    <d v="2023-01-20T00:00:00"/>
    <x v="0"/>
    <n v="1"/>
    <x v="0"/>
    <s v="CUST505"/>
    <x v="0"/>
    <n v="24"/>
    <x v="3"/>
    <x v="1"/>
    <n v="1"/>
    <x v="2"/>
    <n v="50"/>
    <n v="50"/>
  </r>
  <r>
    <n v="47"/>
    <d v="2023-01-21T00:00:00"/>
    <x v="0"/>
    <n v="1"/>
    <x v="0"/>
    <s v="CUST344"/>
    <x v="1"/>
    <n v="42"/>
    <x v="0"/>
    <x v="1"/>
    <n v="1"/>
    <x v="2"/>
    <n v="30"/>
    <n v="30"/>
  </r>
  <r>
    <n v="48"/>
    <d v="2023-01-21T00:00:00"/>
    <x v="0"/>
    <n v="1"/>
    <x v="0"/>
    <s v="CUST448"/>
    <x v="1"/>
    <n v="54"/>
    <x v="1"/>
    <x v="1"/>
    <n v="2"/>
    <x v="3"/>
    <n v="30"/>
    <n v="60"/>
  </r>
  <r>
    <n v="49"/>
    <d v="2023-01-21T00:00:00"/>
    <x v="0"/>
    <n v="1"/>
    <x v="0"/>
    <s v="CUST742"/>
    <x v="1"/>
    <n v="38"/>
    <x v="0"/>
    <x v="2"/>
    <n v="4"/>
    <x v="1"/>
    <n v="500"/>
    <n v="2000"/>
  </r>
  <r>
    <n v="50"/>
    <d v="2023-01-22T00:00:00"/>
    <x v="0"/>
    <n v="1"/>
    <x v="0"/>
    <s v="CUST445"/>
    <x v="1"/>
    <n v="53"/>
    <x v="1"/>
    <x v="2"/>
    <n v="1"/>
    <x v="2"/>
    <n v="300"/>
    <n v="300"/>
  </r>
  <r>
    <n v="51"/>
    <d v="2023-01-22T00:00:00"/>
    <x v="0"/>
    <n v="1"/>
    <x v="0"/>
    <s v="CUST787"/>
    <x v="0"/>
    <n v="41"/>
    <x v="0"/>
    <x v="2"/>
    <n v="1"/>
    <x v="2"/>
    <n v="25"/>
    <n v="25"/>
  </r>
  <r>
    <n v="52"/>
    <d v="2023-01-23T00:00:00"/>
    <x v="0"/>
    <n v="1"/>
    <x v="1"/>
    <s v="CUST049"/>
    <x v="1"/>
    <n v="54"/>
    <x v="1"/>
    <x v="2"/>
    <n v="2"/>
    <x v="3"/>
    <n v="500"/>
    <n v="1000"/>
  </r>
  <r>
    <n v="53"/>
    <d v="2023-01-23T00:00:00"/>
    <x v="0"/>
    <n v="1"/>
    <x v="0"/>
    <s v="CUST420"/>
    <x v="1"/>
    <n v="22"/>
    <x v="3"/>
    <x v="0"/>
    <n v="4"/>
    <x v="1"/>
    <n v="500"/>
    <n v="2000"/>
  </r>
  <r>
    <n v="54"/>
    <d v="2023-01-23T00:00:00"/>
    <x v="0"/>
    <n v="1"/>
    <x v="0"/>
    <s v="CUST519"/>
    <x v="1"/>
    <n v="36"/>
    <x v="0"/>
    <x v="2"/>
    <n v="4"/>
    <x v="1"/>
    <n v="30"/>
    <n v="120"/>
  </r>
  <r>
    <n v="55"/>
    <d v="2023-01-24T00:00:00"/>
    <x v="0"/>
    <n v="1"/>
    <x v="0"/>
    <s v="CUST064"/>
    <x v="0"/>
    <n v="49"/>
    <x v="1"/>
    <x v="0"/>
    <n v="4"/>
    <x v="1"/>
    <n v="25"/>
    <n v="100"/>
  </r>
  <r>
    <n v="56"/>
    <d v="2023-01-24T00:00:00"/>
    <x v="0"/>
    <n v="1"/>
    <x v="0"/>
    <s v="CUST592"/>
    <x v="1"/>
    <n v="46"/>
    <x v="1"/>
    <x v="1"/>
    <n v="4"/>
    <x v="1"/>
    <n v="500"/>
    <n v="2000"/>
  </r>
  <r>
    <n v="57"/>
    <d v="2023-01-24T00:00:00"/>
    <x v="0"/>
    <n v="1"/>
    <x v="0"/>
    <s v="CUST912"/>
    <x v="0"/>
    <n v="51"/>
    <x v="1"/>
    <x v="1"/>
    <n v="3"/>
    <x v="0"/>
    <n v="50"/>
    <n v="150"/>
  </r>
  <r>
    <n v="58"/>
    <d v="2023-01-25T00:00:00"/>
    <x v="0"/>
    <n v="1"/>
    <x v="0"/>
    <s v="CUST134"/>
    <x v="0"/>
    <n v="49"/>
    <x v="1"/>
    <x v="2"/>
    <n v="1"/>
    <x v="2"/>
    <n v="50"/>
    <n v="50"/>
  </r>
  <r>
    <n v="59"/>
    <d v="2023-01-26T00:00:00"/>
    <x v="0"/>
    <n v="1"/>
    <x v="0"/>
    <s v="CUST288"/>
    <x v="0"/>
    <n v="28"/>
    <x v="3"/>
    <x v="0"/>
    <n v="4"/>
    <x v="1"/>
    <n v="30"/>
    <n v="120"/>
  </r>
  <r>
    <n v="60"/>
    <d v="2023-01-26T00:00:00"/>
    <x v="0"/>
    <n v="1"/>
    <x v="0"/>
    <s v="CUST323"/>
    <x v="1"/>
    <n v="29"/>
    <x v="3"/>
    <x v="1"/>
    <n v="3"/>
    <x v="0"/>
    <n v="300"/>
    <n v="900"/>
  </r>
  <r>
    <n v="61"/>
    <d v="2023-01-26T00:00:00"/>
    <x v="0"/>
    <n v="1"/>
    <x v="0"/>
    <s v="CUST618"/>
    <x v="1"/>
    <n v="27"/>
    <x v="3"/>
    <x v="1"/>
    <n v="1"/>
    <x v="2"/>
    <n v="50"/>
    <n v="50"/>
  </r>
  <r>
    <n v="62"/>
    <d v="2023-01-26T00:00:00"/>
    <x v="0"/>
    <n v="1"/>
    <x v="0"/>
    <s v="CUST720"/>
    <x v="1"/>
    <n v="56"/>
    <x v="2"/>
    <x v="1"/>
    <n v="3"/>
    <x v="0"/>
    <n v="500"/>
    <n v="1500"/>
  </r>
  <r>
    <n v="63"/>
    <d v="2023-01-27T00:00:00"/>
    <x v="0"/>
    <n v="1"/>
    <x v="0"/>
    <s v="CUST415"/>
    <x v="0"/>
    <n v="53"/>
    <x v="1"/>
    <x v="0"/>
    <n v="2"/>
    <x v="3"/>
    <n v="30"/>
    <n v="60"/>
  </r>
  <r>
    <n v="64"/>
    <d v="2023-01-27T00:00:00"/>
    <x v="0"/>
    <n v="1"/>
    <x v="0"/>
    <s v="CUST736"/>
    <x v="0"/>
    <n v="29"/>
    <x v="3"/>
    <x v="0"/>
    <n v="4"/>
    <x v="1"/>
    <n v="25"/>
    <n v="100"/>
  </r>
  <r>
    <n v="65"/>
    <d v="2023-01-27T00:00:00"/>
    <x v="0"/>
    <n v="1"/>
    <x v="0"/>
    <s v="CUST929"/>
    <x v="1"/>
    <n v="23"/>
    <x v="3"/>
    <x v="1"/>
    <n v="3"/>
    <x v="0"/>
    <n v="25"/>
    <n v="75"/>
  </r>
  <r>
    <n v="66"/>
    <d v="2023-01-28T00:00:00"/>
    <x v="0"/>
    <n v="1"/>
    <x v="0"/>
    <s v="CUST264"/>
    <x v="0"/>
    <n v="47"/>
    <x v="1"/>
    <x v="0"/>
    <n v="3"/>
    <x v="0"/>
    <n v="300"/>
    <n v="900"/>
  </r>
  <r>
    <n v="67"/>
    <d v="2023-01-28T00:00:00"/>
    <x v="0"/>
    <n v="1"/>
    <x v="0"/>
    <s v="CUST913"/>
    <x v="0"/>
    <n v="29"/>
    <x v="3"/>
    <x v="2"/>
    <n v="3"/>
    <x v="0"/>
    <n v="30"/>
    <n v="90"/>
  </r>
  <r>
    <n v="68"/>
    <d v="2023-01-28T00:00:00"/>
    <x v="0"/>
    <n v="1"/>
    <x v="0"/>
    <s v="CUST940"/>
    <x v="1"/>
    <n v="20"/>
    <x v="3"/>
    <x v="2"/>
    <n v="1"/>
    <x v="2"/>
    <n v="30"/>
    <n v="30"/>
  </r>
  <r>
    <n v="69"/>
    <d v="2023-01-29T00:00:00"/>
    <x v="0"/>
    <n v="1"/>
    <x v="0"/>
    <s v="CUST101"/>
    <x v="0"/>
    <n v="32"/>
    <x v="3"/>
    <x v="0"/>
    <n v="2"/>
    <x v="3"/>
    <n v="300"/>
    <n v="600"/>
  </r>
  <r>
    <n v="70"/>
    <d v="2023-01-30T00:00:00"/>
    <x v="0"/>
    <n v="1"/>
    <x v="0"/>
    <s v="CUST189"/>
    <x v="0"/>
    <n v="63"/>
    <x v="2"/>
    <x v="1"/>
    <n v="1"/>
    <x v="2"/>
    <n v="50"/>
    <n v="50"/>
  </r>
  <r>
    <n v="71"/>
    <d v="2023-01-30T00:00:00"/>
    <x v="0"/>
    <n v="1"/>
    <x v="0"/>
    <s v="CUST317"/>
    <x v="0"/>
    <n v="22"/>
    <x v="3"/>
    <x v="2"/>
    <n v="3"/>
    <x v="0"/>
    <n v="30"/>
    <n v="90"/>
  </r>
  <r>
    <n v="72"/>
    <d v="2023-01-30T00:00:00"/>
    <x v="0"/>
    <n v="1"/>
    <x v="0"/>
    <s v="CUST322"/>
    <x v="0"/>
    <n v="51"/>
    <x v="1"/>
    <x v="2"/>
    <n v="1"/>
    <x v="2"/>
    <n v="500"/>
    <n v="500"/>
  </r>
  <r>
    <n v="73"/>
    <d v="2023-01-30T00:00:00"/>
    <x v="0"/>
    <n v="1"/>
    <x v="0"/>
    <s v="CUST329"/>
    <x v="1"/>
    <n v="46"/>
    <x v="1"/>
    <x v="2"/>
    <n v="4"/>
    <x v="1"/>
    <n v="25"/>
    <n v="100"/>
  </r>
  <r>
    <n v="74"/>
    <d v="2023-01-31T00:00:00"/>
    <x v="0"/>
    <n v="1"/>
    <x v="0"/>
    <s v="CUST235"/>
    <x v="1"/>
    <n v="23"/>
    <x v="3"/>
    <x v="2"/>
    <n v="2"/>
    <x v="3"/>
    <n v="500"/>
    <n v="1000"/>
  </r>
  <r>
    <n v="75"/>
    <d v="2023-01-31T00:00:00"/>
    <x v="0"/>
    <n v="1"/>
    <x v="0"/>
    <s v="CUST300"/>
    <x v="1"/>
    <n v="19"/>
    <x v="3"/>
    <x v="2"/>
    <n v="4"/>
    <x v="1"/>
    <n v="50"/>
    <n v="200"/>
  </r>
  <r>
    <n v="76"/>
    <d v="2023-01-31T00:00:00"/>
    <x v="0"/>
    <n v="1"/>
    <x v="0"/>
    <s v="CUST964"/>
    <x v="0"/>
    <n v="24"/>
    <x v="3"/>
    <x v="0"/>
    <n v="3"/>
    <x v="0"/>
    <n v="300"/>
    <n v="900"/>
  </r>
  <r>
    <n v="77"/>
    <d v="2023-02-01T00:00:00"/>
    <x v="0"/>
    <n v="1"/>
    <x v="0"/>
    <s v="CUST269"/>
    <x v="0"/>
    <n v="25"/>
    <x v="3"/>
    <x v="0"/>
    <n v="4"/>
    <x v="1"/>
    <n v="500"/>
    <n v="2000"/>
  </r>
  <r>
    <n v="78"/>
    <d v="2023-02-01T00:00:00"/>
    <x v="0"/>
    <n v="1"/>
    <x v="0"/>
    <s v="CUST320"/>
    <x v="1"/>
    <n v="28"/>
    <x v="3"/>
    <x v="2"/>
    <n v="4"/>
    <x v="1"/>
    <n v="300"/>
    <n v="1200"/>
  </r>
  <r>
    <n v="79"/>
    <d v="2023-02-01T00:00:00"/>
    <x v="1"/>
    <n v="2"/>
    <x v="0"/>
    <s v="CUST673"/>
    <x v="1"/>
    <n v="43"/>
    <x v="0"/>
    <x v="0"/>
    <n v="3"/>
    <x v="0"/>
    <n v="500"/>
    <n v="1500"/>
  </r>
  <r>
    <n v="80"/>
    <d v="2023-02-02T00:00:00"/>
    <x v="1"/>
    <n v="2"/>
    <x v="0"/>
    <s v="CUST142"/>
    <x v="0"/>
    <n v="35"/>
    <x v="0"/>
    <x v="2"/>
    <n v="4"/>
    <x v="1"/>
    <n v="300"/>
    <n v="1200"/>
  </r>
  <r>
    <n v="81"/>
    <d v="2023-02-02T00:00:00"/>
    <x v="1"/>
    <n v="2"/>
    <x v="0"/>
    <s v="CUST223"/>
    <x v="1"/>
    <n v="64"/>
    <x v="2"/>
    <x v="0"/>
    <n v="1"/>
    <x v="2"/>
    <n v="25"/>
    <n v="25"/>
  </r>
  <r>
    <n v="82"/>
    <d v="2023-02-02T00:00:00"/>
    <x v="1"/>
    <n v="2"/>
    <x v="0"/>
    <s v="CUST666"/>
    <x v="0"/>
    <n v="51"/>
    <x v="1"/>
    <x v="2"/>
    <n v="3"/>
    <x v="0"/>
    <n v="50"/>
    <n v="150"/>
  </r>
  <r>
    <n v="83"/>
    <d v="2023-02-03T00:00:00"/>
    <x v="1"/>
    <n v="2"/>
    <x v="0"/>
    <s v="CUST107"/>
    <x v="1"/>
    <n v="21"/>
    <x v="3"/>
    <x v="0"/>
    <n v="4"/>
    <x v="1"/>
    <n v="300"/>
    <n v="1200"/>
  </r>
  <r>
    <n v="84"/>
    <d v="2023-02-03T00:00:00"/>
    <x v="1"/>
    <n v="2"/>
    <x v="0"/>
    <s v="CUST933"/>
    <x v="0"/>
    <n v="22"/>
    <x v="3"/>
    <x v="1"/>
    <n v="1"/>
    <x v="2"/>
    <n v="30"/>
    <n v="30"/>
  </r>
  <r>
    <n v="85"/>
    <d v="2023-02-04T00:00:00"/>
    <x v="1"/>
    <n v="2"/>
    <x v="0"/>
    <s v="CUST237"/>
    <x v="1"/>
    <n v="50"/>
    <x v="1"/>
    <x v="1"/>
    <n v="2"/>
    <x v="3"/>
    <n v="500"/>
    <n v="1000"/>
  </r>
  <r>
    <n v="86"/>
    <d v="2023-02-04T00:00:00"/>
    <x v="1"/>
    <n v="2"/>
    <x v="0"/>
    <s v="CUST335"/>
    <x v="1"/>
    <n v="47"/>
    <x v="1"/>
    <x v="1"/>
    <n v="4"/>
    <x v="1"/>
    <n v="30"/>
    <n v="120"/>
  </r>
  <r>
    <n v="87"/>
    <d v="2023-02-05T00:00:00"/>
    <x v="1"/>
    <n v="2"/>
    <x v="0"/>
    <s v="CUST063"/>
    <x v="0"/>
    <n v="57"/>
    <x v="2"/>
    <x v="2"/>
    <n v="2"/>
    <x v="3"/>
    <n v="25"/>
    <n v="50"/>
  </r>
  <r>
    <n v="88"/>
    <d v="2023-02-05T00:00:00"/>
    <x v="1"/>
    <n v="2"/>
    <x v="0"/>
    <s v="CUST195"/>
    <x v="0"/>
    <n v="52"/>
    <x v="1"/>
    <x v="0"/>
    <n v="1"/>
    <x v="2"/>
    <n v="30"/>
    <n v="30"/>
  </r>
  <r>
    <n v="89"/>
    <d v="2023-02-05T00:00:00"/>
    <x v="1"/>
    <n v="2"/>
    <x v="0"/>
    <s v="CUST333"/>
    <x v="1"/>
    <n v="54"/>
    <x v="1"/>
    <x v="2"/>
    <n v="4"/>
    <x v="1"/>
    <n v="300"/>
    <n v="1200"/>
  </r>
  <r>
    <n v="90"/>
    <d v="2023-02-05T00:00:00"/>
    <x v="1"/>
    <n v="2"/>
    <x v="0"/>
    <s v="CUST379"/>
    <x v="1"/>
    <n v="47"/>
    <x v="1"/>
    <x v="0"/>
    <n v="1"/>
    <x v="2"/>
    <n v="25"/>
    <n v="25"/>
  </r>
  <r>
    <n v="91"/>
    <d v="2023-02-05T00:00:00"/>
    <x v="1"/>
    <n v="2"/>
    <x v="0"/>
    <s v="CUST490"/>
    <x v="0"/>
    <n v="34"/>
    <x v="3"/>
    <x v="0"/>
    <n v="3"/>
    <x v="0"/>
    <n v="50"/>
    <n v="150"/>
  </r>
  <r>
    <n v="92"/>
    <d v="2023-02-05T00:00:00"/>
    <x v="1"/>
    <n v="2"/>
    <x v="0"/>
    <s v="CUST530"/>
    <x v="1"/>
    <n v="18"/>
    <x v="4"/>
    <x v="2"/>
    <n v="4"/>
    <x v="1"/>
    <n v="30"/>
    <n v="120"/>
  </r>
  <r>
    <n v="93"/>
    <d v="2023-02-05T00:00:00"/>
    <x v="1"/>
    <n v="2"/>
    <x v="0"/>
    <s v="CUST740"/>
    <x v="1"/>
    <n v="25"/>
    <x v="3"/>
    <x v="1"/>
    <n v="4"/>
    <x v="1"/>
    <n v="50"/>
    <n v="200"/>
  </r>
  <r>
    <n v="94"/>
    <d v="2023-02-05T00:00:00"/>
    <x v="1"/>
    <n v="2"/>
    <x v="0"/>
    <s v="CUST793"/>
    <x v="0"/>
    <n v="54"/>
    <x v="1"/>
    <x v="1"/>
    <n v="1"/>
    <x v="2"/>
    <n v="30"/>
    <n v="30"/>
  </r>
  <r>
    <n v="95"/>
    <d v="2023-02-06T00:00:00"/>
    <x v="1"/>
    <n v="2"/>
    <x v="0"/>
    <s v="CUST085"/>
    <x v="0"/>
    <n v="31"/>
    <x v="3"/>
    <x v="0"/>
    <n v="3"/>
    <x v="0"/>
    <n v="50"/>
    <n v="150"/>
  </r>
  <r>
    <n v="96"/>
    <d v="2023-02-06T00:00:00"/>
    <x v="1"/>
    <n v="2"/>
    <x v="0"/>
    <s v="CUST232"/>
    <x v="1"/>
    <n v="43"/>
    <x v="0"/>
    <x v="1"/>
    <n v="1"/>
    <x v="2"/>
    <n v="25"/>
    <n v="25"/>
  </r>
  <r>
    <n v="97"/>
    <d v="2023-02-06T00:00:00"/>
    <x v="1"/>
    <n v="2"/>
    <x v="0"/>
    <s v="CUST240"/>
    <x v="1"/>
    <n v="23"/>
    <x v="3"/>
    <x v="1"/>
    <n v="1"/>
    <x v="2"/>
    <n v="300"/>
    <n v="300"/>
  </r>
  <r>
    <n v="98"/>
    <d v="2023-02-06T00:00:00"/>
    <x v="1"/>
    <n v="2"/>
    <x v="0"/>
    <s v="CUST993"/>
    <x v="1"/>
    <n v="48"/>
    <x v="1"/>
    <x v="2"/>
    <n v="3"/>
    <x v="0"/>
    <n v="50"/>
    <n v="150"/>
  </r>
  <r>
    <n v="99"/>
    <d v="2023-02-07T00:00:00"/>
    <x v="1"/>
    <n v="2"/>
    <x v="0"/>
    <s v="CUST366"/>
    <x v="0"/>
    <n v="57"/>
    <x v="2"/>
    <x v="0"/>
    <n v="2"/>
    <x v="3"/>
    <n v="50"/>
    <n v="100"/>
  </r>
  <r>
    <n v="100"/>
    <d v="2023-02-07T00:00:00"/>
    <x v="1"/>
    <n v="2"/>
    <x v="0"/>
    <s v="CUST372"/>
    <x v="1"/>
    <n v="24"/>
    <x v="3"/>
    <x v="1"/>
    <n v="3"/>
    <x v="0"/>
    <n v="500"/>
    <n v="1500"/>
  </r>
  <r>
    <n v="101"/>
    <d v="2023-02-07T00:00:00"/>
    <x v="1"/>
    <n v="2"/>
    <x v="0"/>
    <s v="CUST596"/>
    <x v="1"/>
    <n v="64"/>
    <x v="2"/>
    <x v="2"/>
    <n v="1"/>
    <x v="2"/>
    <n v="300"/>
    <n v="300"/>
  </r>
  <r>
    <n v="102"/>
    <d v="2023-02-07T00:00:00"/>
    <x v="1"/>
    <n v="2"/>
    <x v="0"/>
    <s v="CUST936"/>
    <x v="0"/>
    <n v="57"/>
    <x v="2"/>
    <x v="1"/>
    <n v="4"/>
    <x v="1"/>
    <n v="50"/>
    <n v="200"/>
  </r>
  <r>
    <n v="103"/>
    <d v="2023-02-08T00:00:00"/>
    <x v="1"/>
    <n v="2"/>
    <x v="0"/>
    <s v="CUST284"/>
    <x v="0"/>
    <n v="43"/>
    <x v="0"/>
    <x v="0"/>
    <n v="4"/>
    <x v="1"/>
    <n v="50"/>
    <n v="200"/>
  </r>
  <r>
    <n v="104"/>
    <d v="2023-02-08T00:00:00"/>
    <x v="1"/>
    <n v="2"/>
    <x v="0"/>
    <s v="CUST434"/>
    <x v="1"/>
    <n v="43"/>
    <x v="0"/>
    <x v="2"/>
    <n v="2"/>
    <x v="3"/>
    <n v="25"/>
    <n v="50"/>
  </r>
  <r>
    <n v="105"/>
    <d v="2023-02-08T00:00:00"/>
    <x v="1"/>
    <n v="2"/>
    <x v="0"/>
    <s v="CUST775"/>
    <x v="1"/>
    <n v="46"/>
    <x v="1"/>
    <x v="2"/>
    <n v="4"/>
    <x v="1"/>
    <n v="25"/>
    <n v="100"/>
  </r>
  <r>
    <n v="106"/>
    <d v="2023-02-08T00:00:00"/>
    <x v="1"/>
    <n v="2"/>
    <x v="0"/>
    <s v="CUST977"/>
    <x v="1"/>
    <n v="35"/>
    <x v="0"/>
    <x v="2"/>
    <n v="3"/>
    <x v="0"/>
    <n v="25"/>
    <n v="75"/>
  </r>
  <r>
    <n v="107"/>
    <d v="2023-02-09T00:00:00"/>
    <x v="1"/>
    <n v="2"/>
    <x v="0"/>
    <s v="CUST649"/>
    <x v="1"/>
    <n v="58"/>
    <x v="2"/>
    <x v="0"/>
    <n v="2"/>
    <x v="3"/>
    <n v="300"/>
    <n v="600"/>
  </r>
  <r>
    <n v="108"/>
    <d v="2023-02-10T00:00:00"/>
    <x v="1"/>
    <n v="2"/>
    <x v="0"/>
    <s v="CUST054"/>
    <x v="1"/>
    <n v="38"/>
    <x v="0"/>
    <x v="2"/>
    <n v="3"/>
    <x v="0"/>
    <n v="500"/>
    <n v="1500"/>
  </r>
  <r>
    <n v="109"/>
    <d v="2023-02-10T00:00:00"/>
    <x v="1"/>
    <n v="2"/>
    <x v="0"/>
    <s v="CUST068"/>
    <x v="0"/>
    <n v="25"/>
    <x v="3"/>
    <x v="2"/>
    <n v="1"/>
    <x v="2"/>
    <n v="300"/>
    <n v="300"/>
  </r>
  <r>
    <n v="110"/>
    <d v="2023-02-10T00:00:00"/>
    <x v="1"/>
    <n v="2"/>
    <x v="0"/>
    <s v="CUST192"/>
    <x v="0"/>
    <n v="62"/>
    <x v="2"/>
    <x v="1"/>
    <n v="2"/>
    <x v="3"/>
    <n v="50"/>
    <n v="100"/>
  </r>
  <r>
    <n v="111"/>
    <d v="2023-02-11T00:00:00"/>
    <x v="1"/>
    <n v="2"/>
    <x v="0"/>
    <s v="CUST331"/>
    <x v="0"/>
    <n v="28"/>
    <x v="3"/>
    <x v="2"/>
    <n v="3"/>
    <x v="0"/>
    <n v="30"/>
    <n v="90"/>
  </r>
  <r>
    <n v="112"/>
    <d v="2023-02-11T00:00:00"/>
    <x v="1"/>
    <n v="2"/>
    <x v="0"/>
    <s v="CUST346"/>
    <x v="0"/>
    <n v="59"/>
    <x v="2"/>
    <x v="0"/>
    <n v="2"/>
    <x v="3"/>
    <n v="500"/>
    <n v="1000"/>
  </r>
  <r>
    <n v="113"/>
    <d v="2023-02-11T00:00:00"/>
    <x v="1"/>
    <n v="2"/>
    <x v="0"/>
    <s v="CUST657"/>
    <x v="0"/>
    <n v="40"/>
    <x v="0"/>
    <x v="0"/>
    <n v="1"/>
    <x v="2"/>
    <n v="25"/>
    <n v="25"/>
  </r>
  <r>
    <n v="114"/>
    <d v="2023-02-11T00:00:00"/>
    <x v="1"/>
    <n v="2"/>
    <x v="0"/>
    <s v="CUST732"/>
    <x v="0"/>
    <n v="61"/>
    <x v="2"/>
    <x v="2"/>
    <n v="2"/>
    <x v="3"/>
    <n v="500"/>
    <n v="1000"/>
  </r>
  <r>
    <n v="115"/>
    <d v="2023-02-11T00:00:00"/>
    <x v="1"/>
    <n v="2"/>
    <x v="0"/>
    <s v="CUST972"/>
    <x v="0"/>
    <n v="49"/>
    <x v="1"/>
    <x v="1"/>
    <n v="4"/>
    <x v="1"/>
    <n v="25"/>
    <n v="100"/>
  </r>
  <r>
    <n v="116"/>
    <d v="2023-02-12T00:00:00"/>
    <x v="1"/>
    <n v="2"/>
    <x v="0"/>
    <s v="CUST714"/>
    <x v="1"/>
    <n v="18"/>
    <x v="4"/>
    <x v="0"/>
    <n v="1"/>
    <x v="2"/>
    <n v="500"/>
    <n v="500"/>
  </r>
  <r>
    <n v="117"/>
    <d v="2023-02-13T00:00:00"/>
    <x v="1"/>
    <n v="2"/>
    <x v="0"/>
    <s v="CUST193"/>
    <x v="0"/>
    <n v="35"/>
    <x v="0"/>
    <x v="1"/>
    <n v="3"/>
    <x v="0"/>
    <n v="500"/>
    <n v="1500"/>
  </r>
  <r>
    <n v="118"/>
    <d v="2023-02-13T00:00:00"/>
    <x v="1"/>
    <n v="2"/>
    <x v="0"/>
    <s v="CUST577"/>
    <x v="0"/>
    <n v="21"/>
    <x v="3"/>
    <x v="1"/>
    <n v="4"/>
    <x v="1"/>
    <n v="500"/>
    <n v="2000"/>
  </r>
  <r>
    <n v="119"/>
    <d v="2023-02-13T00:00:00"/>
    <x v="1"/>
    <n v="2"/>
    <x v="0"/>
    <s v="CUST848"/>
    <x v="1"/>
    <n v="63"/>
    <x v="2"/>
    <x v="0"/>
    <n v="3"/>
    <x v="0"/>
    <n v="25"/>
    <n v="75"/>
  </r>
  <r>
    <n v="120"/>
    <d v="2023-02-13T00:00:00"/>
    <x v="1"/>
    <n v="2"/>
    <x v="0"/>
    <s v="CUST945"/>
    <x v="0"/>
    <n v="30"/>
    <x v="3"/>
    <x v="1"/>
    <n v="1"/>
    <x v="2"/>
    <n v="25"/>
    <n v="25"/>
  </r>
  <r>
    <n v="121"/>
    <d v="2023-02-14T00:00:00"/>
    <x v="1"/>
    <n v="2"/>
    <x v="0"/>
    <s v="CUST011"/>
    <x v="0"/>
    <n v="23"/>
    <x v="3"/>
    <x v="0"/>
    <n v="2"/>
    <x v="3"/>
    <n v="50"/>
    <n v="100"/>
  </r>
  <r>
    <n v="122"/>
    <d v="2023-02-14T00:00:00"/>
    <x v="1"/>
    <n v="2"/>
    <x v="0"/>
    <s v="CUST821"/>
    <x v="0"/>
    <n v="49"/>
    <x v="1"/>
    <x v="2"/>
    <n v="1"/>
    <x v="2"/>
    <n v="300"/>
    <n v="300"/>
  </r>
  <r>
    <n v="123"/>
    <d v="2023-02-16T00:00:00"/>
    <x v="1"/>
    <n v="2"/>
    <x v="0"/>
    <s v="CUST133"/>
    <x v="0"/>
    <n v="20"/>
    <x v="3"/>
    <x v="2"/>
    <n v="3"/>
    <x v="0"/>
    <n v="300"/>
    <n v="900"/>
  </r>
  <r>
    <n v="124"/>
    <d v="2023-02-17T00:00:00"/>
    <x v="1"/>
    <n v="2"/>
    <x v="0"/>
    <s v="CUST016"/>
    <x v="0"/>
    <n v="19"/>
    <x v="3"/>
    <x v="0"/>
    <n v="3"/>
    <x v="0"/>
    <n v="500"/>
    <n v="1500"/>
  </r>
  <r>
    <n v="125"/>
    <d v="2023-02-17T00:00:00"/>
    <x v="1"/>
    <n v="2"/>
    <x v="0"/>
    <s v="CUST042"/>
    <x v="0"/>
    <n v="22"/>
    <x v="3"/>
    <x v="0"/>
    <n v="3"/>
    <x v="0"/>
    <n v="300"/>
    <n v="900"/>
  </r>
  <r>
    <n v="126"/>
    <d v="2023-02-17T00:00:00"/>
    <x v="1"/>
    <n v="2"/>
    <x v="0"/>
    <s v="CUST292"/>
    <x v="0"/>
    <n v="20"/>
    <x v="3"/>
    <x v="1"/>
    <n v="4"/>
    <x v="1"/>
    <n v="300"/>
    <n v="1200"/>
  </r>
  <r>
    <n v="127"/>
    <d v="2023-02-17T00:00:00"/>
    <x v="1"/>
    <n v="2"/>
    <x v="0"/>
    <s v="CUST416"/>
    <x v="0"/>
    <n v="53"/>
    <x v="1"/>
    <x v="2"/>
    <n v="4"/>
    <x v="1"/>
    <n v="500"/>
    <n v="2000"/>
  </r>
  <r>
    <n v="128"/>
    <d v="2023-02-17T00:00:00"/>
    <x v="1"/>
    <n v="2"/>
    <x v="0"/>
    <s v="CUST584"/>
    <x v="1"/>
    <n v="27"/>
    <x v="3"/>
    <x v="1"/>
    <n v="4"/>
    <x v="1"/>
    <n v="50"/>
    <n v="200"/>
  </r>
  <r>
    <n v="129"/>
    <d v="2023-02-17T00:00:00"/>
    <x v="1"/>
    <n v="2"/>
    <x v="0"/>
    <s v="CUST861"/>
    <x v="1"/>
    <n v="41"/>
    <x v="0"/>
    <x v="0"/>
    <n v="3"/>
    <x v="0"/>
    <n v="30"/>
    <n v="90"/>
  </r>
  <r>
    <n v="130"/>
    <d v="2023-02-18T00:00:00"/>
    <x v="1"/>
    <n v="2"/>
    <x v="0"/>
    <s v="CUST256"/>
    <x v="0"/>
    <n v="23"/>
    <x v="3"/>
    <x v="0"/>
    <n v="2"/>
    <x v="3"/>
    <n v="500"/>
    <n v="1000"/>
  </r>
  <r>
    <n v="131"/>
    <d v="2023-02-19T00:00:00"/>
    <x v="1"/>
    <n v="2"/>
    <x v="0"/>
    <s v="CUST044"/>
    <x v="1"/>
    <n v="22"/>
    <x v="3"/>
    <x v="0"/>
    <n v="1"/>
    <x v="2"/>
    <n v="25"/>
    <n v="25"/>
  </r>
  <r>
    <n v="132"/>
    <d v="2023-02-19T00:00:00"/>
    <x v="1"/>
    <n v="2"/>
    <x v="0"/>
    <s v="CUST257"/>
    <x v="0"/>
    <n v="19"/>
    <x v="3"/>
    <x v="1"/>
    <n v="4"/>
    <x v="1"/>
    <n v="500"/>
    <n v="2000"/>
  </r>
  <r>
    <n v="133"/>
    <d v="2023-02-20T00:00:00"/>
    <x v="1"/>
    <n v="2"/>
    <x v="0"/>
    <s v="CUST268"/>
    <x v="1"/>
    <n v="28"/>
    <x v="3"/>
    <x v="2"/>
    <n v="1"/>
    <x v="2"/>
    <n v="30"/>
    <n v="30"/>
  </r>
  <r>
    <n v="134"/>
    <d v="2023-02-20T00:00:00"/>
    <x v="1"/>
    <n v="2"/>
    <x v="0"/>
    <s v="CUST287"/>
    <x v="0"/>
    <n v="54"/>
    <x v="1"/>
    <x v="0"/>
    <n v="4"/>
    <x v="1"/>
    <n v="25"/>
    <n v="100"/>
  </r>
  <r>
    <n v="135"/>
    <d v="2023-02-20T00:00:00"/>
    <x v="1"/>
    <n v="2"/>
    <x v="0"/>
    <s v="CUST966"/>
    <x v="0"/>
    <n v="60"/>
    <x v="2"/>
    <x v="2"/>
    <n v="2"/>
    <x v="3"/>
    <n v="500"/>
    <n v="1000"/>
  </r>
  <r>
    <n v="136"/>
    <d v="2023-02-21T00:00:00"/>
    <x v="1"/>
    <n v="2"/>
    <x v="0"/>
    <s v="CUST070"/>
    <x v="1"/>
    <n v="43"/>
    <x v="0"/>
    <x v="0"/>
    <n v="1"/>
    <x v="2"/>
    <n v="300"/>
    <n v="300"/>
  </r>
  <r>
    <n v="137"/>
    <d v="2023-02-21T00:00:00"/>
    <x v="1"/>
    <n v="2"/>
    <x v="0"/>
    <s v="CUST371"/>
    <x v="1"/>
    <n v="20"/>
    <x v="3"/>
    <x v="1"/>
    <n v="1"/>
    <x v="2"/>
    <n v="25"/>
    <n v="25"/>
  </r>
  <r>
    <n v="138"/>
    <d v="2023-02-21T00:00:00"/>
    <x v="1"/>
    <n v="2"/>
    <x v="0"/>
    <s v="CUST900"/>
    <x v="0"/>
    <n v="21"/>
    <x v="3"/>
    <x v="0"/>
    <n v="2"/>
    <x v="3"/>
    <n v="30"/>
    <n v="60"/>
  </r>
  <r>
    <n v="139"/>
    <d v="2023-02-22T00:00:00"/>
    <x v="1"/>
    <n v="2"/>
    <x v="0"/>
    <s v="CUST008"/>
    <x v="0"/>
    <n v="30"/>
    <x v="3"/>
    <x v="2"/>
    <n v="4"/>
    <x v="1"/>
    <n v="25"/>
    <n v="100"/>
  </r>
  <r>
    <n v="140"/>
    <d v="2023-02-22T00:00:00"/>
    <x v="1"/>
    <n v="2"/>
    <x v="0"/>
    <s v="CUST041"/>
    <x v="0"/>
    <n v="34"/>
    <x v="3"/>
    <x v="0"/>
    <n v="2"/>
    <x v="3"/>
    <n v="25"/>
    <n v="50"/>
  </r>
  <r>
    <n v="141"/>
    <d v="2023-02-22T00:00:00"/>
    <x v="1"/>
    <n v="2"/>
    <x v="0"/>
    <s v="CUST454"/>
    <x v="1"/>
    <n v="46"/>
    <x v="1"/>
    <x v="1"/>
    <n v="1"/>
    <x v="2"/>
    <n v="25"/>
    <n v="25"/>
  </r>
  <r>
    <n v="142"/>
    <d v="2023-02-22T00:00:00"/>
    <x v="1"/>
    <n v="2"/>
    <x v="0"/>
    <s v="CUST780"/>
    <x v="0"/>
    <n v="52"/>
    <x v="1"/>
    <x v="2"/>
    <n v="2"/>
    <x v="3"/>
    <n v="25"/>
    <n v="50"/>
  </r>
  <r>
    <n v="143"/>
    <d v="2023-02-22T00:00:00"/>
    <x v="1"/>
    <n v="2"/>
    <x v="0"/>
    <s v="CUST920"/>
    <x v="1"/>
    <n v="28"/>
    <x v="3"/>
    <x v="1"/>
    <n v="3"/>
    <x v="0"/>
    <n v="25"/>
    <n v="75"/>
  </r>
  <r>
    <n v="144"/>
    <d v="2023-02-23T00:00:00"/>
    <x v="1"/>
    <n v="2"/>
    <x v="0"/>
    <s v="CUST396"/>
    <x v="1"/>
    <n v="55"/>
    <x v="1"/>
    <x v="1"/>
    <n v="1"/>
    <x v="2"/>
    <n v="30"/>
    <n v="30"/>
  </r>
  <r>
    <n v="145"/>
    <d v="2023-02-24T00:00:00"/>
    <x v="1"/>
    <n v="2"/>
    <x v="0"/>
    <s v="CUST168"/>
    <x v="0"/>
    <n v="53"/>
    <x v="1"/>
    <x v="0"/>
    <n v="1"/>
    <x v="2"/>
    <n v="300"/>
    <n v="300"/>
  </r>
  <r>
    <n v="146"/>
    <d v="2023-02-24T00:00:00"/>
    <x v="1"/>
    <n v="2"/>
    <x v="0"/>
    <s v="CUST400"/>
    <x v="0"/>
    <n v="53"/>
    <x v="1"/>
    <x v="0"/>
    <n v="4"/>
    <x v="1"/>
    <n v="50"/>
    <n v="200"/>
  </r>
  <r>
    <n v="147"/>
    <d v="2023-02-24T00:00:00"/>
    <x v="1"/>
    <n v="2"/>
    <x v="0"/>
    <s v="CUST611"/>
    <x v="0"/>
    <n v="51"/>
    <x v="1"/>
    <x v="1"/>
    <n v="3"/>
    <x v="0"/>
    <n v="500"/>
    <n v="1500"/>
  </r>
  <r>
    <n v="148"/>
    <d v="2023-02-24T00:00:00"/>
    <x v="1"/>
    <n v="2"/>
    <x v="0"/>
    <s v="CUST800"/>
    <x v="0"/>
    <n v="32"/>
    <x v="3"/>
    <x v="0"/>
    <n v="4"/>
    <x v="1"/>
    <n v="300"/>
    <n v="1200"/>
  </r>
  <r>
    <n v="149"/>
    <d v="2023-02-25T00:00:00"/>
    <x v="1"/>
    <n v="2"/>
    <x v="0"/>
    <s v="CUST272"/>
    <x v="1"/>
    <n v="61"/>
    <x v="2"/>
    <x v="2"/>
    <n v="2"/>
    <x v="3"/>
    <n v="50"/>
    <n v="100"/>
  </r>
  <r>
    <n v="150"/>
    <d v="2023-02-25T00:00:00"/>
    <x v="1"/>
    <n v="2"/>
    <x v="0"/>
    <s v="CUST473"/>
    <x v="0"/>
    <n v="64"/>
    <x v="2"/>
    <x v="1"/>
    <n v="1"/>
    <x v="2"/>
    <n v="50"/>
    <n v="50"/>
  </r>
  <r>
    <n v="151"/>
    <d v="2023-02-25T00:00:00"/>
    <x v="1"/>
    <n v="2"/>
    <x v="0"/>
    <s v="CUST506"/>
    <x v="0"/>
    <n v="34"/>
    <x v="3"/>
    <x v="1"/>
    <n v="3"/>
    <x v="0"/>
    <n v="500"/>
    <n v="1500"/>
  </r>
  <r>
    <n v="152"/>
    <d v="2023-02-25T00:00:00"/>
    <x v="1"/>
    <n v="2"/>
    <x v="0"/>
    <s v="CUST766"/>
    <x v="0"/>
    <n v="38"/>
    <x v="0"/>
    <x v="2"/>
    <n v="3"/>
    <x v="0"/>
    <n v="300"/>
    <n v="900"/>
  </r>
  <r>
    <n v="153"/>
    <d v="2023-02-26T00:00:00"/>
    <x v="1"/>
    <n v="2"/>
    <x v="0"/>
    <s v="CUST135"/>
    <x v="0"/>
    <n v="20"/>
    <x v="3"/>
    <x v="0"/>
    <n v="2"/>
    <x v="3"/>
    <n v="25"/>
    <n v="50"/>
  </r>
  <r>
    <n v="154"/>
    <d v="2023-02-27T00:00:00"/>
    <x v="1"/>
    <n v="2"/>
    <x v="0"/>
    <s v="CUST002"/>
    <x v="1"/>
    <n v="26"/>
    <x v="3"/>
    <x v="0"/>
    <n v="2"/>
    <x v="3"/>
    <n v="500"/>
    <n v="1000"/>
  </r>
  <r>
    <n v="155"/>
    <d v="2023-02-27T00:00:00"/>
    <x v="1"/>
    <n v="2"/>
    <x v="0"/>
    <s v="CUST158"/>
    <x v="1"/>
    <n v="44"/>
    <x v="0"/>
    <x v="2"/>
    <n v="2"/>
    <x v="3"/>
    <n v="300"/>
    <n v="600"/>
  </r>
  <r>
    <n v="156"/>
    <d v="2023-02-27T00:00:00"/>
    <x v="1"/>
    <n v="2"/>
    <x v="0"/>
    <s v="CUST185"/>
    <x v="0"/>
    <n v="24"/>
    <x v="3"/>
    <x v="0"/>
    <n v="1"/>
    <x v="2"/>
    <n v="25"/>
    <n v="25"/>
  </r>
  <r>
    <n v="157"/>
    <d v="2023-02-27T00:00:00"/>
    <x v="1"/>
    <n v="2"/>
    <x v="0"/>
    <s v="CUST433"/>
    <x v="0"/>
    <n v="29"/>
    <x v="3"/>
    <x v="1"/>
    <n v="4"/>
    <x v="1"/>
    <n v="50"/>
    <n v="200"/>
  </r>
  <r>
    <n v="158"/>
    <d v="2023-02-28T00:00:00"/>
    <x v="1"/>
    <n v="2"/>
    <x v="0"/>
    <s v="CUST152"/>
    <x v="0"/>
    <n v="43"/>
    <x v="0"/>
    <x v="2"/>
    <n v="4"/>
    <x v="1"/>
    <n v="500"/>
    <n v="2000"/>
  </r>
  <r>
    <n v="159"/>
    <d v="2023-02-28T00:00:00"/>
    <x v="1"/>
    <n v="2"/>
    <x v="0"/>
    <s v="CUST753"/>
    <x v="1"/>
    <n v="32"/>
    <x v="3"/>
    <x v="0"/>
    <n v="1"/>
    <x v="2"/>
    <n v="30"/>
    <n v="30"/>
  </r>
  <r>
    <n v="160"/>
    <d v="2023-02-28T00:00:00"/>
    <x v="1"/>
    <n v="2"/>
    <x v="0"/>
    <s v="CUST763"/>
    <x v="0"/>
    <n v="34"/>
    <x v="3"/>
    <x v="0"/>
    <n v="2"/>
    <x v="3"/>
    <n v="25"/>
    <n v="50"/>
  </r>
  <r>
    <n v="161"/>
    <d v="2023-02-28T00:00:00"/>
    <x v="1"/>
    <n v="2"/>
    <x v="0"/>
    <s v="CUST932"/>
    <x v="1"/>
    <n v="45"/>
    <x v="0"/>
    <x v="1"/>
    <n v="4"/>
    <x v="1"/>
    <n v="25"/>
    <n v="100"/>
  </r>
  <r>
    <n v="162"/>
    <d v="2023-03-01T00:00:00"/>
    <x v="1"/>
    <n v="2"/>
    <x v="0"/>
    <s v="CUST399"/>
    <x v="1"/>
    <n v="64"/>
    <x v="2"/>
    <x v="1"/>
    <n v="2"/>
    <x v="3"/>
    <n v="30"/>
    <n v="60"/>
  </r>
  <r>
    <n v="163"/>
    <d v="2023-03-01T00:00:00"/>
    <x v="1"/>
    <n v="2"/>
    <x v="0"/>
    <s v="CUST500"/>
    <x v="1"/>
    <n v="60"/>
    <x v="2"/>
    <x v="1"/>
    <n v="4"/>
    <x v="1"/>
    <n v="25"/>
    <n v="100"/>
  </r>
  <r>
    <n v="164"/>
    <d v="2023-03-01T00:00:00"/>
    <x v="2"/>
    <n v="3"/>
    <x v="0"/>
    <s v="CUST514"/>
    <x v="1"/>
    <n v="18"/>
    <x v="4"/>
    <x v="2"/>
    <n v="1"/>
    <x v="2"/>
    <n v="300"/>
    <n v="300"/>
  </r>
  <r>
    <n v="165"/>
    <d v="2023-03-02T00:00:00"/>
    <x v="2"/>
    <n v="3"/>
    <x v="0"/>
    <s v="CUST947"/>
    <x v="0"/>
    <n v="50"/>
    <x v="1"/>
    <x v="1"/>
    <n v="1"/>
    <x v="2"/>
    <n v="300"/>
    <n v="300"/>
  </r>
  <r>
    <n v="166"/>
    <d v="2023-03-03T00:00:00"/>
    <x v="2"/>
    <n v="3"/>
    <x v="0"/>
    <s v="CUST220"/>
    <x v="0"/>
    <n v="64"/>
    <x v="2"/>
    <x v="1"/>
    <n v="1"/>
    <x v="2"/>
    <n v="500"/>
    <n v="500"/>
  </r>
  <r>
    <n v="167"/>
    <d v="2023-03-03T00:00:00"/>
    <x v="2"/>
    <n v="3"/>
    <x v="0"/>
    <s v="CUST339"/>
    <x v="1"/>
    <n v="22"/>
    <x v="3"/>
    <x v="2"/>
    <n v="2"/>
    <x v="3"/>
    <n v="25"/>
    <n v="50"/>
  </r>
  <r>
    <n v="168"/>
    <d v="2023-03-03T00:00:00"/>
    <x v="2"/>
    <n v="3"/>
    <x v="0"/>
    <s v="CUST785"/>
    <x v="1"/>
    <n v="31"/>
    <x v="3"/>
    <x v="1"/>
    <n v="4"/>
    <x v="1"/>
    <n v="50"/>
    <n v="200"/>
  </r>
  <r>
    <n v="169"/>
    <d v="2023-03-03T00:00:00"/>
    <x v="2"/>
    <n v="3"/>
    <x v="0"/>
    <s v="CUST885"/>
    <x v="1"/>
    <n v="52"/>
    <x v="1"/>
    <x v="0"/>
    <n v="4"/>
    <x v="1"/>
    <n v="30"/>
    <n v="120"/>
  </r>
  <r>
    <n v="170"/>
    <d v="2023-03-03T00:00:00"/>
    <x v="2"/>
    <n v="3"/>
    <x v="0"/>
    <s v="CUST888"/>
    <x v="1"/>
    <n v="52"/>
    <x v="1"/>
    <x v="2"/>
    <n v="4"/>
    <x v="1"/>
    <n v="25"/>
    <n v="100"/>
  </r>
  <r>
    <n v="171"/>
    <d v="2023-03-04T00:00:00"/>
    <x v="2"/>
    <n v="3"/>
    <x v="0"/>
    <s v="CUST621"/>
    <x v="1"/>
    <n v="40"/>
    <x v="0"/>
    <x v="1"/>
    <n v="2"/>
    <x v="3"/>
    <n v="500"/>
    <n v="1000"/>
  </r>
  <r>
    <n v="172"/>
    <d v="2023-03-05T00:00:00"/>
    <x v="2"/>
    <n v="3"/>
    <x v="0"/>
    <s v="CUST052"/>
    <x v="1"/>
    <n v="36"/>
    <x v="0"/>
    <x v="1"/>
    <n v="1"/>
    <x v="2"/>
    <n v="300"/>
    <n v="300"/>
  </r>
  <r>
    <n v="173"/>
    <d v="2023-03-05T00:00:00"/>
    <x v="2"/>
    <n v="3"/>
    <x v="0"/>
    <s v="CUST536"/>
    <x v="1"/>
    <n v="55"/>
    <x v="1"/>
    <x v="1"/>
    <n v="4"/>
    <x v="1"/>
    <n v="30"/>
    <n v="120"/>
  </r>
  <r>
    <n v="174"/>
    <d v="2023-03-06T00:00:00"/>
    <x v="2"/>
    <n v="3"/>
    <x v="0"/>
    <s v="CUST197"/>
    <x v="1"/>
    <n v="42"/>
    <x v="0"/>
    <x v="0"/>
    <n v="4"/>
    <x v="1"/>
    <n v="50"/>
    <n v="200"/>
  </r>
  <r>
    <n v="175"/>
    <d v="2023-03-06T00:00:00"/>
    <x v="2"/>
    <n v="3"/>
    <x v="0"/>
    <s v="CUST750"/>
    <x v="1"/>
    <n v="35"/>
    <x v="0"/>
    <x v="0"/>
    <n v="3"/>
    <x v="0"/>
    <n v="25"/>
    <n v="75"/>
  </r>
  <r>
    <n v="176"/>
    <d v="2023-03-06T00:00:00"/>
    <x v="2"/>
    <n v="3"/>
    <x v="0"/>
    <s v="CUST910"/>
    <x v="1"/>
    <n v="20"/>
    <x v="3"/>
    <x v="1"/>
    <n v="3"/>
    <x v="0"/>
    <n v="50"/>
    <n v="150"/>
  </r>
  <r>
    <n v="177"/>
    <d v="2023-03-06T00:00:00"/>
    <x v="2"/>
    <n v="3"/>
    <x v="0"/>
    <s v="CUST917"/>
    <x v="1"/>
    <n v="57"/>
    <x v="2"/>
    <x v="2"/>
    <n v="4"/>
    <x v="1"/>
    <n v="50"/>
    <n v="200"/>
  </r>
  <r>
    <n v="178"/>
    <d v="2023-03-07T00:00:00"/>
    <x v="2"/>
    <n v="3"/>
    <x v="0"/>
    <s v="CUST198"/>
    <x v="1"/>
    <n v="54"/>
    <x v="1"/>
    <x v="1"/>
    <n v="3"/>
    <x v="0"/>
    <n v="300"/>
    <n v="900"/>
  </r>
  <r>
    <n v="179"/>
    <d v="2023-03-07T00:00:00"/>
    <x v="2"/>
    <n v="3"/>
    <x v="0"/>
    <s v="CUST444"/>
    <x v="1"/>
    <n v="61"/>
    <x v="2"/>
    <x v="0"/>
    <n v="3"/>
    <x v="0"/>
    <n v="30"/>
    <n v="90"/>
  </r>
  <r>
    <n v="180"/>
    <d v="2023-03-07T00:00:00"/>
    <x v="2"/>
    <n v="3"/>
    <x v="0"/>
    <s v="CUST547"/>
    <x v="0"/>
    <n v="63"/>
    <x v="2"/>
    <x v="0"/>
    <n v="4"/>
    <x v="1"/>
    <n v="500"/>
    <n v="2000"/>
  </r>
  <r>
    <n v="181"/>
    <d v="2023-03-07T00:00:00"/>
    <x v="2"/>
    <n v="3"/>
    <x v="0"/>
    <s v="CUST705"/>
    <x v="0"/>
    <n v="60"/>
    <x v="2"/>
    <x v="2"/>
    <n v="2"/>
    <x v="3"/>
    <n v="25"/>
    <n v="50"/>
  </r>
  <r>
    <n v="182"/>
    <d v="2023-03-08T00:00:00"/>
    <x v="2"/>
    <n v="3"/>
    <x v="0"/>
    <s v="CUST423"/>
    <x v="1"/>
    <n v="27"/>
    <x v="3"/>
    <x v="0"/>
    <n v="1"/>
    <x v="2"/>
    <n v="25"/>
    <n v="25"/>
  </r>
  <r>
    <n v="183"/>
    <d v="2023-03-09T00:00:00"/>
    <x v="2"/>
    <n v="3"/>
    <x v="0"/>
    <s v="CUST248"/>
    <x v="0"/>
    <n v="26"/>
    <x v="3"/>
    <x v="0"/>
    <n v="3"/>
    <x v="0"/>
    <n v="300"/>
    <n v="900"/>
  </r>
  <r>
    <n v="184"/>
    <d v="2023-03-09T00:00:00"/>
    <x v="2"/>
    <n v="3"/>
    <x v="0"/>
    <s v="CUST360"/>
    <x v="0"/>
    <n v="42"/>
    <x v="0"/>
    <x v="0"/>
    <n v="4"/>
    <x v="1"/>
    <n v="25"/>
    <n v="100"/>
  </r>
  <r>
    <n v="185"/>
    <d v="2023-03-09T00:00:00"/>
    <x v="2"/>
    <n v="3"/>
    <x v="0"/>
    <s v="CUST377"/>
    <x v="1"/>
    <n v="46"/>
    <x v="1"/>
    <x v="0"/>
    <n v="4"/>
    <x v="1"/>
    <n v="50"/>
    <n v="200"/>
  </r>
  <r>
    <n v="186"/>
    <d v="2023-03-10T00:00:00"/>
    <x v="2"/>
    <n v="3"/>
    <x v="0"/>
    <s v="CUST397"/>
    <x v="1"/>
    <n v="30"/>
    <x v="3"/>
    <x v="1"/>
    <n v="1"/>
    <x v="2"/>
    <n v="25"/>
    <n v="25"/>
  </r>
  <r>
    <n v="187"/>
    <d v="2023-03-10T00:00:00"/>
    <x v="2"/>
    <n v="3"/>
    <x v="0"/>
    <s v="CUST623"/>
    <x v="0"/>
    <n v="34"/>
    <x v="3"/>
    <x v="0"/>
    <n v="3"/>
    <x v="0"/>
    <n v="50"/>
    <n v="150"/>
  </r>
  <r>
    <n v="188"/>
    <d v="2023-03-11T00:00:00"/>
    <x v="2"/>
    <n v="3"/>
    <x v="0"/>
    <s v="CUST717"/>
    <x v="0"/>
    <n v="57"/>
    <x v="2"/>
    <x v="0"/>
    <n v="1"/>
    <x v="2"/>
    <n v="500"/>
    <n v="500"/>
  </r>
  <r>
    <n v="189"/>
    <d v="2023-03-12T00:00:00"/>
    <x v="2"/>
    <n v="3"/>
    <x v="0"/>
    <s v="CUST130"/>
    <x v="1"/>
    <n v="57"/>
    <x v="2"/>
    <x v="0"/>
    <n v="1"/>
    <x v="2"/>
    <n v="500"/>
    <n v="500"/>
  </r>
  <r>
    <n v="190"/>
    <d v="2023-03-12T00:00:00"/>
    <x v="2"/>
    <n v="3"/>
    <x v="0"/>
    <s v="CUST658"/>
    <x v="0"/>
    <n v="59"/>
    <x v="2"/>
    <x v="0"/>
    <n v="1"/>
    <x v="2"/>
    <n v="25"/>
    <n v="25"/>
  </r>
  <r>
    <n v="191"/>
    <d v="2023-03-13T00:00:00"/>
    <x v="2"/>
    <n v="3"/>
    <x v="0"/>
    <s v="CUST007"/>
    <x v="0"/>
    <n v="46"/>
    <x v="1"/>
    <x v="0"/>
    <n v="2"/>
    <x v="3"/>
    <n v="25"/>
    <n v="50"/>
  </r>
  <r>
    <n v="192"/>
    <d v="2023-03-13T00:00:00"/>
    <x v="2"/>
    <n v="3"/>
    <x v="0"/>
    <s v="CUST119"/>
    <x v="1"/>
    <n v="60"/>
    <x v="2"/>
    <x v="0"/>
    <n v="3"/>
    <x v="0"/>
    <n v="50"/>
    <n v="150"/>
  </r>
  <r>
    <n v="193"/>
    <d v="2023-03-13T00:00:00"/>
    <x v="2"/>
    <n v="3"/>
    <x v="0"/>
    <s v="CUST278"/>
    <x v="1"/>
    <n v="37"/>
    <x v="0"/>
    <x v="0"/>
    <n v="4"/>
    <x v="1"/>
    <n v="25"/>
    <n v="100"/>
  </r>
  <r>
    <n v="194"/>
    <d v="2023-03-15T00:00:00"/>
    <x v="2"/>
    <n v="3"/>
    <x v="0"/>
    <s v="CUST117"/>
    <x v="0"/>
    <n v="19"/>
    <x v="3"/>
    <x v="2"/>
    <n v="2"/>
    <x v="3"/>
    <n v="500"/>
    <n v="1000"/>
  </r>
  <r>
    <n v="195"/>
    <d v="2023-03-17T00:00:00"/>
    <x v="2"/>
    <n v="3"/>
    <x v="0"/>
    <s v="CUST442"/>
    <x v="1"/>
    <n v="60"/>
    <x v="2"/>
    <x v="0"/>
    <n v="4"/>
    <x v="1"/>
    <n v="25"/>
    <n v="100"/>
  </r>
  <r>
    <n v="196"/>
    <d v="2023-03-17T00:00:00"/>
    <x v="2"/>
    <n v="3"/>
    <x v="0"/>
    <s v="CUST590"/>
    <x v="0"/>
    <n v="36"/>
    <x v="0"/>
    <x v="0"/>
    <n v="3"/>
    <x v="0"/>
    <n v="300"/>
    <n v="900"/>
  </r>
  <r>
    <n v="197"/>
    <d v="2023-03-17T00:00:00"/>
    <x v="2"/>
    <n v="3"/>
    <x v="0"/>
    <s v="CUST607"/>
    <x v="0"/>
    <n v="54"/>
    <x v="1"/>
    <x v="0"/>
    <n v="3"/>
    <x v="0"/>
    <n v="25"/>
    <n v="75"/>
  </r>
  <r>
    <n v="198"/>
    <d v="2023-03-18T00:00:00"/>
    <x v="2"/>
    <n v="3"/>
    <x v="0"/>
    <s v="CUST436"/>
    <x v="1"/>
    <n v="57"/>
    <x v="2"/>
    <x v="0"/>
    <n v="4"/>
    <x v="1"/>
    <n v="30"/>
    <n v="120"/>
  </r>
  <r>
    <n v="199"/>
    <d v="2023-03-18T00:00:00"/>
    <x v="2"/>
    <n v="3"/>
    <x v="0"/>
    <s v="CUST942"/>
    <x v="0"/>
    <n v="51"/>
    <x v="1"/>
    <x v="0"/>
    <n v="3"/>
    <x v="0"/>
    <n v="500"/>
    <n v="1500"/>
  </r>
  <r>
    <n v="200"/>
    <d v="2023-03-19T00:00:00"/>
    <x v="2"/>
    <n v="3"/>
    <x v="0"/>
    <s v="CUST659"/>
    <x v="1"/>
    <n v="39"/>
    <x v="0"/>
    <x v="2"/>
    <n v="1"/>
    <x v="2"/>
    <n v="30"/>
    <n v="30"/>
  </r>
  <r>
    <n v="201"/>
    <d v="2023-03-19T00:00:00"/>
    <x v="2"/>
    <n v="3"/>
    <x v="0"/>
    <s v="CUST941"/>
    <x v="1"/>
    <n v="57"/>
    <x v="2"/>
    <x v="0"/>
    <n v="2"/>
    <x v="3"/>
    <n v="25"/>
    <n v="50"/>
  </r>
  <r>
    <n v="202"/>
    <d v="2023-03-20T00:00:00"/>
    <x v="2"/>
    <n v="3"/>
    <x v="0"/>
    <s v="CUST136"/>
    <x v="0"/>
    <n v="44"/>
    <x v="0"/>
    <x v="2"/>
    <n v="2"/>
    <x v="3"/>
    <n v="300"/>
    <n v="600"/>
  </r>
  <r>
    <n v="203"/>
    <d v="2023-03-20T00:00:00"/>
    <x v="2"/>
    <n v="3"/>
    <x v="0"/>
    <s v="CUST175"/>
    <x v="1"/>
    <n v="31"/>
    <x v="3"/>
    <x v="2"/>
    <n v="4"/>
    <x v="1"/>
    <n v="25"/>
    <n v="100"/>
  </r>
  <r>
    <n v="204"/>
    <d v="2023-03-20T00:00:00"/>
    <x v="2"/>
    <n v="3"/>
    <x v="0"/>
    <s v="CUST663"/>
    <x v="0"/>
    <n v="23"/>
    <x v="3"/>
    <x v="0"/>
    <n v="4"/>
    <x v="1"/>
    <n v="300"/>
    <n v="1200"/>
  </r>
  <r>
    <n v="205"/>
    <d v="2023-03-20T00:00:00"/>
    <x v="2"/>
    <n v="3"/>
    <x v="0"/>
    <s v="CUST748"/>
    <x v="0"/>
    <n v="25"/>
    <x v="3"/>
    <x v="0"/>
    <n v="3"/>
    <x v="0"/>
    <n v="50"/>
    <n v="150"/>
  </r>
  <r>
    <n v="206"/>
    <d v="2023-03-20T00:00:00"/>
    <x v="2"/>
    <n v="3"/>
    <x v="0"/>
    <s v="CUST806"/>
    <x v="1"/>
    <n v="35"/>
    <x v="0"/>
    <x v="1"/>
    <n v="3"/>
    <x v="0"/>
    <n v="300"/>
    <n v="900"/>
  </r>
  <r>
    <n v="207"/>
    <d v="2023-03-21T00:00:00"/>
    <x v="2"/>
    <n v="3"/>
    <x v="0"/>
    <s v="CUST038"/>
    <x v="0"/>
    <n v="38"/>
    <x v="0"/>
    <x v="1"/>
    <n v="4"/>
    <x v="1"/>
    <n v="50"/>
    <n v="200"/>
  </r>
  <r>
    <n v="208"/>
    <d v="2023-03-21T00:00:00"/>
    <x v="2"/>
    <n v="3"/>
    <x v="0"/>
    <s v="CUST313"/>
    <x v="1"/>
    <n v="55"/>
    <x v="1"/>
    <x v="1"/>
    <n v="3"/>
    <x v="0"/>
    <n v="500"/>
    <n v="1500"/>
  </r>
  <r>
    <n v="209"/>
    <d v="2023-03-21T00:00:00"/>
    <x v="2"/>
    <n v="3"/>
    <x v="0"/>
    <s v="CUST402"/>
    <x v="1"/>
    <n v="41"/>
    <x v="0"/>
    <x v="0"/>
    <n v="2"/>
    <x v="3"/>
    <n v="300"/>
    <n v="600"/>
  </r>
  <r>
    <n v="210"/>
    <d v="2023-03-21T00:00:00"/>
    <x v="2"/>
    <n v="3"/>
    <x v="0"/>
    <s v="CUST459"/>
    <x v="0"/>
    <n v="28"/>
    <x v="3"/>
    <x v="0"/>
    <n v="4"/>
    <x v="1"/>
    <n v="300"/>
    <n v="1200"/>
  </r>
  <r>
    <n v="211"/>
    <d v="2024-01-01T00:00:00"/>
    <x v="2"/>
    <n v="3"/>
    <x v="0"/>
    <s v="CUST211"/>
    <x v="0"/>
    <n v="42"/>
    <x v="0"/>
    <x v="1"/>
    <n v="3"/>
    <x v="0"/>
    <n v="500"/>
    <n v="1500"/>
  </r>
  <r>
    <n v="212"/>
    <d v="2023-03-22T00:00:00"/>
    <x v="2"/>
    <n v="3"/>
    <x v="0"/>
    <s v="CUST161"/>
    <x v="0"/>
    <n v="64"/>
    <x v="2"/>
    <x v="1"/>
    <n v="2"/>
    <x v="3"/>
    <n v="500"/>
    <n v="1000"/>
  </r>
  <r>
    <n v="213"/>
    <d v="2023-03-22T00:00:00"/>
    <x v="2"/>
    <n v="3"/>
    <x v="0"/>
    <s v="CUST328"/>
    <x v="0"/>
    <n v="39"/>
    <x v="0"/>
    <x v="1"/>
    <n v="2"/>
    <x v="3"/>
    <n v="50"/>
    <n v="100"/>
  </r>
  <r>
    <n v="214"/>
    <d v="2023-03-22T00:00:00"/>
    <x v="2"/>
    <n v="3"/>
    <x v="0"/>
    <s v="CUST383"/>
    <x v="1"/>
    <n v="46"/>
    <x v="1"/>
    <x v="1"/>
    <n v="3"/>
    <x v="0"/>
    <n v="30"/>
    <n v="90"/>
  </r>
  <r>
    <n v="215"/>
    <d v="2023-03-22T00:00:00"/>
    <x v="2"/>
    <n v="3"/>
    <x v="0"/>
    <s v="CUST973"/>
    <x v="0"/>
    <n v="60"/>
    <x v="2"/>
    <x v="0"/>
    <n v="1"/>
    <x v="2"/>
    <n v="50"/>
    <n v="50"/>
  </r>
  <r>
    <n v="216"/>
    <d v="2023-03-22T00:00:00"/>
    <x v="2"/>
    <n v="3"/>
    <x v="0"/>
    <s v="CUST978"/>
    <x v="1"/>
    <n v="53"/>
    <x v="1"/>
    <x v="0"/>
    <n v="3"/>
    <x v="0"/>
    <n v="50"/>
    <n v="150"/>
  </r>
  <r>
    <n v="217"/>
    <d v="2023-03-23T00:00:00"/>
    <x v="2"/>
    <n v="3"/>
    <x v="0"/>
    <s v="CUST033"/>
    <x v="1"/>
    <n v="50"/>
    <x v="1"/>
    <x v="2"/>
    <n v="2"/>
    <x v="3"/>
    <n v="50"/>
    <n v="100"/>
  </r>
  <r>
    <n v="218"/>
    <d v="2023-03-23T00:00:00"/>
    <x v="2"/>
    <n v="3"/>
    <x v="0"/>
    <s v="CUST138"/>
    <x v="0"/>
    <n v="49"/>
    <x v="1"/>
    <x v="0"/>
    <n v="4"/>
    <x v="1"/>
    <n v="50"/>
    <n v="200"/>
  </r>
  <r>
    <n v="219"/>
    <d v="2023-03-23T00:00:00"/>
    <x v="2"/>
    <n v="3"/>
    <x v="0"/>
    <s v="CUST471"/>
    <x v="0"/>
    <n v="32"/>
    <x v="3"/>
    <x v="0"/>
    <n v="3"/>
    <x v="0"/>
    <n v="50"/>
    <n v="150"/>
  </r>
  <r>
    <n v="220"/>
    <d v="2023-03-23T00:00:00"/>
    <x v="2"/>
    <n v="3"/>
    <x v="0"/>
    <s v="CUST636"/>
    <x v="1"/>
    <n v="21"/>
    <x v="3"/>
    <x v="1"/>
    <n v="3"/>
    <x v="0"/>
    <n v="500"/>
    <n v="1500"/>
  </r>
  <r>
    <n v="221"/>
    <d v="2023-03-24T00:00:00"/>
    <x v="2"/>
    <n v="3"/>
    <x v="0"/>
    <s v="CUST177"/>
    <x v="0"/>
    <n v="45"/>
    <x v="0"/>
    <x v="1"/>
    <n v="2"/>
    <x v="3"/>
    <n v="50"/>
    <n v="100"/>
  </r>
  <r>
    <n v="222"/>
    <d v="2023-03-24T00:00:00"/>
    <x v="2"/>
    <n v="3"/>
    <x v="0"/>
    <s v="CUST426"/>
    <x v="0"/>
    <n v="23"/>
    <x v="3"/>
    <x v="2"/>
    <n v="3"/>
    <x v="0"/>
    <n v="50"/>
    <n v="150"/>
  </r>
  <r>
    <n v="223"/>
    <d v="2023-03-25T00:00:00"/>
    <x v="2"/>
    <n v="3"/>
    <x v="0"/>
    <s v="CUST076"/>
    <x v="1"/>
    <n v="22"/>
    <x v="3"/>
    <x v="2"/>
    <n v="2"/>
    <x v="3"/>
    <n v="50"/>
    <n v="100"/>
  </r>
  <r>
    <n v="224"/>
    <d v="2023-03-25T00:00:00"/>
    <x v="2"/>
    <n v="3"/>
    <x v="0"/>
    <s v="CUST091"/>
    <x v="1"/>
    <n v="55"/>
    <x v="1"/>
    <x v="2"/>
    <n v="1"/>
    <x v="2"/>
    <n v="500"/>
    <n v="500"/>
  </r>
  <r>
    <n v="225"/>
    <d v="2023-03-25T00:00:00"/>
    <x v="2"/>
    <n v="3"/>
    <x v="0"/>
    <s v="CUST461"/>
    <x v="1"/>
    <n v="18"/>
    <x v="4"/>
    <x v="1"/>
    <n v="2"/>
    <x v="3"/>
    <n v="500"/>
    <n v="1000"/>
  </r>
  <r>
    <n v="226"/>
    <d v="2023-03-25T00:00:00"/>
    <x v="2"/>
    <n v="3"/>
    <x v="0"/>
    <s v="CUST764"/>
    <x v="1"/>
    <n v="40"/>
    <x v="0"/>
    <x v="0"/>
    <n v="1"/>
    <x v="2"/>
    <n v="25"/>
    <n v="25"/>
  </r>
  <r>
    <n v="227"/>
    <d v="2023-03-26T00:00:00"/>
    <x v="2"/>
    <n v="3"/>
    <x v="0"/>
    <s v="CUST202"/>
    <x v="1"/>
    <n v="34"/>
    <x v="3"/>
    <x v="0"/>
    <n v="4"/>
    <x v="1"/>
    <n v="300"/>
    <n v="1200"/>
  </r>
  <r>
    <n v="228"/>
    <d v="2023-03-26T00:00:00"/>
    <x v="2"/>
    <n v="3"/>
    <x v="0"/>
    <s v="CUST301"/>
    <x v="0"/>
    <n v="30"/>
    <x v="3"/>
    <x v="0"/>
    <n v="4"/>
    <x v="1"/>
    <n v="30"/>
    <n v="120"/>
  </r>
  <r>
    <n v="229"/>
    <d v="2023-03-26T00:00:00"/>
    <x v="2"/>
    <n v="3"/>
    <x v="0"/>
    <s v="CUST703"/>
    <x v="0"/>
    <n v="34"/>
    <x v="3"/>
    <x v="2"/>
    <n v="2"/>
    <x v="3"/>
    <n v="50"/>
    <n v="100"/>
  </r>
  <r>
    <n v="230"/>
    <d v="2023-03-27T00:00:00"/>
    <x v="2"/>
    <n v="3"/>
    <x v="0"/>
    <s v="CUST294"/>
    <x v="1"/>
    <n v="23"/>
    <x v="3"/>
    <x v="0"/>
    <n v="3"/>
    <x v="0"/>
    <n v="30"/>
    <n v="90"/>
  </r>
  <r>
    <n v="231"/>
    <d v="2023-03-27T00:00:00"/>
    <x v="2"/>
    <n v="3"/>
    <x v="0"/>
    <s v="CUST760"/>
    <x v="0"/>
    <n v="27"/>
    <x v="3"/>
    <x v="1"/>
    <n v="1"/>
    <x v="2"/>
    <n v="500"/>
    <n v="500"/>
  </r>
  <r>
    <n v="232"/>
    <d v="2023-03-28T00:00:00"/>
    <x v="2"/>
    <n v="3"/>
    <x v="0"/>
    <s v="CUST575"/>
    <x v="0"/>
    <n v="60"/>
    <x v="2"/>
    <x v="0"/>
    <n v="2"/>
    <x v="3"/>
    <n v="50"/>
    <n v="100"/>
  </r>
  <r>
    <n v="233"/>
    <d v="2023-03-29T00:00:00"/>
    <x v="2"/>
    <n v="3"/>
    <x v="0"/>
    <s v="CUST088"/>
    <x v="0"/>
    <n v="56"/>
    <x v="2"/>
    <x v="0"/>
    <n v="1"/>
    <x v="2"/>
    <n v="500"/>
    <n v="500"/>
  </r>
  <r>
    <n v="234"/>
    <d v="2023-03-30T00:00:00"/>
    <x v="2"/>
    <n v="3"/>
    <x v="0"/>
    <s v="CUST975"/>
    <x v="1"/>
    <n v="56"/>
    <x v="2"/>
    <x v="0"/>
    <n v="4"/>
    <x v="1"/>
    <n v="50"/>
    <n v="200"/>
  </r>
  <r>
    <n v="235"/>
    <d v="2023-03-31T00:00:00"/>
    <x v="2"/>
    <n v="3"/>
    <x v="0"/>
    <s v="CUST553"/>
    <x v="0"/>
    <n v="24"/>
    <x v="3"/>
    <x v="0"/>
    <n v="4"/>
    <x v="1"/>
    <n v="300"/>
    <n v="1200"/>
  </r>
  <r>
    <n v="236"/>
    <d v="2023-04-01T00:00:00"/>
    <x v="2"/>
    <n v="3"/>
    <x v="0"/>
    <s v="CUST462"/>
    <x v="0"/>
    <n v="63"/>
    <x v="2"/>
    <x v="2"/>
    <n v="4"/>
    <x v="1"/>
    <n v="300"/>
    <n v="1200"/>
  </r>
  <r>
    <n v="237"/>
    <d v="2023-04-01T00:00:00"/>
    <x v="3"/>
    <n v="4"/>
    <x v="0"/>
    <s v="CUST614"/>
    <x v="1"/>
    <n v="39"/>
    <x v="0"/>
    <x v="1"/>
    <n v="4"/>
    <x v="1"/>
    <n v="300"/>
    <n v="1200"/>
  </r>
  <r>
    <n v="238"/>
    <d v="2023-04-01T00:00:00"/>
    <x v="3"/>
    <n v="4"/>
    <x v="0"/>
    <s v="CUST808"/>
    <x v="0"/>
    <n v="33"/>
    <x v="3"/>
    <x v="1"/>
    <n v="4"/>
    <x v="1"/>
    <n v="500"/>
    <n v="2000"/>
  </r>
  <r>
    <n v="239"/>
    <d v="2023-04-02T00:00:00"/>
    <x v="3"/>
    <n v="4"/>
    <x v="0"/>
    <s v="CUST166"/>
    <x v="0"/>
    <n v="34"/>
    <x v="3"/>
    <x v="0"/>
    <n v="4"/>
    <x v="1"/>
    <n v="500"/>
    <n v="2000"/>
  </r>
  <r>
    <n v="240"/>
    <d v="2023-04-02T00:00:00"/>
    <x v="3"/>
    <n v="4"/>
    <x v="0"/>
    <s v="CUST465"/>
    <x v="1"/>
    <n v="43"/>
    <x v="0"/>
    <x v="2"/>
    <n v="3"/>
    <x v="0"/>
    <n v="50"/>
    <n v="150"/>
  </r>
  <r>
    <n v="241"/>
    <d v="2023-04-02T00:00:00"/>
    <x v="3"/>
    <n v="4"/>
    <x v="0"/>
    <s v="CUST502"/>
    <x v="0"/>
    <n v="43"/>
    <x v="0"/>
    <x v="2"/>
    <n v="3"/>
    <x v="0"/>
    <n v="50"/>
    <n v="150"/>
  </r>
  <r>
    <n v="242"/>
    <d v="2023-04-02T00:00:00"/>
    <x v="3"/>
    <n v="4"/>
    <x v="0"/>
    <s v="CUST905"/>
    <x v="0"/>
    <n v="58"/>
    <x v="2"/>
    <x v="1"/>
    <n v="1"/>
    <x v="2"/>
    <n v="300"/>
    <n v="300"/>
  </r>
  <r>
    <n v="243"/>
    <d v="2023-04-04T00:00:00"/>
    <x v="3"/>
    <n v="4"/>
    <x v="0"/>
    <s v="CUST280"/>
    <x v="1"/>
    <n v="37"/>
    <x v="0"/>
    <x v="0"/>
    <n v="3"/>
    <x v="0"/>
    <n v="500"/>
    <n v="1500"/>
  </r>
  <r>
    <n v="244"/>
    <d v="2023-04-04T00:00:00"/>
    <x v="3"/>
    <n v="4"/>
    <x v="0"/>
    <s v="CUST719"/>
    <x v="1"/>
    <n v="42"/>
    <x v="0"/>
    <x v="0"/>
    <n v="2"/>
    <x v="3"/>
    <n v="30"/>
    <n v="60"/>
  </r>
  <r>
    <n v="245"/>
    <d v="2023-04-04T00:00:00"/>
    <x v="3"/>
    <n v="4"/>
    <x v="0"/>
    <s v="CUST834"/>
    <x v="1"/>
    <n v="56"/>
    <x v="2"/>
    <x v="1"/>
    <n v="2"/>
    <x v="3"/>
    <n v="30"/>
    <n v="60"/>
  </r>
  <r>
    <n v="246"/>
    <d v="2023-04-05T00:00:00"/>
    <x v="3"/>
    <n v="4"/>
    <x v="0"/>
    <s v="CUST891"/>
    <x v="0"/>
    <n v="41"/>
    <x v="0"/>
    <x v="2"/>
    <n v="3"/>
    <x v="0"/>
    <n v="300"/>
    <n v="900"/>
  </r>
  <r>
    <n v="247"/>
    <d v="2023-04-05T00:00:00"/>
    <x v="3"/>
    <n v="4"/>
    <x v="0"/>
    <s v="CUST928"/>
    <x v="1"/>
    <n v="35"/>
    <x v="0"/>
    <x v="0"/>
    <n v="4"/>
    <x v="1"/>
    <n v="300"/>
    <n v="1200"/>
  </r>
  <r>
    <n v="248"/>
    <d v="2023-04-06T00:00:00"/>
    <x v="3"/>
    <n v="4"/>
    <x v="0"/>
    <s v="CUST332"/>
    <x v="0"/>
    <n v="58"/>
    <x v="2"/>
    <x v="2"/>
    <n v="4"/>
    <x v="1"/>
    <n v="300"/>
    <n v="1200"/>
  </r>
  <r>
    <n v="249"/>
    <d v="2023-04-08T00:00:00"/>
    <x v="3"/>
    <n v="4"/>
    <x v="0"/>
    <s v="CUST255"/>
    <x v="0"/>
    <n v="48"/>
    <x v="1"/>
    <x v="0"/>
    <n v="1"/>
    <x v="2"/>
    <n v="30"/>
    <n v="30"/>
  </r>
  <r>
    <n v="250"/>
    <d v="2023-04-08T00:00:00"/>
    <x v="3"/>
    <n v="4"/>
    <x v="0"/>
    <s v="CUST275"/>
    <x v="0"/>
    <n v="43"/>
    <x v="0"/>
    <x v="0"/>
    <n v="2"/>
    <x v="3"/>
    <n v="500"/>
    <n v="1000"/>
  </r>
  <r>
    <n v="251"/>
    <d v="2023-04-08T00:00:00"/>
    <x v="3"/>
    <n v="4"/>
    <x v="0"/>
    <s v="CUST314"/>
    <x v="0"/>
    <n v="52"/>
    <x v="1"/>
    <x v="0"/>
    <n v="4"/>
    <x v="1"/>
    <n v="30"/>
    <n v="120"/>
  </r>
  <r>
    <n v="252"/>
    <d v="2023-04-08T00:00:00"/>
    <x v="3"/>
    <n v="4"/>
    <x v="0"/>
    <s v="CUST517"/>
    <x v="1"/>
    <n v="47"/>
    <x v="1"/>
    <x v="0"/>
    <n v="4"/>
    <x v="1"/>
    <n v="25"/>
    <n v="100"/>
  </r>
  <r>
    <n v="253"/>
    <d v="2023-04-08T00:00:00"/>
    <x v="3"/>
    <n v="4"/>
    <x v="0"/>
    <s v="CUST847"/>
    <x v="1"/>
    <n v="18"/>
    <x v="4"/>
    <x v="2"/>
    <n v="4"/>
    <x v="1"/>
    <n v="300"/>
    <n v="1200"/>
  </r>
  <r>
    <n v="254"/>
    <d v="2023-04-09T00:00:00"/>
    <x v="3"/>
    <n v="4"/>
    <x v="0"/>
    <s v="CUST061"/>
    <x v="0"/>
    <n v="21"/>
    <x v="3"/>
    <x v="1"/>
    <n v="4"/>
    <x v="1"/>
    <n v="50"/>
    <n v="200"/>
  </r>
  <r>
    <n v="255"/>
    <d v="2023-04-09T00:00:00"/>
    <x v="3"/>
    <n v="4"/>
    <x v="0"/>
    <s v="CUST274"/>
    <x v="1"/>
    <n v="23"/>
    <x v="3"/>
    <x v="0"/>
    <n v="2"/>
    <x v="3"/>
    <n v="500"/>
    <n v="1000"/>
  </r>
  <r>
    <n v="256"/>
    <d v="2023-04-09T00:00:00"/>
    <x v="3"/>
    <n v="4"/>
    <x v="0"/>
    <s v="CUST486"/>
    <x v="1"/>
    <n v="35"/>
    <x v="0"/>
    <x v="2"/>
    <n v="1"/>
    <x v="2"/>
    <n v="25"/>
    <n v="25"/>
  </r>
  <r>
    <n v="257"/>
    <d v="2023-04-09T00:00:00"/>
    <x v="3"/>
    <n v="4"/>
    <x v="0"/>
    <s v="CUST548"/>
    <x v="1"/>
    <n v="51"/>
    <x v="1"/>
    <x v="0"/>
    <n v="2"/>
    <x v="3"/>
    <n v="30"/>
    <n v="60"/>
  </r>
  <r>
    <n v="258"/>
    <d v="2023-04-09T00:00:00"/>
    <x v="3"/>
    <n v="4"/>
    <x v="0"/>
    <s v="CUST886"/>
    <x v="0"/>
    <n v="37"/>
    <x v="0"/>
    <x v="2"/>
    <n v="3"/>
    <x v="0"/>
    <n v="300"/>
    <n v="900"/>
  </r>
  <r>
    <n v="259"/>
    <d v="2023-04-09T00:00:00"/>
    <x v="3"/>
    <n v="4"/>
    <x v="0"/>
    <s v="CUST892"/>
    <x v="0"/>
    <n v="20"/>
    <x v="3"/>
    <x v="2"/>
    <n v="1"/>
    <x v="2"/>
    <n v="50"/>
    <n v="50"/>
  </r>
  <r>
    <n v="260"/>
    <d v="2023-04-10T00:00:00"/>
    <x v="3"/>
    <n v="4"/>
    <x v="0"/>
    <s v="CUST601"/>
    <x v="0"/>
    <n v="19"/>
    <x v="3"/>
    <x v="0"/>
    <n v="1"/>
    <x v="2"/>
    <n v="30"/>
    <n v="30"/>
  </r>
  <r>
    <n v="261"/>
    <d v="2023-04-10T00:00:00"/>
    <x v="3"/>
    <n v="4"/>
    <x v="0"/>
    <s v="CUST901"/>
    <x v="0"/>
    <n v="31"/>
    <x v="3"/>
    <x v="2"/>
    <n v="1"/>
    <x v="2"/>
    <n v="30"/>
    <n v="30"/>
  </r>
  <r>
    <n v="262"/>
    <d v="2023-04-11T00:00:00"/>
    <x v="3"/>
    <n v="4"/>
    <x v="0"/>
    <s v="CUST527"/>
    <x v="0"/>
    <n v="57"/>
    <x v="2"/>
    <x v="0"/>
    <n v="2"/>
    <x v="3"/>
    <n v="25"/>
    <n v="50"/>
  </r>
  <r>
    <n v="263"/>
    <d v="2023-04-12T00:00:00"/>
    <x v="3"/>
    <n v="4"/>
    <x v="0"/>
    <s v="CUST023"/>
    <x v="1"/>
    <n v="35"/>
    <x v="0"/>
    <x v="0"/>
    <n v="4"/>
    <x v="1"/>
    <n v="30"/>
    <n v="120"/>
  </r>
  <r>
    <n v="264"/>
    <d v="2023-04-12T00:00:00"/>
    <x v="3"/>
    <n v="4"/>
    <x v="0"/>
    <s v="CUST174"/>
    <x v="1"/>
    <n v="39"/>
    <x v="0"/>
    <x v="1"/>
    <n v="1"/>
    <x v="2"/>
    <n v="300"/>
    <n v="300"/>
  </r>
  <r>
    <n v="265"/>
    <d v="2023-04-12T00:00:00"/>
    <x v="3"/>
    <n v="4"/>
    <x v="0"/>
    <s v="CUST589"/>
    <x v="1"/>
    <n v="36"/>
    <x v="0"/>
    <x v="1"/>
    <n v="2"/>
    <x v="3"/>
    <n v="500"/>
    <n v="1000"/>
  </r>
  <r>
    <n v="266"/>
    <d v="2023-04-12T00:00:00"/>
    <x v="3"/>
    <n v="4"/>
    <x v="0"/>
    <s v="CUST774"/>
    <x v="1"/>
    <n v="40"/>
    <x v="0"/>
    <x v="0"/>
    <n v="2"/>
    <x v="3"/>
    <n v="25"/>
    <n v="50"/>
  </r>
  <r>
    <n v="267"/>
    <d v="2023-04-12T00:00:00"/>
    <x v="3"/>
    <n v="4"/>
    <x v="0"/>
    <s v="CUST1000"/>
    <x v="0"/>
    <n v="47"/>
    <x v="1"/>
    <x v="2"/>
    <n v="4"/>
    <x v="1"/>
    <n v="30"/>
    <n v="120"/>
  </r>
  <r>
    <n v="268"/>
    <d v="2023-04-13T00:00:00"/>
    <x v="3"/>
    <n v="4"/>
    <x v="0"/>
    <s v="CUST210"/>
    <x v="0"/>
    <n v="37"/>
    <x v="0"/>
    <x v="2"/>
    <n v="4"/>
    <x v="1"/>
    <n v="50"/>
    <n v="200"/>
  </r>
  <r>
    <n v="269"/>
    <d v="2023-04-13T00:00:00"/>
    <x v="3"/>
    <n v="4"/>
    <x v="0"/>
    <s v="CUST478"/>
    <x v="1"/>
    <n v="58"/>
    <x v="2"/>
    <x v="0"/>
    <n v="2"/>
    <x v="3"/>
    <n v="30"/>
    <n v="60"/>
  </r>
  <r>
    <n v="270"/>
    <d v="2023-04-13T00:00:00"/>
    <x v="3"/>
    <n v="4"/>
    <x v="0"/>
    <s v="CUST745"/>
    <x v="0"/>
    <n v="54"/>
    <x v="1"/>
    <x v="1"/>
    <n v="2"/>
    <x v="3"/>
    <n v="50"/>
    <n v="100"/>
  </r>
  <r>
    <n v="271"/>
    <d v="2023-04-15T00:00:00"/>
    <x v="3"/>
    <n v="4"/>
    <x v="0"/>
    <s v="CUST354"/>
    <x v="1"/>
    <n v="49"/>
    <x v="1"/>
    <x v="1"/>
    <n v="4"/>
    <x v="1"/>
    <n v="50"/>
    <n v="200"/>
  </r>
  <r>
    <n v="272"/>
    <d v="2023-04-15T00:00:00"/>
    <x v="3"/>
    <n v="4"/>
    <x v="0"/>
    <s v="CUST408"/>
    <x v="1"/>
    <n v="64"/>
    <x v="2"/>
    <x v="1"/>
    <n v="1"/>
    <x v="2"/>
    <n v="500"/>
    <n v="500"/>
  </r>
  <r>
    <n v="273"/>
    <d v="2023-04-16T00:00:00"/>
    <x v="3"/>
    <n v="4"/>
    <x v="0"/>
    <s v="CUST674"/>
    <x v="1"/>
    <n v="38"/>
    <x v="0"/>
    <x v="0"/>
    <n v="1"/>
    <x v="2"/>
    <n v="300"/>
    <n v="300"/>
  </r>
  <r>
    <n v="274"/>
    <d v="2023-04-17T00:00:00"/>
    <x v="3"/>
    <n v="4"/>
    <x v="0"/>
    <s v="CUST967"/>
    <x v="0"/>
    <n v="62"/>
    <x v="2"/>
    <x v="1"/>
    <n v="1"/>
    <x v="2"/>
    <n v="25"/>
    <n v="25"/>
  </r>
  <r>
    <n v="275"/>
    <d v="2023-04-18T00:00:00"/>
    <x v="3"/>
    <n v="4"/>
    <x v="0"/>
    <s v="CUST079"/>
    <x v="0"/>
    <n v="34"/>
    <x v="3"/>
    <x v="1"/>
    <n v="1"/>
    <x v="2"/>
    <n v="300"/>
    <n v="300"/>
  </r>
  <r>
    <n v="276"/>
    <d v="2023-04-18T00:00:00"/>
    <x v="3"/>
    <n v="4"/>
    <x v="0"/>
    <s v="CUST406"/>
    <x v="1"/>
    <n v="22"/>
    <x v="3"/>
    <x v="1"/>
    <n v="4"/>
    <x v="1"/>
    <n v="25"/>
    <n v="100"/>
  </r>
  <r>
    <n v="277"/>
    <d v="2023-04-18T00:00:00"/>
    <x v="3"/>
    <n v="4"/>
    <x v="0"/>
    <s v="CUST450"/>
    <x v="1"/>
    <n v="59"/>
    <x v="2"/>
    <x v="1"/>
    <n v="2"/>
    <x v="3"/>
    <n v="25"/>
    <n v="50"/>
  </r>
  <r>
    <n v="278"/>
    <d v="2023-04-18T00:00:00"/>
    <x v="3"/>
    <n v="4"/>
    <x v="0"/>
    <s v="CUST562"/>
    <x v="0"/>
    <n v="54"/>
    <x v="1"/>
    <x v="2"/>
    <n v="2"/>
    <x v="3"/>
    <n v="25"/>
    <n v="50"/>
  </r>
  <r>
    <n v="279"/>
    <d v="2023-04-19T00:00:00"/>
    <x v="3"/>
    <n v="4"/>
    <x v="0"/>
    <s v="CUST108"/>
    <x v="1"/>
    <n v="27"/>
    <x v="3"/>
    <x v="1"/>
    <n v="3"/>
    <x v="0"/>
    <n v="25"/>
    <n v="75"/>
  </r>
  <r>
    <n v="280"/>
    <d v="2023-04-19T00:00:00"/>
    <x v="3"/>
    <n v="4"/>
    <x v="0"/>
    <s v="CUST111"/>
    <x v="1"/>
    <n v="34"/>
    <x v="3"/>
    <x v="2"/>
    <n v="3"/>
    <x v="0"/>
    <n v="500"/>
    <n v="1500"/>
  </r>
  <r>
    <n v="281"/>
    <d v="2023-04-19T00:00:00"/>
    <x v="3"/>
    <n v="4"/>
    <x v="0"/>
    <s v="CUST207"/>
    <x v="1"/>
    <n v="42"/>
    <x v="0"/>
    <x v="1"/>
    <n v="2"/>
    <x v="3"/>
    <n v="25"/>
    <n v="50"/>
  </r>
  <r>
    <n v="282"/>
    <d v="2023-04-19T00:00:00"/>
    <x v="3"/>
    <n v="4"/>
    <x v="0"/>
    <s v="CUST724"/>
    <x v="0"/>
    <n v="61"/>
    <x v="2"/>
    <x v="0"/>
    <n v="3"/>
    <x v="0"/>
    <n v="50"/>
    <n v="150"/>
  </r>
  <r>
    <n v="283"/>
    <d v="2023-04-19T00:00:00"/>
    <x v="3"/>
    <n v="4"/>
    <x v="0"/>
    <s v="CUST836"/>
    <x v="1"/>
    <n v="22"/>
    <x v="3"/>
    <x v="0"/>
    <n v="1"/>
    <x v="2"/>
    <n v="50"/>
    <n v="50"/>
  </r>
  <r>
    <n v="284"/>
    <d v="2023-04-19T00:00:00"/>
    <x v="3"/>
    <n v="4"/>
    <x v="0"/>
    <s v="CUST969"/>
    <x v="1"/>
    <n v="40"/>
    <x v="0"/>
    <x v="0"/>
    <n v="3"/>
    <x v="0"/>
    <n v="300"/>
    <n v="900"/>
  </r>
  <r>
    <n v="285"/>
    <d v="2023-04-20T00:00:00"/>
    <x v="3"/>
    <n v="4"/>
    <x v="0"/>
    <s v="CUST246"/>
    <x v="1"/>
    <n v="48"/>
    <x v="1"/>
    <x v="2"/>
    <n v="2"/>
    <x v="3"/>
    <n v="25"/>
    <n v="50"/>
  </r>
  <r>
    <n v="286"/>
    <d v="2023-04-20T00:00:00"/>
    <x v="3"/>
    <n v="4"/>
    <x v="0"/>
    <s v="CUST298"/>
    <x v="0"/>
    <n v="27"/>
    <x v="3"/>
    <x v="1"/>
    <n v="4"/>
    <x v="1"/>
    <n v="300"/>
    <n v="1200"/>
  </r>
  <r>
    <n v="287"/>
    <d v="2023-04-20T00:00:00"/>
    <x v="3"/>
    <n v="4"/>
    <x v="0"/>
    <s v="CUST374"/>
    <x v="1"/>
    <n v="59"/>
    <x v="2"/>
    <x v="1"/>
    <n v="3"/>
    <x v="0"/>
    <n v="25"/>
    <n v="75"/>
  </r>
  <r>
    <n v="288"/>
    <d v="2023-04-20T00:00:00"/>
    <x v="3"/>
    <n v="4"/>
    <x v="0"/>
    <s v="CUST572"/>
    <x v="0"/>
    <n v="31"/>
    <x v="3"/>
    <x v="0"/>
    <n v="4"/>
    <x v="1"/>
    <n v="500"/>
    <n v="2000"/>
  </r>
  <r>
    <n v="289"/>
    <d v="2023-04-20T00:00:00"/>
    <x v="3"/>
    <n v="4"/>
    <x v="0"/>
    <s v="CUST665"/>
    <x v="0"/>
    <n v="57"/>
    <x v="2"/>
    <x v="0"/>
    <n v="1"/>
    <x v="2"/>
    <n v="50"/>
    <n v="50"/>
  </r>
  <r>
    <n v="290"/>
    <d v="2023-04-21T00:00:00"/>
    <x v="3"/>
    <n v="4"/>
    <x v="0"/>
    <s v="CUST039"/>
    <x v="0"/>
    <n v="23"/>
    <x v="3"/>
    <x v="0"/>
    <n v="4"/>
    <x v="1"/>
    <n v="30"/>
    <n v="120"/>
  </r>
  <r>
    <n v="291"/>
    <d v="2023-04-21T00:00:00"/>
    <x v="3"/>
    <n v="4"/>
    <x v="0"/>
    <s v="CUST893"/>
    <x v="0"/>
    <n v="49"/>
    <x v="1"/>
    <x v="2"/>
    <n v="1"/>
    <x v="2"/>
    <n v="50"/>
    <n v="50"/>
  </r>
  <r>
    <n v="292"/>
    <d v="2023-04-22T00:00:00"/>
    <x v="3"/>
    <n v="4"/>
    <x v="0"/>
    <s v="CUST017"/>
    <x v="1"/>
    <n v="27"/>
    <x v="3"/>
    <x v="0"/>
    <n v="4"/>
    <x v="1"/>
    <n v="25"/>
    <n v="100"/>
  </r>
  <r>
    <n v="293"/>
    <d v="2023-04-22T00:00:00"/>
    <x v="3"/>
    <n v="4"/>
    <x v="0"/>
    <s v="CUST316"/>
    <x v="1"/>
    <n v="48"/>
    <x v="1"/>
    <x v="0"/>
    <n v="2"/>
    <x v="3"/>
    <n v="25"/>
    <n v="50"/>
  </r>
  <r>
    <n v="294"/>
    <d v="2023-04-22T00:00:00"/>
    <x v="3"/>
    <n v="4"/>
    <x v="0"/>
    <s v="CUST755"/>
    <x v="1"/>
    <n v="58"/>
    <x v="2"/>
    <x v="0"/>
    <n v="3"/>
    <x v="0"/>
    <n v="25"/>
    <n v="75"/>
  </r>
  <r>
    <n v="295"/>
    <d v="2023-04-23T00:00:00"/>
    <x v="3"/>
    <n v="4"/>
    <x v="0"/>
    <s v="CUST028"/>
    <x v="1"/>
    <n v="43"/>
    <x v="0"/>
    <x v="1"/>
    <n v="1"/>
    <x v="2"/>
    <n v="500"/>
    <n v="500"/>
  </r>
  <r>
    <n v="296"/>
    <d v="2023-04-23T00:00:00"/>
    <x v="3"/>
    <n v="4"/>
    <x v="0"/>
    <s v="CUST098"/>
    <x v="1"/>
    <n v="55"/>
    <x v="1"/>
    <x v="1"/>
    <n v="2"/>
    <x v="3"/>
    <n v="50"/>
    <n v="100"/>
  </r>
  <r>
    <n v="297"/>
    <d v="2023-04-23T00:00:00"/>
    <x v="3"/>
    <n v="4"/>
    <x v="0"/>
    <s v="CUST129"/>
    <x v="1"/>
    <n v="21"/>
    <x v="3"/>
    <x v="1"/>
    <n v="2"/>
    <x v="3"/>
    <n v="300"/>
    <n v="600"/>
  </r>
  <r>
    <n v="298"/>
    <d v="2023-04-23T00:00:00"/>
    <x v="3"/>
    <n v="4"/>
    <x v="0"/>
    <s v="CUST230"/>
    <x v="0"/>
    <n v="54"/>
    <x v="1"/>
    <x v="1"/>
    <n v="1"/>
    <x v="2"/>
    <n v="25"/>
    <n v="25"/>
  </r>
  <r>
    <n v="299"/>
    <d v="2023-04-23T00:00:00"/>
    <x v="3"/>
    <n v="4"/>
    <x v="0"/>
    <s v="CUST613"/>
    <x v="1"/>
    <n v="52"/>
    <x v="1"/>
    <x v="0"/>
    <n v="3"/>
    <x v="0"/>
    <n v="30"/>
    <n v="90"/>
  </r>
  <r>
    <n v="300"/>
    <d v="2023-04-23T00:00:00"/>
    <x v="3"/>
    <n v="4"/>
    <x v="0"/>
    <s v="CUST691"/>
    <x v="1"/>
    <n v="51"/>
    <x v="1"/>
    <x v="0"/>
    <n v="3"/>
    <x v="0"/>
    <n v="30"/>
    <n v="90"/>
  </r>
  <r>
    <n v="301"/>
    <d v="2023-04-23T00:00:00"/>
    <x v="3"/>
    <n v="4"/>
    <x v="0"/>
    <s v="CUST693"/>
    <x v="0"/>
    <n v="41"/>
    <x v="0"/>
    <x v="1"/>
    <n v="3"/>
    <x v="0"/>
    <n v="500"/>
    <n v="1500"/>
  </r>
  <r>
    <n v="302"/>
    <d v="2023-04-24T00:00:00"/>
    <x v="3"/>
    <n v="4"/>
    <x v="0"/>
    <s v="CUST477"/>
    <x v="0"/>
    <n v="43"/>
    <x v="0"/>
    <x v="0"/>
    <n v="4"/>
    <x v="1"/>
    <n v="30"/>
    <n v="120"/>
  </r>
  <r>
    <n v="303"/>
    <d v="2023-04-24T00:00:00"/>
    <x v="3"/>
    <n v="4"/>
    <x v="0"/>
    <s v="CUST863"/>
    <x v="1"/>
    <n v="30"/>
    <x v="3"/>
    <x v="2"/>
    <n v="2"/>
    <x v="3"/>
    <n v="25"/>
    <n v="50"/>
  </r>
  <r>
    <n v="304"/>
    <d v="2023-04-25T00:00:00"/>
    <x v="3"/>
    <n v="4"/>
    <x v="0"/>
    <s v="CUST006"/>
    <x v="1"/>
    <n v="45"/>
    <x v="0"/>
    <x v="1"/>
    <n v="1"/>
    <x v="2"/>
    <n v="30"/>
    <n v="30"/>
  </r>
  <r>
    <n v="305"/>
    <d v="2023-04-25T00:00:00"/>
    <x v="3"/>
    <n v="4"/>
    <x v="0"/>
    <s v="CUST483"/>
    <x v="0"/>
    <n v="55"/>
    <x v="1"/>
    <x v="0"/>
    <n v="1"/>
    <x v="2"/>
    <n v="30"/>
    <n v="30"/>
  </r>
  <r>
    <n v="306"/>
    <d v="2023-04-25T00:00:00"/>
    <x v="3"/>
    <n v="4"/>
    <x v="0"/>
    <s v="CUST738"/>
    <x v="0"/>
    <n v="41"/>
    <x v="0"/>
    <x v="0"/>
    <n v="2"/>
    <x v="3"/>
    <n v="50"/>
    <n v="100"/>
  </r>
  <r>
    <n v="307"/>
    <d v="2023-04-26T00:00:00"/>
    <x v="3"/>
    <n v="4"/>
    <x v="0"/>
    <s v="CUST222"/>
    <x v="0"/>
    <n v="51"/>
    <x v="1"/>
    <x v="0"/>
    <n v="4"/>
    <x v="1"/>
    <n v="30"/>
    <n v="120"/>
  </r>
  <r>
    <n v="308"/>
    <d v="2023-04-26T00:00:00"/>
    <x v="3"/>
    <n v="4"/>
    <x v="0"/>
    <s v="CUST588"/>
    <x v="0"/>
    <n v="38"/>
    <x v="0"/>
    <x v="2"/>
    <n v="2"/>
    <x v="3"/>
    <n v="30"/>
    <n v="60"/>
  </r>
  <r>
    <n v="309"/>
    <d v="2023-04-26T00:00:00"/>
    <x v="3"/>
    <n v="4"/>
    <x v="0"/>
    <s v="CUST953"/>
    <x v="0"/>
    <n v="45"/>
    <x v="0"/>
    <x v="1"/>
    <n v="3"/>
    <x v="0"/>
    <n v="30"/>
    <n v="90"/>
  </r>
  <r>
    <n v="310"/>
    <d v="2023-04-27T00:00:00"/>
    <x v="3"/>
    <n v="4"/>
    <x v="0"/>
    <s v="CUST066"/>
    <x v="1"/>
    <n v="45"/>
    <x v="0"/>
    <x v="2"/>
    <n v="1"/>
    <x v="2"/>
    <n v="30"/>
    <n v="30"/>
  </r>
  <r>
    <n v="311"/>
    <d v="2023-04-27T00:00:00"/>
    <x v="3"/>
    <n v="4"/>
    <x v="0"/>
    <s v="CUST482"/>
    <x v="1"/>
    <n v="28"/>
    <x v="3"/>
    <x v="0"/>
    <n v="4"/>
    <x v="1"/>
    <n v="300"/>
    <n v="1200"/>
  </r>
  <r>
    <n v="312"/>
    <d v="2023-04-27T00:00:00"/>
    <x v="3"/>
    <n v="4"/>
    <x v="0"/>
    <s v="CUST903"/>
    <x v="1"/>
    <n v="51"/>
    <x v="1"/>
    <x v="1"/>
    <n v="4"/>
    <x v="1"/>
    <n v="50"/>
    <n v="200"/>
  </r>
  <r>
    <n v="313"/>
    <d v="2023-04-28T00:00:00"/>
    <x v="3"/>
    <n v="4"/>
    <x v="0"/>
    <s v="CUST102"/>
    <x v="1"/>
    <n v="47"/>
    <x v="1"/>
    <x v="1"/>
    <n v="2"/>
    <x v="3"/>
    <n v="25"/>
    <n v="50"/>
  </r>
  <r>
    <n v="314"/>
    <d v="2023-04-28T00:00:00"/>
    <x v="3"/>
    <n v="4"/>
    <x v="0"/>
    <s v="CUST228"/>
    <x v="1"/>
    <n v="59"/>
    <x v="2"/>
    <x v="2"/>
    <n v="2"/>
    <x v="3"/>
    <n v="30"/>
    <n v="60"/>
  </r>
  <r>
    <n v="315"/>
    <d v="2023-04-28T00:00:00"/>
    <x v="3"/>
    <n v="4"/>
    <x v="0"/>
    <s v="CUST236"/>
    <x v="1"/>
    <n v="54"/>
    <x v="1"/>
    <x v="0"/>
    <n v="1"/>
    <x v="2"/>
    <n v="25"/>
    <n v="25"/>
  </r>
  <r>
    <n v="316"/>
    <d v="2023-04-29T00:00:00"/>
    <x v="3"/>
    <n v="4"/>
    <x v="0"/>
    <s v="CUST660"/>
    <x v="1"/>
    <n v="38"/>
    <x v="0"/>
    <x v="1"/>
    <n v="2"/>
    <x v="3"/>
    <n v="500"/>
    <n v="1000"/>
  </r>
  <r>
    <n v="317"/>
    <d v="2023-04-29T00:00:00"/>
    <x v="3"/>
    <n v="4"/>
    <x v="0"/>
    <s v="CUST884"/>
    <x v="1"/>
    <n v="26"/>
    <x v="3"/>
    <x v="0"/>
    <n v="2"/>
    <x v="3"/>
    <n v="30"/>
    <n v="60"/>
  </r>
  <r>
    <n v="318"/>
    <d v="2023-04-29T00:00:00"/>
    <x v="3"/>
    <n v="4"/>
    <x v="0"/>
    <s v="CUST987"/>
    <x v="1"/>
    <n v="30"/>
    <x v="3"/>
    <x v="0"/>
    <n v="3"/>
    <x v="0"/>
    <n v="300"/>
    <n v="900"/>
  </r>
  <r>
    <n v="319"/>
    <d v="2023-04-30T00:00:00"/>
    <x v="3"/>
    <n v="4"/>
    <x v="0"/>
    <s v="CUST018"/>
    <x v="1"/>
    <n v="47"/>
    <x v="1"/>
    <x v="2"/>
    <n v="2"/>
    <x v="3"/>
    <n v="25"/>
    <n v="50"/>
  </r>
  <r>
    <n v="320"/>
    <d v="2023-04-30T00:00:00"/>
    <x v="3"/>
    <n v="4"/>
    <x v="0"/>
    <s v="CUST069"/>
    <x v="1"/>
    <n v="56"/>
    <x v="2"/>
    <x v="1"/>
    <n v="3"/>
    <x v="0"/>
    <n v="25"/>
    <n v="75"/>
  </r>
  <r>
    <n v="321"/>
    <d v="2023-04-30T00:00:00"/>
    <x v="3"/>
    <n v="4"/>
    <x v="0"/>
    <s v="CUST995"/>
    <x v="1"/>
    <n v="41"/>
    <x v="0"/>
    <x v="0"/>
    <n v="1"/>
    <x v="2"/>
    <n v="30"/>
    <n v="30"/>
  </r>
  <r>
    <n v="322"/>
    <d v="2023-05-01T00:00:00"/>
    <x v="3"/>
    <n v="4"/>
    <x v="0"/>
    <s v="CUST337"/>
    <x v="0"/>
    <n v="38"/>
    <x v="0"/>
    <x v="0"/>
    <n v="1"/>
    <x v="2"/>
    <n v="500"/>
    <n v="500"/>
  </r>
  <r>
    <n v="323"/>
    <d v="2023-05-01T00:00:00"/>
    <x v="4"/>
    <n v="5"/>
    <x v="0"/>
    <s v="CUST585"/>
    <x v="1"/>
    <n v="24"/>
    <x v="3"/>
    <x v="0"/>
    <n v="1"/>
    <x v="2"/>
    <n v="25"/>
    <n v="25"/>
  </r>
  <r>
    <n v="324"/>
    <d v="2023-05-01T00:00:00"/>
    <x v="4"/>
    <n v="5"/>
    <x v="0"/>
    <s v="CUST652"/>
    <x v="1"/>
    <n v="34"/>
    <x v="3"/>
    <x v="1"/>
    <n v="2"/>
    <x v="3"/>
    <n v="50"/>
    <n v="100"/>
  </r>
  <r>
    <n v="325"/>
    <d v="2023-05-02T00:00:00"/>
    <x v="4"/>
    <n v="5"/>
    <x v="0"/>
    <s v="CUST242"/>
    <x v="0"/>
    <n v="21"/>
    <x v="3"/>
    <x v="0"/>
    <n v="1"/>
    <x v="2"/>
    <n v="25"/>
    <n v="25"/>
  </r>
  <r>
    <n v="326"/>
    <d v="2023-05-02T00:00:00"/>
    <x v="4"/>
    <n v="5"/>
    <x v="0"/>
    <s v="CUST293"/>
    <x v="0"/>
    <n v="50"/>
    <x v="1"/>
    <x v="2"/>
    <n v="3"/>
    <x v="0"/>
    <n v="30"/>
    <n v="90"/>
  </r>
  <r>
    <n v="327"/>
    <d v="2023-05-02T00:00:00"/>
    <x v="4"/>
    <n v="5"/>
    <x v="0"/>
    <s v="CUST460"/>
    <x v="0"/>
    <n v="40"/>
    <x v="0"/>
    <x v="1"/>
    <n v="1"/>
    <x v="2"/>
    <n v="50"/>
    <n v="50"/>
  </r>
  <r>
    <n v="328"/>
    <d v="2023-05-03T00:00:00"/>
    <x v="4"/>
    <n v="5"/>
    <x v="0"/>
    <s v="CUST188"/>
    <x v="0"/>
    <n v="40"/>
    <x v="0"/>
    <x v="0"/>
    <n v="3"/>
    <x v="0"/>
    <n v="25"/>
    <n v="75"/>
  </r>
  <r>
    <n v="329"/>
    <d v="2023-05-03T00:00:00"/>
    <x v="4"/>
    <n v="5"/>
    <x v="0"/>
    <s v="CUST357"/>
    <x v="1"/>
    <n v="40"/>
    <x v="0"/>
    <x v="2"/>
    <n v="3"/>
    <x v="0"/>
    <n v="25"/>
    <n v="75"/>
  </r>
  <r>
    <n v="330"/>
    <d v="2023-05-03T00:00:00"/>
    <x v="4"/>
    <n v="5"/>
    <x v="0"/>
    <s v="CUST646"/>
    <x v="0"/>
    <n v="38"/>
    <x v="0"/>
    <x v="0"/>
    <n v="3"/>
    <x v="0"/>
    <n v="30"/>
    <n v="90"/>
  </r>
  <r>
    <n v="331"/>
    <d v="2023-05-03T00:00:00"/>
    <x v="4"/>
    <n v="5"/>
    <x v="0"/>
    <s v="CUST749"/>
    <x v="0"/>
    <n v="42"/>
    <x v="0"/>
    <x v="1"/>
    <n v="1"/>
    <x v="2"/>
    <n v="30"/>
    <n v="30"/>
  </r>
  <r>
    <n v="332"/>
    <d v="2023-05-03T00:00:00"/>
    <x v="4"/>
    <n v="5"/>
    <x v="0"/>
    <s v="CUST974"/>
    <x v="0"/>
    <n v="47"/>
    <x v="1"/>
    <x v="1"/>
    <n v="1"/>
    <x v="2"/>
    <n v="30"/>
    <n v="30"/>
  </r>
  <r>
    <n v="333"/>
    <d v="2023-05-04T00:00:00"/>
    <x v="4"/>
    <n v="5"/>
    <x v="0"/>
    <s v="CUST190"/>
    <x v="1"/>
    <n v="60"/>
    <x v="2"/>
    <x v="1"/>
    <n v="3"/>
    <x v="0"/>
    <n v="30"/>
    <n v="90"/>
  </r>
  <r>
    <n v="334"/>
    <d v="2023-05-04T00:00:00"/>
    <x v="4"/>
    <n v="5"/>
    <x v="0"/>
    <s v="CUST849"/>
    <x v="0"/>
    <n v="32"/>
    <x v="3"/>
    <x v="0"/>
    <n v="2"/>
    <x v="3"/>
    <n v="25"/>
    <n v="50"/>
  </r>
  <r>
    <n v="335"/>
    <d v="2023-05-04T00:00:00"/>
    <x v="4"/>
    <n v="5"/>
    <x v="0"/>
    <s v="CUST853"/>
    <x v="0"/>
    <n v="21"/>
    <x v="3"/>
    <x v="1"/>
    <n v="2"/>
    <x v="3"/>
    <n v="500"/>
    <n v="1000"/>
  </r>
  <r>
    <n v="336"/>
    <d v="2023-05-05T00:00:00"/>
    <x v="4"/>
    <n v="5"/>
    <x v="0"/>
    <s v="CUST252"/>
    <x v="0"/>
    <n v="54"/>
    <x v="1"/>
    <x v="2"/>
    <n v="1"/>
    <x v="2"/>
    <n v="300"/>
    <n v="300"/>
  </r>
  <r>
    <n v="337"/>
    <d v="2023-05-05T00:00:00"/>
    <x v="4"/>
    <n v="5"/>
    <x v="0"/>
    <s v="CUST606"/>
    <x v="0"/>
    <n v="22"/>
    <x v="3"/>
    <x v="2"/>
    <n v="1"/>
    <x v="2"/>
    <n v="50"/>
    <n v="50"/>
  </r>
  <r>
    <n v="338"/>
    <d v="2023-05-05T00:00:00"/>
    <x v="4"/>
    <n v="5"/>
    <x v="0"/>
    <s v="CUST779"/>
    <x v="1"/>
    <n v="56"/>
    <x v="2"/>
    <x v="2"/>
    <n v="2"/>
    <x v="3"/>
    <n v="500"/>
    <n v="1000"/>
  </r>
  <r>
    <n v="339"/>
    <d v="2023-05-05T00:00:00"/>
    <x v="4"/>
    <n v="5"/>
    <x v="0"/>
    <s v="CUST824"/>
    <x v="0"/>
    <n v="63"/>
    <x v="2"/>
    <x v="0"/>
    <n v="4"/>
    <x v="1"/>
    <n v="30"/>
    <n v="120"/>
  </r>
  <r>
    <n v="340"/>
    <d v="2023-05-05T00:00:00"/>
    <x v="4"/>
    <n v="5"/>
    <x v="0"/>
    <s v="CUST866"/>
    <x v="0"/>
    <n v="24"/>
    <x v="3"/>
    <x v="2"/>
    <n v="1"/>
    <x v="2"/>
    <n v="50"/>
    <n v="50"/>
  </r>
  <r>
    <n v="341"/>
    <d v="2023-05-06T00:00:00"/>
    <x v="4"/>
    <n v="5"/>
    <x v="0"/>
    <s v="CUST005"/>
    <x v="0"/>
    <n v="30"/>
    <x v="3"/>
    <x v="1"/>
    <n v="2"/>
    <x v="3"/>
    <n v="50"/>
    <n v="100"/>
  </r>
  <r>
    <n v="342"/>
    <d v="2023-05-06T00:00:00"/>
    <x v="4"/>
    <n v="5"/>
    <x v="0"/>
    <s v="CUST090"/>
    <x v="1"/>
    <n v="51"/>
    <x v="1"/>
    <x v="2"/>
    <n v="1"/>
    <x v="2"/>
    <n v="30"/>
    <n v="30"/>
  </r>
  <r>
    <n v="343"/>
    <d v="2023-05-06T00:00:00"/>
    <x v="4"/>
    <n v="5"/>
    <x v="0"/>
    <s v="CUST380"/>
    <x v="0"/>
    <n v="56"/>
    <x v="2"/>
    <x v="2"/>
    <n v="2"/>
    <x v="3"/>
    <n v="300"/>
    <n v="600"/>
  </r>
  <r>
    <n v="344"/>
    <d v="2023-05-06T00:00:00"/>
    <x v="4"/>
    <n v="5"/>
    <x v="0"/>
    <s v="CUST593"/>
    <x v="0"/>
    <n v="35"/>
    <x v="0"/>
    <x v="2"/>
    <n v="2"/>
    <x v="3"/>
    <n v="30"/>
    <n v="60"/>
  </r>
  <r>
    <n v="345"/>
    <d v="2023-05-06T00:00:00"/>
    <x v="4"/>
    <n v="5"/>
    <x v="0"/>
    <s v="CUST820"/>
    <x v="0"/>
    <n v="49"/>
    <x v="1"/>
    <x v="2"/>
    <n v="4"/>
    <x v="1"/>
    <n v="50"/>
    <n v="200"/>
  </r>
  <r>
    <n v="346"/>
    <d v="2023-05-07T00:00:00"/>
    <x v="4"/>
    <n v="5"/>
    <x v="0"/>
    <s v="CUST120"/>
    <x v="0"/>
    <n v="60"/>
    <x v="2"/>
    <x v="1"/>
    <n v="1"/>
    <x v="2"/>
    <n v="50"/>
    <n v="50"/>
  </r>
  <r>
    <n v="347"/>
    <d v="2023-05-07T00:00:00"/>
    <x v="4"/>
    <n v="5"/>
    <x v="0"/>
    <s v="CUST221"/>
    <x v="0"/>
    <n v="39"/>
    <x v="0"/>
    <x v="1"/>
    <n v="2"/>
    <x v="3"/>
    <n v="300"/>
    <n v="600"/>
  </r>
  <r>
    <n v="348"/>
    <d v="2023-05-07T00:00:00"/>
    <x v="4"/>
    <n v="5"/>
    <x v="0"/>
    <s v="CUST341"/>
    <x v="0"/>
    <n v="31"/>
    <x v="3"/>
    <x v="0"/>
    <n v="4"/>
    <x v="1"/>
    <n v="50"/>
    <n v="200"/>
  </r>
  <r>
    <n v="349"/>
    <d v="2023-05-07T00:00:00"/>
    <x v="4"/>
    <n v="5"/>
    <x v="0"/>
    <s v="CUST640"/>
    <x v="1"/>
    <n v="51"/>
    <x v="1"/>
    <x v="2"/>
    <n v="4"/>
    <x v="1"/>
    <n v="30"/>
    <n v="120"/>
  </r>
  <r>
    <n v="350"/>
    <d v="2023-05-07T00:00:00"/>
    <x v="4"/>
    <n v="5"/>
    <x v="0"/>
    <s v="CUST744"/>
    <x v="0"/>
    <n v="40"/>
    <x v="0"/>
    <x v="2"/>
    <n v="1"/>
    <x v="2"/>
    <n v="25"/>
    <n v="25"/>
  </r>
  <r>
    <n v="351"/>
    <d v="2023-05-08T00:00:00"/>
    <x v="4"/>
    <n v="5"/>
    <x v="0"/>
    <s v="CUST273"/>
    <x v="1"/>
    <n v="22"/>
    <x v="3"/>
    <x v="1"/>
    <n v="1"/>
    <x v="2"/>
    <n v="50"/>
    <n v="50"/>
  </r>
  <r>
    <n v="352"/>
    <d v="2023-05-08T00:00:00"/>
    <x v="4"/>
    <n v="5"/>
    <x v="0"/>
    <s v="CUST283"/>
    <x v="1"/>
    <n v="18"/>
    <x v="4"/>
    <x v="2"/>
    <n v="1"/>
    <x v="2"/>
    <n v="500"/>
    <n v="500"/>
  </r>
  <r>
    <n v="353"/>
    <d v="2023-05-08T00:00:00"/>
    <x v="4"/>
    <n v="5"/>
    <x v="0"/>
    <s v="CUST452"/>
    <x v="1"/>
    <n v="48"/>
    <x v="1"/>
    <x v="0"/>
    <n v="3"/>
    <x v="0"/>
    <n v="500"/>
    <n v="1500"/>
  </r>
  <r>
    <n v="354"/>
    <d v="2023-05-08T00:00:00"/>
    <x v="4"/>
    <n v="5"/>
    <x v="0"/>
    <s v="CUST469"/>
    <x v="0"/>
    <n v="18"/>
    <x v="4"/>
    <x v="1"/>
    <n v="3"/>
    <x v="0"/>
    <n v="25"/>
    <n v="75"/>
  </r>
  <r>
    <n v="355"/>
    <d v="2023-05-08T00:00:00"/>
    <x v="4"/>
    <n v="5"/>
    <x v="0"/>
    <s v="CUST620"/>
    <x v="0"/>
    <n v="63"/>
    <x v="2"/>
    <x v="2"/>
    <n v="3"/>
    <x v="0"/>
    <n v="25"/>
    <n v="75"/>
  </r>
  <r>
    <n v="356"/>
    <d v="2023-05-08T00:00:00"/>
    <x v="4"/>
    <n v="5"/>
    <x v="0"/>
    <s v="CUST946"/>
    <x v="0"/>
    <n v="62"/>
    <x v="2"/>
    <x v="2"/>
    <n v="4"/>
    <x v="1"/>
    <n v="500"/>
    <n v="2000"/>
  </r>
  <r>
    <n v="357"/>
    <d v="2023-05-09T00:00:00"/>
    <x v="4"/>
    <n v="5"/>
    <x v="0"/>
    <s v="CUST148"/>
    <x v="0"/>
    <n v="18"/>
    <x v="4"/>
    <x v="0"/>
    <n v="2"/>
    <x v="3"/>
    <n v="30"/>
    <n v="60"/>
  </r>
  <r>
    <n v="358"/>
    <d v="2023-05-09T00:00:00"/>
    <x v="4"/>
    <n v="5"/>
    <x v="0"/>
    <s v="CUST414"/>
    <x v="0"/>
    <n v="48"/>
    <x v="1"/>
    <x v="1"/>
    <n v="4"/>
    <x v="1"/>
    <n v="25"/>
    <n v="100"/>
  </r>
  <r>
    <n v="359"/>
    <d v="2023-05-09T00:00:00"/>
    <x v="4"/>
    <n v="5"/>
    <x v="0"/>
    <s v="CUST883"/>
    <x v="0"/>
    <n v="40"/>
    <x v="0"/>
    <x v="2"/>
    <n v="1"/>
    <x v="2"/>
    <n v="500"/>
    <n v="500"/>
  </r>
  <r>
    <n v="360"/>
    <d v="2023-05-10T00:00:00"/>
    <x v="4"/>
    <n v="5"/>
    <x v="0"/>
    <s v="CUST731"/>
    <x v="0"/>
    <n v="54"/>
    <x v="1"/>
    <x v="0"/>
    <n v="4"/>
    <x v="1"/>
    <n v="500"/>
    <n v="2000"/>
  </r>
  <r>
    <n v="361"/>
    <d v="2023-05-10T00:00:00"/>
    <x v="4"/>
    <n v="5"/>
    <x v="0"/>
    <s v="CUST930"/>
    <x v="0"/>
    <n v="54"/>
    <x v="1"/>
    <x v="0"/>
    <n v="4"/>
    <x v="1"/>
    <n v="50"/>
    <n v="200"/>
  </r>
  <r>
    <n v="362"/>
    <d v="2023-05-11T00:00:00"/>
    <x v="4"/>
    <n v="5"/>
    <x v="0"/>
    <s v="CUST518"/>
    <x v="1"/>
    <n v="40"/>
    <x v="0"/>
    <x v="0"/>
    <n v="1"/>
    <x v="2"/>
    <n v="30"/>
    <n v="30"/>
  </r>
  <r>
    <n v="363"/>
    <d v="2023-05-12T00:00:00"/>
    <x v="4"/>
    <n v="5"/>
    <x v="0"/>
    <s v="CUST758"/>
    <x v="0"/>
    <n v="64"/>
    <x v="2"/>
    <x v="0"/>
    <n v="4"/>
    <x v="1"/>
    <n v="25"/>
    <n v="100"/>
  </r>
  <r>
    <n v="364"/>
    <d v="2023-05-13T00:00:00"/>
    <x v="4"/>
    <n v="5"/>
    <x v="0"/>
    <s v="CUST639"/>
    <x v="1"/>
    <n v="62"/>
    <x v="2"/>
    <x v="1"/>
    <n v="4"/>
    <x v="1"/>
    <n v="50"/>
    <n v="200"/>
  </r>
  <r>
    <n v="365"/>
    <d v="2023-05-13T00:00:00"/>
    <x v="4"/>
    <n v="5"/>
    <x v="0"/>
    <s v="CUST838"/>
    <x v="0"/>
    <n v="47"/>
    <x v="1"/>
    <x v="2"/>
    <n v="2"/>
    <x v="3"/>
    <n v="300"/>
    <n v="600"/>
  </r>
  <r>
    <n v="366"/>
    <d v="2023-05-14T00:00:00"/>
    <x v="4"/>
    <n v="5"/>
    <x v="0"/>
    <s v="CUST353"/>
    <x v="0"/>
    <n v="31"/>
    <x v="3"/>
    <x v="2"/>
    <n v="1"/>
    <x v="2"/>
    <n v="500"/>
    <n v="500"/>
  </r>
  <r>
    <n v="367"/>
    <d v="2023-05-14T00:00:00"/>
    <x v="4"/>
    <n v="5"/>
    <x v="0"/>
    <s v="CUST501"/>
    <x v="0"/>
    <n v="39"/>
    <x v="0"/>
    <x v="2"/>
    <n v="2"/>
    <x v="3"/>
    <n v="30"/>
    <n v="60"/>
  </r>
  <r>
    <n v="368"/>
    <d v="2023-05-14T00:00:00"/>
    <x v="4"/>
    <n v="5"/>
    <x v="0"/>
    <s v="CUST721"/>
    <x v="1"/>
    <n v="52"/>
    <x v="1"/>
    <x v="0"/>
    <n v="1"/>
    <x v="2"/>
    <n v="500"/>
    <n v="500"/>
  </r>
  <r>
    <n v="369"/>
    <d v="2023-05-15T00:00:00"/>
    <x v="4"/>
    <n v="5"/>
    <x v="0"/>
    <s v="CUST123"/>
    <x v="1"/>
    <n v="40"/>
    <x v="0"/>
    <x v="2"/>
    <n v="2"/>
    <x v="3"/>
    <n v="30"/>
    <n v="60"/>
  </r>
  <r>
    <n v="370"/>
    <d v="2023-05-15T00:00:00"/>
    <x v="4"/>
    <n v="5"/>
    <x v="0"/>
    <s v="CUST164"/>
    <x v="1"/>
    <n v="47"/>
    <x v="1"/>
    <x v="1"/>
    <n v="3"/>
    <x v="0"/>
    <n v="500"/>
    <n v="1500"/>
  </r>
  <r>
    <n v="371"/>
    <d v="2023-05-15T00:00:00"/>
    <x v="4"/>
    <n v="5"/>
    <x v="0"/>
    <s v="CUST425"/>
    <x v="1"/>
    <n v="55"/>
    <x v="1"/>
    <x v="2"/>
    <n v="4"/>
    <x v="1"/>
    <n v="30"/>
    <n v="120"/>
  </r>
  <r>
    <n v="372"/>
    <d v="2023-05-16T00:00:00"/>
    <x v="4"/>
    <n v="5"/>
    <x v="0"/>
    <s v="CUST048"/>
    <x v="0"/>
    <n v="54"/>
    <x v="1"/>
    <x v="2"/>
    <n v="3"/>
    <x v="0"/>
    <n v="300"/>
    <n v="900"/>
  </r>
  <r>
    <n v="373"/>
    <d v="2023-05-16T00:00:00"/>
    <x v="4"/>
    <n v="5"/>
    <x v="0"/>
    <s v="CUST118"/>
    <x v="1"/>
    <n v="30"/>
    <x v="3"/>
    <x v="2"/>
    <n v="4"/>
    <x v="1"/>
    <n v="500"/>
    <n v="2000"/>
  </r>
  <r>
    <n v="374"/>
    <d v="2023-05-16T00:00:00"/>
    <x v="4"/>
    <n v="5"/>
    <x v="0"/>
    <s v="CUST203"/>
    <x v="0"/>
    <n v="56"/>
    <x v="2"/>
    <x v="0"/>
    <n v="2"/>
    <x v="3"/>
    <n v="500"/>
    <n v="1000"/>
  </r>
  <r>
    <n v="375"/>
    <d v="2023-05-16T00:00:00"/>
    <x v="4"/>
    <n v="5"/>
    <x v="0"/>
    <s v="CUST305"/>
    <x v="1"/>
    <n v="18"/>
    <x v="4"/>
    <x v="1"/>
    <n v="1"/>
    <x v="2"/>
    <n v="30"/>
    <n v="30"/>
  </r>
  <r>
    <n v="376"/>
    <d v="2023-05-16T00:00:00"/>
    <x v="4"/>
    <n v="5"/>
    <x v="0"/>
    <s v="CUST358"/>
    <x v="1"/>
    <n v="32"/>
    <x v="3"/>
    <x v="1"/>
    <n v="1"/>
    <x v="2"/>
    <n v="300"/>
    <n v="300"/>
  </r>
  <r>
    <n v="377"/>
    <d v="2023-05-16T00:00:00"/>
    <x v="4"/>
    <n v="5"/>
    <x v="0"/>
    <s v="CUST376"/>
    <x v="1"/>
    <n v="64"/>
    <x v="2"/>
    <x v="1"/>
    <n v="1"/>
    <x v="2"/>
    <n v="30"/>
    <n v="30"/>
  </r>
  <r>
    <n v="378"/>
    <d v="2023-05-16T00:00:00"/>
    <x v="4"/>
    <n v="5"/>
    <x v="0"/>
    <s v="CUST398"/>
    <x v="1"/>
    <n v="48"/>
    <x v="1"/>
    <x v="0"/>
    <n v="2"/>
    <x v="3"/>
    <n v="300"/>
    <n v="600"/>
  </r>
  <r>
    <n v="379"/>
    <d v="2023-05-16T00:00:00"/>
    <x v="4"/>
    <n v="5"/>
    <x v="0"/>
    <s v="CUST411"/>
    <x v="0"/>
    <n v="62"/>
    <x v="2"/>
    <x v="2"/>
    <n v="4"/>
    <x v="1"/>
    <n v="50"/>
    <n v="200"/>
  </r>
  <r>
    <n v="380"/>
    <d v="2023-05-16T00:00:00"/>
    <x v="4"/>
    <n v="5"/>
    <x v="0"/>
    <s v="CUST504"/>
    <x v="1"/>
    <n v="38"/>
    <x v="0"/>
    <x v="1"/>
    <n v="3"/>
    <x v="0"/>
    <n v="50"/>
    <n v="150"/>
  </r>
  <r>
    <n v="381"/>
    <d v="2023-05-16T00:00:00"/>
    <x v="4"/>
    <n v="5"/>
    <x v="0"/>
    <s v="CUST970"/>
    <x v="0"/>
    <n v="59"/>
    <x v="2"/>
    <x v="2"/>
    <n v="4"/>
    <x v="1"/>
    <n v="500"/>
    <n v="2000"/>
  </r>
  <r>
    <n v="382"/>
    <d v="2023-05-16T00:00:00"/>
    <x v="4"/>
    <n v="5"/>
    <x v="0"/>
    <s v="CUST996"/>
    <x v="0"/>
    <n v="62"/>
    <x v="2"/>
    <x v="0"/>
    <n v="1"/>
    <x v="2"/>
    <n v="50"/>
    <n v="50"/>
  </r>
  <r>
    <n v="383"/>
    <d v="2023-05-17T00:00:00"/>
    <x v="4"/>
    <n v="5"/>
    <x v="0"/>
    <s v="CUST081"/>
    <x v="0"/>
    <n v="40"/>
    <x v="0"/>
    <x v="2"/>
    <n v="1"/>
    <x v="2"/>
    <n v="50"/>
    <n v="50"/>
  </r>
  <r>
    <n v="384"/>
    <d v="2023-05-17T00:00:00"/>
    <x v="4"/>
    <n v="5"/>
    <x v="0"/>
    <s v="CUST155"/>
    <x v="0"/>
    <n v="31"/>
    <x v="3"/>
    <x v="2"/>
    <n v="4"/>
    <x v="1"/>
    <n v="500"/>
    <n v="2000"/>
  </r>
  <r>
    <n v="385"/>
    <d v="2023-05-17T00:00:00"/>
    <x v="4"/>
    <n v="5"/>
    <x v="0"/>
    <s v="CUST470"/>
    <x v="1"/>
    <n v="57"/>
    <x v="2"/>
    <x v="0"/>
    <n v="2"/>
    <x v="3"/>
    <n v="500"/>
    <n v="1000"/>
  </r>
  <r>
    <n v="386"/>
    <d v="2023-05-18T00:00:00"/>
    <x v="4"/>
    <n v="5"/>
    <x v="0"/>
    <s v="CUST106"/>
    <x v="1"/>
    <n v="46"/>
    <x v="1"/>
    <x v="0"/>
    <n v="1"/>
    <x v="2"/>
    <n v="50"/>
    <n v="50"/>
  </r>
  <r>
    <n v="387"/>
    <d v="2023-05-18T00:00:00"/>
    <x v="4"/>
    <n v="5"/>
    <x v="0"/>
    <s v="CUST818"/>
    <x v="0"/>
    <n v="30"/>
    <x v="3"/>
    <x v="2"/>
    <n v="1"/>
    <x v="2"/>
    <n v="500"/>
    <n v="500"/>
  </r>
  <r>
    <n v="388"/>
    <d v="2023-05-19T00:00:00"/>
    <x v="4"/>
    <n v="5"/>
    <x v="0"/>
    <s v="CUST094"/>
    <x v="1"/>
    <n v="47"/>
    <x v="1"/>
    <x v="1"/>
    <n v="2"/>
    <x v="3"/>
    <n v="500"/>
    <n v="1000"/>
  </r>
  <r>
    <n v="389"/>
    <d v="2023-05-19T00:00:00"/>
    <x v="4"/>
    <n v="5"/>
    <x v="0"/>
    <s v="CUST811"/>
    <x v="0"/>
    <n v="61"/>
    <x v="2"/>
    <x v="1"/>
    <n v="2"/>
    <x v="3"/>
    <n v="25"/>
    <n v="50"/>
  </r>
  <r>
    <n v="390"/>
    <d v="2023-05-19T00:00:00"/>
    <x v="4"/>
    <n v="5"/>
    <x v="0"/>
    <s v="CUST881"/>
    <x v="0"/>
    <n v="22"/>
    <x v="3"/>
    <x v="2"/>
    <n v="1"/>
    <x v="2"/>
    <n v="300"/>
    <n v="300"/>
  </r>
  <r>
    <n v="391"/>
    <d v="2023-05-20T00:00:00"/>
    <x v="4"/>
    <n v="5"/>
    <x v="0"/>
    <s v="CUST403"/>
    <x v="0"/>
    <n v="32"/>
    <x v="3"/>
    <x v="0"/>
    <n v="2"/>
    <x v="3"/>
    <n v="300"/>
    <n v="600"/>
  </r>
  <r>
    <n v="392"/>
    <d v="2023-05-20T00:00:00"/>
    <x v="4"/>
    <n v="5"/>
    <x v="0"/>
    <s v="CUST653"/>
    <x v="0"/>
    <n v="54"/>
    <x v="1"/>
    <x v="0"/>
    <n v="3"/>
    <x v="0"/>
    <n v="25"/>
    <n v="75"/>
  </r>
  <r>
    <n v="393"/>
    <d v="2023-05-20T00:00:00"/>
    <x v="4"/>
    <n v="5"/>
    <x v="0"/>
    <s v="CUST694"/>
    <x v="1"/>
    <n v="39"/>
    <x v="0"/>
    <x v="2"/>
    <n v="2"/>
    <x v="3"/>
    <n v="25"/>
    <n v="50"/>
  </r>
  <r>
    <n v="394"/>
    <d v="2023-05-21T00:00:00"/>
    <x v="4"/>
    <n v="5"/>
    <x v="0"/>
    <s v="CUST004"/>
    <x v="0"/>
    <n v="37"/>
    <x v="0"/>
    <x v="0"/>
    <n v="1"/>
    <x v="2"/>
    <n v="500"/>
    <n v="500"/>
  </r>
  <r>
    <n v="395"/>
    <d v="2023-05-21T00:00:00"/>
    <x v="4"/>
    <n v="5"/>
    <x v="0"/>
    <s v="CUST647"/>
    <x v="0"/>
    <n v="59"/>
    <x v="2"/>
    <x v="0"/>
    <n v="3"/>
    <x v="0"/>
    <n v="500"/>
    <n v="1500"/>
  </r>
  <r>
    <n v="396"/>
    <d v="2023-05-21T00:00:00"/>
    <x v="4"/>
    <n v="5"/>
    <x v="0"/>
    <s v="CUST911"/>
    <x v="0"/>
    <n v="42"/>
    <x v="0"/>
    <x v="2"/>
    <n v="3"/>
    <x v="0"/>
    <n v="300"/>
    <n v="900"/>
  </r>
  <r>
    <n v="397"/>
    <d v="2023-05-22T00:00:00"/>
    <x v="4"/>
    <n v="5"/>
    <x v="0"/>
    <s v="CUST419"/>
    <x v="1"/>
    <n v="44"/>
    <x v="0"/>
    <x v="0"/>
    <n v="3"/>
    <x v="0"/>
    <n v="30"/>
    <n v="90"/>
  </r>
  <r>
    <n v="398"/>
    <d v="2023-05-22T00:00:00"/>
    <x v="4"/>
    <n v="5"/>
    <x v="0"/>
    <s v="CUST642"/>
    <x v="1"/>
    <n v="54"/>
    <x v="1"/>
    <x v="0"/>
    <n v="4"/>
    <x v="1"/>
    <n v="25"/>
    <n v="100"/>
  </r>
  <r>
    <n v="399"/>
    <d v="2023-05-22T00:00:00"/>
    <x v="4"/>
    <n v="5"/>
    <x v="0"/>
    <s v="CUST843"/>
    <x v="0"/>
    <n v="21"/>
    <x v="3"/>
    <x v="1"/>
    <n v="3"/>
    <x v="0"/>
    <n v="500"/>
    <n v="1500"/>
  </r>
  <r>
    <n v="400"/>
    <d v="2023-05-22T00:00:00"/>
    <x v="4"/>
    <n v="5"/>
    <x v="0"/>
    <s v="CUST895"/>
    <x v="1"/>
    <n v="55"/>
    <x v="1"/>
    <x v="0"/>
    <n v="4"/>
    <x v="1"/>
    <n v="30"/>
    <n v="120"/>
  </r>
  <r>
    <n v="401"/>
    <d v="2023-05-23T00:00:00"/>
    <x v="4"/>
    <n v="5"/>
    <x v="0"/>
    <s v="CUST031"/>
    <x v="0"/>
    <n v="44"/>
    <x v="0"/>
    <x v="2"/>
    <n v="4"/>
    <x v="1"/>
    <n v="300"/>
    <n v="1200"/>
  </r>
  <r>
    <n v="402"/>
    <d v="2023-05-23T00:00:00"/>
    <x v="4"/>
    <n v="5"/>
    <x v="0"/>
    <s v="CUST037"/>
    <x v="1"/>
    <n v="18"/>
    <x v="4"/>
    <x v="1"/>
    <n v="3"/>
    <x v="0"/>
    <n v="25"/>
    <n v="75"/>
  </r>
  <r>
    <n v="403"/>
    <d v="2023-05-23T00:00:00"/>
    <x v="4"/>
    <n v="5"/>
    <x v="0"/>
    <s v="CUST072"/>
    <x v="1"/>
    <n v="20"/>
    <x v="3"/>
    <x v="2"/>
    <n v="4"/>
    <x v="1"/>
    <n v="500"/>
    <n v="2000"/>
  </r>
  <r>
    <n v="404"/>
    <d v="2023-05-23T00:00:00"/>
    <x v="4"/>
    <n v="5"/>
    <x v="0"/>
    <s v="CUST243"/>
    <x v="1"/>
    <n v="47"/>
    <x v="1"/>
    <x v="2"/>
    <n v="3"/>
    <x v="0"/>
    <n v="300"/>
    <n v="900"/>
  </r>
  <r>
    <n v="405"/>
    <d v="2023-05-23T00:00:00"/>
    <x v="4"/>
    <n v="5"/>
    <x v="0"/>
    <s v="CUST281"/>
    <x v="1"/>
    <n v="29"/>
    <x v="3"/>
    <x v="1"/>
    <n v="4"/>
    <x v="1"/>
    <n v="500"/>
    <n v="2000"/>
  </r>
  <r>
    <n v="406"/>
    <d v="2023-05-23T00:00:00"/>
    <x v="4"/>
    <n v="5"/>
    <x v="0"/>
    <s v="CUST489"/>
    <x v="0"/>
    <n v="44"/>
    <x v="0"/>
    <x v="2"/>
    <n v="1"/>
    <x v="2"/>
    <n v="30"/>
    <n v="30"/>
  </r>
  <r>
    <n v="407"/>
    <d v="2023-05-23T00:00:00"/>
    <x v="4"/>
    <n v="5"/>
    <x v="0"/>
    <s v="CUST491"/>
    <x v="1"/>
    <n v="60"/>
    <x v="2"/>
    <x v="2"/>
    <n v="3"/>
    <x v="0"/>
    <n v="300"/>
    <n v="900"/>
  </r>
  <r>
    <n v="408"/>
    <d v="2023-05-23T00:00:00"/>
    <x v="4"/>
    <n v="5"/>
    <x v="0"/>
    <s v="CUST729"/>
    <x v="0"/>
    <n v="29"/>
    <x v="3"/>
    <x v="0"/>
    <n v="4"/>
    <x v="1"/>
    <n v="300"/>
    <n v="1200"/>
  </r>
  <r>
    <n v="409"/>
    <d v="2023-05-23T00:00:00"/>
    <x v="4"/>
    <n v="5"/>
    <x v="0"/>
    <s v="CUST822"/>
    <x v="1"/>
    <n v="52"/>
    <x v="1"/>
    <x v="1"/>
    <n v="3"/>
    <x v="0"/>
    <n v="50"/>
    <n v="150"/>
  </r>
  <r>
    <n v="410"/>
    <d v="2023-05-24T00:00:00"/>
    <x v="4"/>
    <n v="5"/>
    <x v="0"/>
    <s v="CUST840"/>
    <x v="0"/>
    <n v="62"/>
    <x v="2"/>
    <x v="0"/>
    <n v="2"/>
    <x v="3"/>
    <n v="25"/>
    <n v="50"/>
  </r>
  <r>
    <n v="411"/>
    <d v="2023-05-25T00:00:00"/>
    <x v="4"/>
    <n v="5"/>
    <x v="0"/>
    <s v="CUST404"/>
    <x v="0"/>
    <n v="46"/>
    <x v="1"/>
    <x v="2"/>
    <n v="2"/>
    <x v="3"/>
    <n v="500"/>
    <n v="1000"/>
  </r>
  <r>
    <n v="412"/>
    <d v="2023-05-25T00:00:00"/>
    <x v="4"/>
    <n v="5"/>
    <x v="0"/>
    <s v="CUST899"/>
    <x v="0"/>
    <n v="26"/>
    <x v="3"/>
    <x v="0"/>
    <n v="2"/>
    <x v="3"/>
    <n v="300"/>
    <n v="600"/>
  </r>
  <r>
    <n v="413"/>
    <d v="2023-05-25T00:00:00"/>
    <x v="4"/>
    <n v="5"/>
    <x v="0"/>
    <s v="CUST990"/>
    <x v="1"/>
    <n v="58"/>
    <x v="2"/>
    <x v="1"/>
    <n v="2"/>
    <x v="3"/>
    <n v="500"/>
    <n v="1000"/>
  </r>
  <r>
    <n v="414"/>
    <d v="2023-05-26T00:00:00"/>
    <x v="4"/>
    <n v="5"/>
    <x v="0"/>
    <s v="CUST382"/>
    <x v="1"/>
    <n v="53"/>
    <x v="1"/>
    <x v="0"/>
    <n v="2"/>
    <x v="3"/>
    <n v="500"/>
    <n v="1000"/>
  </r>
  <r>
    <n v="415"/>
    <d v="2023-05-26T00:00:00"/>
    <x v="4"/>
    <n v="5"/>
    <x v="0"/>
    <s v="CUST578"/>
    <x v="1"/>
    <n v="54"/>
    <x v="1"/>
    <x v="0"/>
    <n v="4"/>
    <x v="1"/>
    <n v="30"/>
    <n v="120"/>
  </r>
  <r>
    <n v="416"/>
    <d v="2023-05-26T00:00:00"/>
    <x v="4"/>
    <n v="5"/>
    <x v="0"/>
    <s v="CUST923"/>
    <x v="0"/>
    <n v="32"/>
    <x v="3"/>
    <x v="1"/>
    <n v="3"/>
    <x v="0"/>
    <n v="300"/>
    <n v="900"/>
  </r>
  <r>
    <n v="417"/>
    <d v="2023-05-27T00:00:00"/>
    <x v="4"/>
    <n v="5"/>
    <x v="0"/>
    <s v="CUST307"/>
    <x v="1"/>
    <n v="26"/>
    <x v="3"/>
    <x v="2"/>
    <n v="2"/>
    <x v="3"/>
    <n v="25"/>
    <n v="50"/>
  </r>
  <r>
    <n v="418"/>
    <d v="2023-05-27T00:00:00"/>
    <x v="4"/>
    <n v="5"/>
    <x v="0"/>
    <s v="CUST561"/>
    <x v="1"/>
    <n v="64"/>
    <x v="2"/>
    <x v="0"/>
    <n v="4"/>
    <x v="1"/>
    <n v="500"/>
    <n v="2000"/>
  </r>
  <r>
    <n v="419"/>
    <d v="2023-05-27T00:00:00"/>
    <x v="4"/>
    <n v="5"/>
    <x v="0"/>
    <s v="CUST651"/>
    <x v="0"/>
    <n v="51"/>
    <x v="1"/>
    <x v="0"/>
    <n v="3"/>
    <x v="0"/>
    <n v="50"/>
    <n v="150"/>
  </r>
  <r>
    <n v="420"/>
    <d v="2023-05-28T00:00:00"/>
    <x v="4"/>
    <n v="5"/>
    <x v="0"/>
    <s v="CUST988"/>
    <x v="1"/>
    <n v="63"/>
    <x v="2"/>
    <x v="0"/>
    <n v="3"/>
    <x v="0"/>
    <n v="25"/>
    <n v="75"/>
  </r>
  <r>
    <n v="421"/>
    <d v="2023-05-29T00:00:00"/>
    <x v="4"/>
    <n v="5"/>
    <x v="0"/>
    <s v="CUST067"/>
    <x v="1"/>
    <n v="48"/>
    <x v="1"/>
    <x v="1"/>
    <n v="4"/>
    <x v="1"/>
    <n v="300"/>
    <n v="1200"/>
  </r>
  <r>
    <n v="422"/>
    <d v="2023-05-30T00:00:00"/>
    <x v="4"/>
    <n v="5"/>
    <x v="0"/>
    <s v="CUST915"/>
    <x v="1"/>
    <n v="26"/>
    <x v="3"/>
    <x v="1"/>
    <n v="3"/>
    <x v="0"/>
    <n v="30"/>
    <n v="90"/>
  </r>
  <r>
    <n v="423"/>
    <d v="2023-05-30T00:00:00"/>
    <x v="4"/>
    <n v="5"/>
    <x v="0"/>
    <s v="CUST985"/>
    <x v="1"/>
    <n v="19"/>
    <x v="3"/>
    <x v="2"/>
    <n v="2"/>
    <x v="3"/>
    <n v="25"/>
    <n v="50"/>
  </r>
  <r>
    <n v="424"/>
    <d v="2023-05-31T00:00:00"/>
    <x v="4"/>
    <n v="5"/>
    <x v="0"/>
    <s v="CUST056"/>
    <x v="1"/>
    <n v="26"/>
    <x v="3"/>
    <x v="0"/>
    <n v="3"/>
    <x v="0"/>
    <n v="300"/>
    <n v="900"/>
  </r>
  <r>
    <n v="425"/>
    <d v="2023-05-31T00:00:00"/>
    <x v="4"/>
    <n v="5"/>
    <x v="0"/>
    <s v="CUST159"/>
    <x v="0"/>
    <n v="26"/>
    <x v="3"/>
    <x v="0"/>
    <n v="4"/>
    <x v="1"/>
    <n v="50"/>
    <n v="200"/>
  </r>
  <r>
    <n v="426"/>
    <d v="2023-05-31T00:00:00"/>
    <x v="4"/>
    <n v="5"/>
    <x v="0"/>
    <s v="CUST862"/>
    <x v="0"/>
    <n v="28"/>
    <x v="3"/>
    <x v="2"/>
    <n v="4"/>
    <x v="1"/>
    <n v="300"/>
    <n v="1200"/>
  </r>
  <r>
    <n v="427"/>
    <d v="2023-06-01T00:00:00"/>
    <x v="4"/>
    <n v="5"/>
    <x v="0"/>
    <s v="CUST315"/>
    <x v="0"/>
    <n v="47"/>
    <x v="1"/>
    <x v="0"/>
    <n v="2"/>
    <x v="3"/>
    <n v="30"/>
    <n v="60"/>
  </r>
  <r>
    <n v="428"/>
    <d v="2023-06-01T00:00:00"/>
    <x v="5"/>
    <n v="6"/>
    <x v="0"/>
    <s v="CUST545"/>
    <x v="0"/>
    <n v="27"/>
    <x v="3"/>
    <x v="0"/>
    <n v="2"/>
    <x v="3"/>
    <n v="25"/>
    <n v="50"/>
  </r>
  <r>
    <n v="429"/>
    <d v="2023-06-01T00:00:00"/>
    <x v="5"/>
    <n v="6"/>
    <x v="0"/>
    <s v="CUST902"/>
    <x v="1"/>
    <n v="54"/>
    <x v="1"/>
    <x v="1"/>
    <n v="1"/>
    <x v="2"/>
    <n v="50"/>
    <n v="50"/>
  </r>
  <r>
    <n v="430"/>
    <d v="2023-06-02T00:00:00"/>
    <x v="5"/>
    <n v="6"/>
    <x v="0"/>
    <s v="CUST170"/>
    <x v="1"/>
    <n v="25"/>
    <x v="3"/>
    <x v="0"/>
    <n v="2"/>
    <x v="3"/>
    <n v="25"/>
    <n v="50"/>
  </r>
  <r>
    <n v="431"/>
    <d v="2023-06-02T00:00:00"/>
    <x v="5"/>
    <n v="6"/>
    <x v="0"/>
    <s v="CUST685"/>
    <x v="0"/>
    <n v="57"/>
    <x v="2"/>
    <x v="2"/>
    <n v="2"/>
    <x v="3"/>
    <n v="25"/>
    <n v="50"/>
  </r>
  <r>
    <n v="432"/>
    <d v="2023-06-02T00:00:00"/>
    <x v="5"/>
    <n v="6"/>
    <x v="0"/>
    <s v="CUST958"/>
    <x v="0"/>
    <n v="62"/>
    <x v="2"/>
    <x v="2"/>
    <n v="2"/>
    <x v="3"/>
    <n v="25"/>
    <n v="50"/>
  </r>
  <r>
    <n v="433"/>
    <d v="2023-06-03T00:00:00"/>
    <x v="5"/>
    <n v="6"/>
    <x v="0"/>
    <s v="CUST363"/>
    <x v="0"/>
    <n v="64"/>
    <x v="2"/>
    <x v="1"/>
    <n v="1"/>
    <x v="2"/>
    <n v="25"/>
    <n v="25"/>
  </r>
  <r>
    <n v="434"/>
    <d v="2023-06-03T00:00:00"/>
    <x v="5"/>
    <n v="6"/>
    <x v="0"/>
    <s v="CUST394"/>
    <x v="1"/>
    <n v="27"/>
    <x v="3"/>
    <x v="0"/>
    <n v="1"/>
    <x v="2"/>
    <n v="500"/>
    <n v="500"/>
  </r>
  <r>
    <n v="435"/>
    <d v="2023-06-03T00:00:00"/>
    <x v="5"/>
    <n v="6"/>
    <x v="0"/>
    <s v="CUST537"/>
    <x v="1"/>
    <n v="21"/>
    <x v="3"/>
    <x v="1"/>
    <n v="1"/>
    <x v="2"/>
    <n v="500"/>
    <n v="500"/>
  </r>
  <r>
    <n v="436"/>
    <d v="2023-06-04T00:00:00"/>
    <x v="5"/>
    <n v="6"/>
    <x v="0"/>
    <s v="CUST387"/>
    <x v="0"/>
    <n v="44"/>
    <x v="0"/>
    <x v="1"/>
    <n v="1"/>
    <x v="2"/>
    <n v="30"/>
    <n v="30"/>
  </r>
  <r>
    <n v="437"/>
    <d v="2023-06-04T00:00:00"/>
    <x v="5"/>
    <n v="6"/>
    <x v="0"/>
    <s v="CUST556"/>
    <x v="1"/>
    <n v="18"/>
    <x v="4"/>
    <x v="2"/>
    <n v="1"/>
    <x v="2"/>
    <n v="50"/>
    <n v="50"/>
  </r>
  <r>
    <n v="438"/>
    <d v="2023-06-04T00:00:00"/>
    <x v="5"/>
    <n v="6"/>
    <x v="0"/>
    <s v="CUST782"/>
    <x v="0"/>
    <n v="59"/>
    <x v="2"/>
    <x v="0"/>
    <n v="3"/>
    <x v="0"/>
    <n v="300"/>
    <n v="900"/>
  </r>
  <r>
    <n v="439"/>
    <d v="2023-06-04T00:00:00"/>
    <x v="5"/>
    <n v="6"/>
    <x v="0"/>
    <s v="CUST906"/>
    <x v="1"/>
    <n v="20"/>
    <x v="3"/>
    <x v="0"/>
    <n v="1"/>
    <x v="2"/>
    <n v="50"/>
    <n v="50"/>
  </r>
  <r>
    <n v="440"/>
    <d v="2023-06-05T00:00:00"/>
    <x v="5"/>
    <n v="6"/>
    <x v="0"/>
    <s v="CUST560"/>
    <x v="1"/>
    <n v="25"/>
    <x v="3"/>
    <x v="2"/>
    <n v="1"/>
    <x v="2"/>
    <n v="50"/>
    <n v="50"/>
  </r>
  <r>
    <n v="441"/>
    <d v="2023-06-05T00:00:00"/>
    <x v="5"/>
    <n v="6"/>
    <x v="0"/>
    <s v="CUST944"/>
    <x v="0"/>
    <n v="44"/>
    <x v="0"/>
    <x v="0"/>
    <n v="2"/>
    <x v="3"/>
    <n v="25"/>
    <n v="50"/>
  </r>
  <r>
    <n v="442"/>
    <d v="2023-06-06T00:00:00"/>
    <x v="5"/>
    <n v="6"/>
    <x v="0"/>
    <s v="CUST481"/>
    <x v="1"/>
    <n v="43"/>
    <x v="0"/>
    <x v="2"/>
    <n v="4"/>
    <x v="1"/>
    <n v="300"/>
    <n v="1200"/>
  </r>
  <r>
    <n v="443"/>
    <d v="2023-06-06T00:00:00"/>
    <x v="5"/>
    <n v="6"/>
    <x v="0"/>
    <s v="CUST867"/>
    <x v="0"/>
    <n v="21"/>
    <x v="3"/>
    <x v="2"/>
    <n v="1"/>
    <x v="2"/>
    <n v="500"/>
    <n v="500"/>
  </r>
  <r>
    <n v="444"/>
    <d v="2023-06-06T00:00:00"/>
    <x v="5"/>
    <n v="6"/>
    <x v="0"/>
    <s v="CUST882"/>
    <x v="1"/>
    <n v="64"/>
    <x v="2"/>
    <x v="2"/>
    <n v="2"/>
    <x v="3"/>
    <n v="25"/>
    <n v="50"/>
  </r>
  <r>
    <n v="445"/>
    <d v="2023-06-06T00:00:00"/>
    <x v="5"/>
    <n v="6"/>
    <x v="0"/>
    <s v="CUST961"/>
    <x v="0"/>
    <n v="53"/>
    <x v="1"/>
    <x v="1"/>
    <n v="4"/>
    <x v="1"/>
    <n v="50"/>
    <n v="200"/>
  </r>
  <r>
    <n v="446"/>
    <d v="2023-06-07T00:00:00"/>
    <x v="5"/>
    <n v="6"/>
    <x v="0"/>
    <s v="CUST187"/>
    <x v="1"/>
    <n v="64"/>
    <x v="2"/>
    <x v="0"/>
    <n v="2"/>
    <x v="3"/>
    <n v="50"/>
    <n v="100"/>
  </r>
  <r>
    <n v="447"/>
    <d v="2023-06-07T00:00:00"/>
    <x v="5"/>
    <n v="6"/>
    <x v="0"/>
    <s v="CUST446"/>
    <x v="0"/>
    <n v="21"/>
    <x v="3"/>
    <x v="2"/>
    <n v="1"/>
    <x v="2"/>
    <n v="50"/>
    <n v="50"/>
  </r>
  <r>
    <n v="448"/>
    <d v="2023-06-08T00:00:00"/>
    <x v="5"/>
    <n v="6"/>
    <x v="0"/>
    <s v="CUST539"/>
    <x v="0"/>
    <n v="25"/>
    <x v="3"/>
    <x v="1"/>
    <n v="1"/>
    <x v="2"/>
    <n v="500"/>
    <n v="500"/>
  </r>
  <r>
    <n v="449"/>
    <d v="2023-06-08T00:00:00"/>
    <x v="5"/>
    <n v="6"/>
    <x v="0"/>
    <s v="CUST587"/>
    <x v="1"/>
    <n v="40"/>
    <x v="0"/>
    <x v="1"/>
    <n v="4"/>
    <x v="1"/>
    <n v="300"/>
    <n v="1200"/>
  </r>
  <r>
    <n v="450"/>
    <d v="2023-06-09T00:00:00"/>
    <x v="5"/>
    <n v="6"/>
    <x v="0"/>
    <s v="CUST212"/>
    <x v="0"/>
    <n v="21"/>
    <x v="3"/>
    <x v="0"/>
    <n v="3"/>
    <x v="0"/>
    <n v="500"/>
    <n v="1500"/>
  </r>
  <r>
    <n v="451"/>
    <d v="2023-06-09T00:00:00"/>
    <x v="5"/>
    <n v="6"/>
    <x v="0"/>
    <s v="CUST765"/>
    <x v="0"/>
    <n v="43"/>
    <x v="0"/>
    <x v="0"/>
    <n v="4"/>
    <x v="1"/>
    <n v="50"/>
    <n v="200"/>
  </r>
  <r>
    <n v="452"/>
    <d v="2023-06-09T00:00:00"/>
    <x v="5"/>
    <n v="6"/>
    <x v="0"/>
    <s v="CUST769"/>
    <x v="1"/>
    <n v="31"/>
    <x v="3"/>
    <x v="2"/>
    <n v="4"/>
    <x v="1"/>
    <n v="30"/>
    <n v="120"/>
  </r>
  <r>
    <n v="453"/>
    <d v="2023-06-10T00:00:00"/>
    <x v="5"/>
    <n v="6"/>
    <x v="0"/>
    <s v="CUST321"/>
    <x v="1"/>
    <n v="26"/>
    <x v="3"/>
    <x v="2"/>
    <n v="2"/>
    <x v="3"/>
    <n v="25"/>
    <n v="50"/>
  </r>
  <r>
    <n v="454"/>
    <d v="2023-06-10T00:00:00"/>
    <x v="5"/>
    <n v="6"/>
    <x v="0"/>
    <s v="CUST356"/>
    <x v="0"/>
    <n v="50"/>
    <x v="1"/>
    <x v="2"/>
    <n v="3"/>
    <x v="0"/>
    <n v="500"/>
    <n v="1500"/>
  </r>
  <r>
    <n v="455"/>
    <d v="2023-06-10T00:00:00"/>
    <x v="5"/>
    <n v="6"/>
    <x v="0"/>
    <s v="CUST510"/>
    <x v="1"/>
    <n v="39"/>
    <x v="0"/>
    <x v="1"/>
    <n v="4"/>
    <x v="1"/>
    <n v="50"/>
    <n v="200"/>
  </r>
  <r>
    <n v="456"/>
    <d v="2023-06-10T00:00:00"/>
    <x v="5"/>
    <n v="6"/>
    <x v="0"/>
    <s v="CUST534"/>
    <x v="0"/>
    <n v="45"/>
    <x v="0"/>
    <x v="0"/>
    <n v="2"/>
    <x v="3"/>
    <n v="500"/>
    <n v="1000"/>
  </r>
  <r>
    <n v="457"/>
    <d v="2023-06-11T00:00:00"/>
    <x v="5"/>
    <n v="6"/>
    <x v="0"/>
    <s v="CUST104"/>
    <x v="1"/>
    <n v="34"/>
    <x v="3"/>
    <x v="1"/>
    <n v="2"/>
    <x v="3"/>
    <n v="500"/>
    <n v="1000"/>
  </r>
  <r>
    <n v="458"/>
    <d v="2023-06-11T00:00:00"/>
    <x v="5"/>
    <n v="6"/>
    <x v="0"/>
    <s v="CUST110"/>
    <x v="0"/>
    <n v="27"/>
    <x v="3"/>
    <x v="0"/>
    <n v="3"/>
    <x v="0"/>
    <n v="300"/>
    <n v="900"/>
  </r>
  <r>
    <n v="459"/>
    <d v="2023-06-11T00:00:00"/>
    <x v="5"/>
    <n v="6"/>
    <x v="0"/>
    <s v="CUST352"/>
    <x v="0"/>
    <n v="57"/>
    <x v="2"/>
    <x v="2"/>
    <n v="2"/>
    <x v="3"/>
    <n v="500"/>
    <n v="1000"/>
  </r>
  <r>
    <n v="460"/>
    <d v="2023-06-11T00:00:00"/>
    <x v="5"/>
    <n v="6"/>
    <x v="0"/>
    <s v="CUST365"/>
    <x v="0"/>
    <n v="31"/>
    <x v="3"/>
    <x v="0"/>
    <n v="1"/>
    <x v="2"/>
    <n v="300"/>
    <n v="300"/>
  </r>
  <r>
    <n v="461"/>
    <d v="2023-06-11T00:00:00"/>
    <x v="5"/>
    <n v="6"/>
    <x v="0"/>
    <s v="CUST887"/>
    <x v="0"/>
    <n v="59"/>
    <x v="2"/>
    <x v="0"/>
    <n v="4"/>
    <x v="1"/>
    <n v="25"/>
    <n v="100"/>
  </r>
  <r>
    <n v="462"/>
    <d v="2023-06-12T00:00:00"/>
    <x v="5"/>
    <n v="6"/>
    <x v="0"/>
    <s v="CUST629"/>
    <x v="0"/>
    <n v="62"/>
    <x v="2"/>
    <x v="2"/>
    <n v="2"/>
    <x v="3"/>
    <n v="25"/>
    <n v="50"/>
  </r>
  <r>
    <n v="463"/>
    <d v="2023-06-13T00:00:00"/>
    <x v="5"/>
    <n v="6"/>
    <x v="0"/>
    <s v="CUST655"/>
    <x v="1"/>
    <n v="55"/>
    <x v="1"/>
    <x v="0"/>
    <n v="1"/>
    <x v="2"/>
    <n v="500"/>
    <n v="500"/>
  </r>
  <r>
    <n v="464"/>
    <d v="2023-06-14T00:00:00"/>
    <x v="5"/>
    <n v="6"/>
    <x v="0"/>
    <s v="CUST567"/>
    <x v="1"/>
    <n v="25"/>
    <x v="3"/>
    <x v="0"/>
    <n v="3"/>
    <x v="0"/>
    <n v="300"/>
    <n v="900"/>
  </r>
  <r>
    <n v="465"/>
    <d v="2023-06-15T00:00:00"/>
    <x v="5"/>
    <n v="6"/>
    <x v="0"/>
    <s v="CUST182"/>
    <x v="0"/>
    <n v="62"/>
    <x v="2"/>
    <x v="1"/>
    <n v="4"/>
    <x v="1"/>
    <n v="30"/>
    <n v="120"/>
  </r>
  <r>
    <n v="466"/>
    <d v="2023-06-15T00:00:00"/>
    <x v="5"/>
    <n v="6"/>
    <x v="0"/>
    <s v="CUST819"/>
    <x v="1"/>
    <n v="35"/>
    <x v="0"/>
    <x v="1"/>
    <n v="2"/>
    <x v="3"/>
    <n v="50"/>
    <n v="100"/>
  </r>
  <r>
    <n v="467"/>
    <d v="2023-06-16T00:00:00"/>
    <x v="5"/>
    <n v="6"/>
    <x v="0"/>
    <s v="CUST100"/>
    <x v="0"/>
    <n v="41"/>
    <x v="0"/>
    <x v="2"/>
    <n v="1"/>
    <x v="2"/>
    <n v="30"/>
    <n v="30"/>
  </r>
  <r>
    <n v="468"/>
    <d v="2023-06-16T00:00:00"/>
    <x v="5"/>
    <n v="6"/>
    <x v="0"/>
    <s v="CUST833"/>
    <x v="0"/>
    <n v="42"/>
    <x v="0"/>
    <x v="1"/>
    <n v="4"/>
    <x v="1"/>
    <n v="50"/>
    <n v="200"/>
  </r>
  <r>
    <n v="469"/>
    <d v="2023-06-17T00:00:00"/>
    <x v="5"/>
    <n v="6"/>
    <x v="0"/>
    <s v="CUST542"/>
    <x v="1"/>
    <n v="20"/>
    <x v="3"/>
    <x v="1"/>
    <n v="1"/>
    <x v="2"/>
    <n v="50"/>
    <n v="50"/>
  </r>
  <r>
    <n v="470"/>
    <d v="2023-06-17T00:00:00"/>
    <x v="5"/>
    <n v="6"/>
    <x v="0"/>
    <s v="CUST723"/>
    <x v="1"/>
    <n v="54"/>
    <x v="1"/>
    <x v="1"/>
    <n v="4"/>
    <x v="1"/>
    <n v="50"/>
    <n v="200"/>
  </r>
  <r>
    <n v="471"/>
    <d v="2023-06-17T00:00:00"/>
    <x v="5"/>
    <n v="6"/>
    <x v="0"/>
    <s v="CUST726"/>
    <x v="0"/>
    <n v="47"/>
    <x v="1"/>
    <x v="0"/>
    <n v="4"/>
    <x v="1"/>
    <n v="300"/>
    <n v="1200"/>
  </r>
  <r>
    <n v="472"/>
    <d v="2023-06-18T00:00:00"/>
    <x v="5"/>
    <n v="6"/>
    <x v="0"/>
    <s v="CUST488"/>
    <x v="1"/>
    <n v="51"/>
    <x v="1"/>
    <x v="2"/>
    <n v="3"/>
    <x v="0"/>
    <n v="300"/>
    <n v="900"/>
  </r>
  <r>
    <n v="473"/>
    <d v="2023-06-19T00:00:00"/>
    <x v="5"/>
    <n v="6"/>
    <x v="0"/>
    <s v="CUST239"/>
    <x v="0"/>
    <n v="38"/>
    <x v="0"/>
    <x v="2"/>
    <n v="3"/>
    <x v="0"/>
    <n v="500"/>
    <n v="1500"/>
  </r>
  <r>
    <n v="474"/>
    <d v="2023-06-19T00:00:00"/>
    <x v="5"/>
    <n v="6"/>
    <x v="0"/>
    <s v="CUST498"/>
    <x v="1"/>
    <n v="50"/>
    <x v="1"/>
    <x v="0"/>
    <n v="4"/>
    <x v="1"/>
    <n v="25"/>
    <n v="100"/>
  </r>
  <r>
    <n v="475"/>
    <d v="2023-06-19T00:00:00"/>
    <x v="5"/>
    <n v="6"/>
    <x v="0"/>
    <s v="CUST532"/>
    <x v="1"/>
    <n v="64"/>
    <x v="2"/>
    <x v="0"/>
    <n v="4"/>
    <x v="1"/>
    <n v="30"/>
    <n v="120"/>
  </r>
  <r>
    <n v="476"/>
    <d v="2023-06-19T00:00:00"/>
    <x v="5"/>
    <n v="6"/>
    <x v="0"/>
    <s v="CUST669"/>
    <x v="0"/>
    <n v="24"/>
    <x v="3"/>
    <x v="1"/>
    <n v="4"/>
    <x v="1"/>
    <n v="300"/>
    <n v="1200"/>
  </r>
  <r>
    <n v="477"/>
    <d v="2023-06-19T00:00:00"/>
    <x v="5"/>
    <n v="6"/>
    <x v="0"/>
    <s v="CUST877"/>
    <x v="1"/>
    <n v="58"/>
    <x v="2"/>
    <x v="0"/>
    <n v="1"/>
    <x v="2"/>
    <n v="25"/>
    <n v="25"/>
  </r>
  <r>
    <n v="478"/>
    <d v="2023-06-20T00:00:00"/>
    <x v="5"/>
    <n v="6"/>
    <x v="0"/>
    <s v="CUST422"/>
    <x v="1"/>
    <n v="28"/>
    <x v="3"/>
    <x v="0"/>
    <n v="3"/>
    <x v="0"/>
    <n v="30"/>
    <n v="90"/>
  </r>
  <r>
    <n v="479"/>
    <d v="2023-06-20T00:00:00"/>
    <x v="5"/>
    <n v="6"/>
    <x v="0"/>
    <s v="CUST466"/>
    <x v="0"/>
    <n v="63"/>
    <x v="2"/>
    <x v="2"/>
    <n v="4"/>
    <x v="1"/>
    <n v="25"/>
    <n v="100"/>
  </r>
  <r>
    <n v="480"/>
    <d v="2023-06-21T00:00:00"/>
    <x v="5"/>
    <n v="6"/>
    <x v="0"/>
    <s v="CUST583"/>
    <x v="1"/>
    <n v="24"/>
    <x v="3"/>
    <x v="2"/>
    <n v="4"/>
    <x v="1"/>
    <n v="25"/>
    <n v="100"/>
  </r>
  <r>
    <n v="481"/>
    <d v="2023-06-21T00:00:00"/>
    <x v="5"/>
    <n v="6"/>
    <x v="0"/>
    <s v="CUST654"/>
    <x v="0"/>
    <n v="42"/>
    <x v="0"/>
    <x v="0"/>
    <n v="3"/>
    <x v="0"/>
    <n v="25"/>
    <n v="75"/>
  </r>
  <r>
    <n v="482"/>
    <d v="2023-06-22T00:00:00"/>
    <x v="5"/>
    <n v="6"/>
    <x v="0"/>
    <s v="CUST040"/>
    <x v="0"/>
    <n v="45"/>
    <x v="0"/>
    <x v="1"/>
    <n v="1"/>
    <x v="2"/>
    <n v="50"/>
    <n v="50"/>
  </r>
  <r>
    <n v="483"/>
    <d v="2023-06-22T00:00:00"/>
    <x v="5"/>
    <n v="6"/>
    <x v="0"/>
    <s v="CUST699"/>
    <x v="1"/>
    <n v="37"/>
    <x v="0"/>
    <x v="0"/>
    <n v="4"/>
    <x v="1"/>
    <n v="30"/>
    <n v="120"/>
  </r>
  <r>
    <n v="484"/>
    <d v="2023-06-22T00:00:00"/>
    <x v="5"/>
    <n v="6"/>
    <x v="0"/>
    <s v="CUST727"/>
    <x v="0"/>
    <n v="55"/>
    <x v="1"/>
    <x v="1"/>
    <n v="3"/>
    <x v="0"/>
    <n v="300"/>
    <n v="900"/>
  </r>
  <r>
    <n v="485"/>
    <d v="2023-06-22T00:00:00"/>
    <x v="5"/>
    <n v="6"/>
    <x v="0"/>
    <s v="CUST830"/>
    <x v="1"/>
    <n v="64"/>
    <x v="2"/>
    <x v="0"/>
    <n v="3"/>
    <x v="0"/>
    <n v="50"/>
    <n v="150"/>
  </r>
  <r>
    <n v="486"/>
    <d v="2023-06-23T00:00:00"/>
    <x v="5"/>
    <n v="6"/>
    <x v="0"/>
    <s v="CUST224"/>
    <x v="1"/>
    <n v="25"/>
    <x v="3"/>
    <x v="0"/>
    <n v="1"/>
    <x v="2"/>
    <n v="50"/>
    <n v="50"/>
  </r>
  <r>
    <n v="487"/>
    <d v="2023-06-23T00:00:00"/>
    <x v="5"/>
    <n v="6"/>
    <x v="0"/>
    <s v="CUST271"/>
    <x v="1"/>
    <n v="62"/>
    <x v="2"/>
    <x v="1"/>
    <n v="4"/>
    <x v="1"/>
    <n v="30"/>
    <n v="120"/>
  </r>
  <r>
    <n v="488"/>
    <d v="2023-06-24T00:00:00"/>
    <x v="5"/>
    <n v="6"/>
    <x v="0"/>
    <s v="CUST036"/>
    <x v="0"/>
    <n v="52"/>
    <x v="1"/>
    <x v="1"/>
    <n v="3"/>
    <x v="0"/>
    <n v="300"/>
    <n v="900"/>
  </r>
  <r>
    <n v="489"/>
    <d v="2023-06-24T00:00:00"/>
    <x v="5"/>
    <n v="6"/>
    <x v="0"/>
    <s v="CUST157"/>
    <x v="0"/>
    <n v="62"/>
    <x v="2"/>
    <x v="2"/>
    <n v="4"/>
    <x v="1"/>
    <n v="500"/>
    <n v="2000"/>
  </r>
  <r>
    <n v="490"/>
    <d v="2023-06-24T00:00:00"/>
    <x v="5"/>
    <n v="6"/>
    <x v="0"/>
    <s v="CUST796"/>
    <x v="0"/>
    <n v="43"/>
    <x v="0"/>
    <x v="1"/>
    <n v="4"/>
    <x v="1"/>
    <n v="30"/>
    <n v="120"/>
  </r>
  <r>
    <n v="491"/>
    <d v="2023-06-24T00:00:00"/>
    <x v="5"/>
    <n v="6"/>
    <x v="0"/>
    <s v="CUST839"/>
    <x v="1"/>
    <n v="20"/>
    <x v="3"/>
    <x v="2"/>
    <n v="4"/>
    <x v="1"/>
    <n v="300"/>
    <n v="1200"/>
  </r>
  <r>
    <n v="492"/>
    <d v="2023-06-24T00:00:00"/>
    <x v="5"/>
    <n v="6"/>
    <x v="0"/>
    <s v="CUST927"/>
    <x v="0"/>
    <n v="43"/>
    <x v="0"/>
    <x v="2"/>
    <n v="4"/>
    <x v="1"/>
    <n v="500"/>
    <n v="2000"/>
  </r>
  <r>
    <n v="493"/>
    <d v="2023-06-25T00:00:00"/>
    <x v="5"/>
    <n v="6"/>
    <x v="0"/>
    <s v="CUST407"/>
    <x v="1"/>
    <n v="46"/>
    <x v="1"/>
    <x v="2"/>
    <n v="3"/>
    <x v="0"/>
    <n v="300"/>
    <n v="900"/>
  </r>
  <r>
    <n v="494"/>
    <d v="2023-06-26T00:00:00"/>
    <x v="5"/>
    <n v="6"/>
    <x v="0"/>
    <s v="CUST046"/>
    <x v="1"/>
    <n v="20"/>
    <x v="3"/>
    <x v="2"/>
    <n v="4"/>
    <x v="1"/>
    <n v="300"/>
    <n v="1200"/>
  </r>
  <r>
    <n v="495"/>
    <d v="2023-06-26T00:00:00"/>
    <x v="5"/>
    <n v="6"/>
    <x v="0"/>
    <s v="CUST509"/>
    <x v="1"/>
    <n v="37"/>
    <x v="0"/>
    <x v="2"/>
    <n v="3"/>
    <x v="0"/>
    <n v="300"/>
    <n v="900"/>
  </r>
  <r>
    <n v="496"/>
    <d v="2023-06-26T00:00:00"/>
    <x v="5"/>
    <n v="6"/>
    <x v="0"/>
    <s v="CUST874"/>
    <x v="0"/>
    <n v="60"/>
    <x v="2"/>
    <x v="1"/>
    <n v="1"/>
    <x v="2"/>
    <n v="30"/>
    <n v="30"/>
  </r>
  <r>
    <n v="497"/>
    <d v="2023-06-27T00:00:00"/>
    <x v="5"/>
    <n v="6"/>
    <x v="0"/>
    <s v="CUST788"/>
    <x v="1"/>
    <n v="52"/>
    <x v="1"/>
    <x v="1"/>
    <n v="3"/>
    <x v="0"/>
    <n v="300"/>
    <n v="900"/>
  </r>
  <r>
    <n v="498"/>
    <d v="2023-06-28T00:00:00"/>
    <x v="5"/>
    <n v="6"/>
    <x v="0"/>
    <s v="CUST378"/>
    <x v="0"/>
    <n v="50"/>
    <x v="1"/>
    <x v="1"/>
    <n v="1"/>
    <x v="2"/>
    <n v="300"/>
    <n v="300"/>
  </r>
  <r>
    <n v="499"/>
    <d v="2023-06-29T00:00:00"/>
    <x v="5"/>
    <n v="6"/>
    <x v="0"/>
    <s v="CUST480"/>
    <x v="1"/>
    <n v="42"/>
    <x v="0"/>
    <x v="1"/>
    <n v="4"/>
    <x v="1"/>
    <n v="500"/>
    <n v="2000"/>
  </r>
  <r>
    <n v="500"/>
    <d v="2023-06-29T00:00:00"/>
    <x v="5"/>
    <n v="6"/>
    <x v="0"/>
    <s v="CUST492"/>
    <x v="0"/>
    <n v="61"/>
    <x v="2"/>
    <x v="1"/>
    <n v="4"/>
    <x v="1"/>
    <n v="25"/>
    <n v="100"/>
  </r>
  <r>
    <n v="501"/>
    <d v="2023-06-29T00:00:00"/>
    <x v="5"/>
    <n v="6"/>
    <x v="0"/>
    <s v="CUST737"/>
    <x v="1"/>
    <n v="33"/>
    <x v="3"/>
    <x v="0"/>
    <n v="1"/>
    <x v="2"/>
    <n v="50"/>
    <n v="50"/>
  </r>
  <r>
    <n v="502"/>
    <d v="2023-06-30T00:00:00"/>
    <x v="5"/>
    <n v="6"/>
    <x v="0"/>
    <s v="CUST684"/>
    <x v="1"/>
    <n v="28"/>
    <x v="3"/>
    <x v="0"/>
    <n v="2"/>
    <x v="3"/>
    <n v="500"/>
    <n v="1000"/>
  </r>
  <r>
    <n v="503"/>
    <d v="2023-06-30T00:00:00"/>
    <x v="5"/>
    <n v="6"/>
    <x v="0"/>
    <s v="CUST878"/>
    <x v="1"/>
    <n v="20"/>
    <x v="3"/>
    <x v="0"/>
    <n v="1"/>
    <x v="2"/>
    <n v="30"/>
    <n v="30"/>
  </r>
  <r>
    <n v="504"/>
    <d v="2023-07-01T00:00:00"/>
    <x v="5"/>
    <n v="6"/>
    <x v="0"/>
    <s v="CUST078"/>
    <x v="1"/>
    <n v="47"/>
    <x v="1"/>
    <x v="0"/>
    <n v="3"/>
    <x v="0"/>
    <n v="500"/>
    <n v="1500"/>
  </r>
  <r>
    <n v="505"/>
    <d v="2023-07-01T00:00:00"/>
    <x v="6"/>
    <n v="7"/>
    <x v="0"/>
    <s v="CUST260"/>
    <x v="0"/>
    <n v="28"/>
    <x v="3"/>
    <x v="1"/>
    <n v="2"/>
    <x v="3"/>
    <n v="30"/>
    <n v="60"/>
  </r>
  <r>
    <n v="506"/>
    <d v="2023-07-01T00:00:00"/>
    <x v="6"/>
    <n v="7"/>
    <x v="0"/>
    <s v="CUST455"/>
    <x v="0"/>
    <n v="31"/>
    <x v="3"/>
    <x v="2"/>
    <n v="4"/>
    <x v="1"/>
    <n v="25"/>
    <n v="100"/>
  </r>
  <r>
    <n v="507"/>
    <d v="2023-07-01T00:00:00"/>
    <x v="6"/>
    <n v="7"/>
    <x v="0"/>
    <s v="CUST837"/>
    <x v="0"/>
    <n v="18"/>
    <x v="4"/>
    <x v="1"/>
    <n v="3"/>
    <x v="0"/>
    <n v="30"/>
    <n v="90"/>
  </r>
  <r>
    <n v="508"/>
    <d v="2023-07-03T00:00:00"/>
    <x v="6"/>
    <n v="7"/>
    <x v="0"/>
    <s v="CUST045"/>
    <x v="1"/>
    <n v="55"/>
    <x v="1"/>
    <x v="2"/>
    <n v="1"/>
    <x v="2"/>
    <n v="30"/>
    <n v="30"/>
  </r>
  <r>
    <n v="509"/>
    <d v="2023-07-03T00:00:00"/>
    <x v="6"/>
    <n v="7"/>
    <x v="0"/>
    <s v="CUST449"/>
    <x v="0"/>
    <n v="25"/>
    <x v="3"/>
    <x v="2"/>
    <n v="4"/>
    <x v="1"/>
    <n v="50"/>
    <n v="200"/>
  </r>
  <r>
    <n v="510"/>
    <d v="2023-07-04T00:00:00"/>
    <x v="6"/>
    <n v="7"/>
    <x v="0"/>
    <s v="CUST904"/>
    <x v="0"/>
    <n v="28"/>
    <x v="3"/>
    <x v="0"/>
    <n v="1"/>
    <x v="2"/>
    <n v="500"/>
    <n v="500"/>
  </r>
  <r>
    <n v="511"/>
    <d v="2023-07-05T00:00:00"/>
    <x v="6"/>
    <n v="7"/>
    <x v="0"/>
    <s v="CUST059"/>
    <x v="0"/>
    <n v="62"/>
    <x v="2"/>
    <x v="0"/>
    <n v="1"/>
    <x v="2"/>
    <n v="50"/>
    <n v="50"/>
  </r>
  <r>
    <n v="512"/>
    <d v="2023-07-05T00:00:00"/>
    <x v="6"/>
    <n v="7"/>
    <x v="0"/>
    <s v="CUST128"/>
    <x v="0"/>
    <n v="25"/>
    <x v="3"/>
    <x v="1"/>
    <n v="1"/>
    <x v="2"/>
    <n v="500"/>
    <n v="500"/>
  </r>
  <r>
    <n v="513"/>
    <d v="2023-07-05T00:00:00"/>
    <x v="6"/>
    <n v="7"/>
    <x v="0"/>
    <s v="CUST186"/>
    <x v="0"/>
    <n v="20"/>
    <x v="3"/>
    <x v="0"/>
    <n v="4"/>
    <x v="1"/>
    <n v="50"/>
    <n v="200"/>
  </r>
  <r>
    <n v="514"/>
    <d v="2023-07-05T00:00:00"/>
    <x v="6"/>
    <n v="7"/>
    <x v="0"/>
    <s v="CUST802"/>
    <x v="1"/>
    <n v="46"/>
    <x v="1"/>
    <x v="1"/>
    <n v="1"/>
    <x v="2"/>
    <n v="30"/>
    <n v="30"/>
  </r>
  <r>
    <n v="515"/>
    <d v="2023-07-06T00:00:00"/>
    <x v="6"/>
    <n v="7"/>
    <x v="0"/>
    <s v="CUST075"/>
    <x v="0"/>
    <n v="61"/>
    <x v="2"/>
    <x v="1"/>
    <n v="4"/>
    <x v="1"/>
    <n v="50"/>
    <n v="200"/>
  </r>
  <r>
    <n v="516"/>
    <d v="2023-07-06T00:00:00"/>
    <x v="6"/>
    <n v="7"/>
    <x v="0"/>
    <s v="CUST447"/>
    <x v="0"/>
    <n v="22"/>
    <x v="3"/>
    <x v="1"/>
    <n v="4"/>
    <x v="1"/>
    <n v="500"/>
    <n v="2000"/>
  </r>
  <r>
    <n v="517"/>
    <d v="2023-07-06T00:00:00"/>
    <x v="6"/>
    <n v="7"/>
    <x v="0"/>
    <s v="CUST528"/>
    <x v="1"/>
    <n v="36"/>
    <x v="0"/>
    <x v="0"/>
    <n v="2"/>
    <x v="3"/>
    <n v="30"/>
    <n v="60"/>
  </r>
  <r>
    <n v="518"/>
    <d v="2023-07-08T00:00:00"/>
    <x v="6"/>
    <n v="7"/>
    <x v="0"/>
    <s v="CUST759"/>
    <x v="0"/>
    <n v="49"/>
    <x v="1"/>
    <x v="2"/>
    <n v="2"/>
    <x v="3"/>
    <n v="50"/>
    <n v="100"/>
  </r>
  <r>
    <n v="519"/>
    <d v="2023-07-08T00:00:00"/>
    <x v="6"/>
    <n v="7"/>
    <x v="0"/>
    <s v="CUST870"/>
    <x v="1"/>
    <n v="46"/>
    <x v="1"/>
    <x v="2"/>
    <n v="4"/>
    <x v="1"/>
    <n v="30"/>
    <n v="120"/>
  </r>
  <r>
    <n v="520"/>
    <d v="2023-07-09T00:00:00"/>
    <x v="6"/>
    <n v="7"/>
    <x v="0"/>
    <s v="CUST077"/>
    <x v="1"/>
    <n v="47"/>
    <x v="1"/>
    <x v="0"/>
    <n v="2"/>
    <x v="3"/>
    <n v="50"/>
    <n v="100"/>
  </r>
  <r>
    <n v="521"/>
    <d v="2023-07-09T00:00:00"/>
    <x v="6"/>
    <n v="7"/>
    <x v="0"/>
    <s v="CUST381"/>
    <x v="1"/>
    <n v="44"/>
    <x v="0"/>
    <x v="0"/>
    <n v="4"/>
    <x v="1"/>
    <n v="25"/>
    <n v="100"/>
  </r>
  <r>
    <n v="522"/>
    <d v="2023-07-09T00:00:00"/>
    <x v="6"/>
    <n v="7"/>
    <x v="0"/>
    <s v="CUST439"/>
    <x v="0"/>
    <n v="50"/>
    <x v="1"/>
    <x v="0"/>
    <n v="3"/>
    <x v="0"/>
    <n v="25"/>
    <n v="75"/>
  </r>
  <r>
    <n v="523"/>
    <d v="2023-07-09T00:00:00"/>
    <x v="6"/>
    <n v="7"/>
    <x v="0"/>
    <s v="CUST792"/>
    <x v="1"/>
    <n v="20"/>
    <x v="3"/>
    <x v="1"/>
    <n v="1"/>
    <x v="2"/>
    <n v="50"/>
    <n v="50"/>
  </r>
  <r>
    <n v="524"/>
    <d v="2023-07-11T00:00:00"/>
    <x v="6"/>
    <n v="7"/>
    <x v="0"/>
    <s v="CUST176"/>
    <x v="1"/>
    <n v="43"/>
    <x v="0"/>
    <x v="1"/>
    <n v="2"/>
    <x v="3"/>
    <n v="50"/>
    <n v="100"/>
  </r>
  <r>
    <n v="525"/>
    <d v="2023-07-11T00:00:00"/>
    <x v="6"/>
    <n v="7"/>
    <x v="0"/>
    <s v="CUST216"/>
    <x v="0"/>
    <n v="62"/>
    <x v="2"/>
    <x v="2"/>
    <n v="2"/>
    <x v="3"/>
    <n v="50"/>
    <n v="100"/>
  </r>
  <r>
    <n v="526"/>
    <d v="2023-07-12T00:00:00"/>
    <x v="6"/>
    <n v="7"/>
    <x v="0"/>
    <s v="CUST772"/>
    <x v="0"/>
    <n v="26"/>
    <x v="3"/>
    <x v="2"/>
    <n v="1"/>
    <x v="2"/>
    <n v="30"/>
    <n v="30"/>
  </r>
  <r>
    <n v="527"/>
    <d v="2023-07-13T00:00:00"/>
    <x v="6"/>
    <n v="7"/>
    <x v="0"/>
    <s v="CUST053"/>
    <x v="0"/>
    <n v="34"/>
    <x v="3"/>
    <x v="2"/>
    <n v="2"/>
    <x v="3"/>
    <n v="50"/>
    <n v="100"/>
  </r>
  <r>
    <n v="528"/>
    <d v="2023-07-14T00:00:00"/>
    <x v="6"/>
    <n v="7"/>
    <x v="0"/>
    <s v="CUST043"/>
    <x v="1"/>
    <n v="48"/>
    <x v="1"/>
    <x v="0"/>
    <n v="1"/>
    <x v="2"/>
    <n v="300"/>
    <n v="300"/>
  </r>
  <r>
    <n v="529"/>
    <d v="2023-07-14T00:00:00"/>
    <x v="6"/>
    <n v="7"/>
    <x v="0"/>
    <s v="CUST071"/>
    <x v="1"/>
    <n v="51"/>
    <x v="1"/>
    <x v="1"/>
    <n v="4"/>
    <x v="1"/>
    <n v="25"/>
    <n v="100"/>
  </r>
  <r>
    <n v="530"/>
    <d v="2023-07-14T00:00:00"/>
    <x v="6"/>
    <n v="7"/>
    <x v="0"/>
    <s v="CUST093"/>
    <x v="1"/>
    <n v="35"/>
    <x v="0"/>
    <x v="1"/>
    <n v="4"/>
    <x v="1"/>
    <n v="500"/>
    <n v="2000"/>
  </r>
  <r>
    <n v="531"/>
    <d v="2023-07-14T00:00:00"/>
    <x v="6"/>
    <n v="7"/>
    <x v="0"/>
    <s v="CUST302"/>
    <x v="0"/>
    <n v="57"/>
    <x v="2"/>
    <x v="1"/>
    <n v="2"/>
    <x v="3"/>
    <n v="300"/>
    <n v="600"/>
  </r>
  <r>
    <n v="532"/>
    <d v="2023-07-14T00:00:00"/>
    <x v="6"/>
    <n v="7"/>
    <x v="0"/>
    <s v="CUST551"/>
    <x v="0"/>
    <n v="45"/>
    <x v="0"/>
    <x v="2"/>
    <n v="3"/>
    <x v="0"/>
    <n v="300"/>
    <n v="900"/>
  </r>
  <r>
    <n v="533"/>
    <d v="2023-07-14T00:00:00"/>
    <x v="6"/>
    <n v="7"/>
    <x v="0"/>
    <s v="CUST681"/>
    <x v="1"/>
    <n v="43"/>
    <x v="0"/>
    <x v="2"/>
    <n v="2"/>
    <x v="3"/>
    <n v="30"/>
    <n v="60"/>
  </r>
  <r>
    <n v="534"/>
    <d v="2023-07-14T00:00:00"/>
    <x v="6"/>
    <n v="7"/>
    <x v="0"/>
    <s v="CUST722"/>
    <x v="0"/>
    <n v="20"/>
    <x v="3"/>
    <x v="1"/>
    <n v="3"/>
    <x v="0"/>
    <n v="300"/>
    <n v="900"/>
  </r>
  <r>
    <n v="535"/>
    <d v="2023-07-14T00:00:00"/>
    <x v="6"/>
    <n v="7"/>
    <x v="0"/>
    <s v="CUST728"/>
    <x v="0"/>
    <n v="51"/>
    <x v="1"/>
    <x v="2"/>
    <n v="3"/>
    <x v="0"/>
    <n v="50"/>
    <n v="150"/>
  </r>
  <r>
    <n v="536"/>
    <d v="2023-07-14T00:00:00"/>
    <x v="6"/>
    <n v="7"/>
    <x v="0"/>
    <s v="CUST829"/>
    <x v="0"/>
    <n v="61"/>
    <x v="2"/>
    <x v="1"/>
    <n v="3"/>
    <x v="0"/>
    <n v="30"/>
    <n v="90"/>
  </r>
  <r>
    <n v="537"/>
    <d v="2023-07-14T00:00:00"/>
    <x v="6"/>
    <n v="7"/>
    <x v="0"/>
    <s v="CUST955"/>
    <x v="0"/>
    <n v="58"/>
    <x v="2"/>
    <x v="0"/>
    <n v="1"/>
    <x v="2"/>
    <n v="25"/>
    <n v="25"/>
  </r>
  <r>
    <n v="538"/>
    <d v="2023-07-15T00:00:00"/>
    <x v="6"/>
    <n v="7"/>
    <x v="0"/>
    <s v="CUST144"/>
    <x v="1"/>
    <n v="59"/>
    <x v="2"/>
    <x v="1"/>
    <n v="3"/>
    <x v="0"/>
    <n v="500"/>
    <n v="1500"/>
  </r>
  <r>
    <n v="539"/>
    <d v="2023-07-15T00:00:00"/>
    <x v="6"/>
    <n v="7"/>
    <x v="0"/>
    <s v="CUST474"/>
    <x v="1"/>
    <n v="26"/>
    <x v="3"/>
    <x v="0"/>
    <n v="3"/>
    <x v="0"/>
    <n v="500"/>
    <n v="1500"/>
  </r>
  <r>
    <n v="540"/>
    <d v="2023-07-16T00:00:00"/>
    <x v="6"/>
    <n v="7"/>
    <x v="0"/>
    <s v="CUST603"/>
    <x v="1"/>
    <n v="40"/>
    <x v="0"/>
    <x v="0"/>
    <n v="3"/>
    <x v="0"/>
    <n v="30"/>
    <n v="90"/>
  </r>
  <r>
    <n v="541"/>
    <d v="2023-07-16T00:00:00"/>
    <x v="6"/>
    <n v="7"/>
    <x v="0"/>
    <s v="CUST661"/>
    <x v="1"/>
    <n v="44"/>
    <x v="0"/>
    <x v="0"/>
    <n v="4"/>
    <x v="1"/>
    <n v="25"/>
    <n v="100"/>
  </r>
  <r>
    <n v="542"/>
    <d v="2023-07-17T00:00:00"/>
    <x v="6"/>
    <n v="7"/>
    <x v="0"/>
    <s v="CUST143"/>
    <x v="1"/>
    <n v="45"/>
    <x v="0"/>
    <x v="0"/>
    <n v="1"/>
    <x v="2"/>
    <n v="50"/>
    <n v="50"/>
  </r>
  <r>
    <n v="543"/>
    <d v="2023-07-17T00:00:00"/>
    <x v="6"/>
    <n v="7"/>
    <x v="0"/>
    <s v="CUST515"/>
    <x v="1"/>
    <n v="49"/>
    <x v="1"/>
    <x v="0"/>
    <n v="3"/>
    <x v="0"/>
    <n v="300"/>
    <n v="900"/>
  </r>
  <r>
    <n v="544"/>
    <d v="2023-07-19T00:00:00"/>
    <x v="6"/>
    <n v="7"/>
    <x v="0"/>
    <s v="CUST304"/>
    <x v="1"/>
    <n v="37"/>
    <x v="0"/>
    <x v="2"/>
    <n v="2"/>
    <x v="3"/>
    <n v="30"/>
    <n v="60"/>
  </r>
  <r>
    <n v="545"/>
    <d v="2023-07-19T00:00:00"/>
    <x v="6"/>
    <n v="7"/>
    <x v="0"/>
    <s v="CUST676"/>
    <x v="0"/>
    <n v="63"/>
    <x v="2"/>
    <x v="2"/>
    <n v="3"/>
    <x v="0"/>
    <n v="500"/>
    <n v="1500"/>
  </r>
  <r>
    <n v="546"/>
    <d v="2023-07-19T00:00:00"/>
    <x v="6"/>
    <n v="7"/>
    <x v="0"/>
    <s v="CUST686"/>
    <x v="1"/>
    <n v="28"/>
    <x v="3"/>
    <x v="2"/>
    <n v="4"/>
    <x v="1"/>
    <n v="50"/>
    <n v="200"/>
  </r>
  <r>
    <n v="547"/>
    <d v="2023-07-19T00:00:00"/>
    <x v="6"/>
    <n v="7"/>
    <x v="0"/>
    <s v="CUST698"/>
    <x v="1"/>
    <n v="64"/>
    <x v="2"/>
    <x v="2"/>
    <n v="1"/>
    <x v="2"/>
    <n v="300"/>
    <n v="300"/>
  </r>
  <r>
    <n v="548"/>
    <d v="2023-07-21T00:00:00"/>
    <x v="6"/>
    <n v="7"/>
    <x v="0"/>
    <s v="CUST709"/>
    <x v="1"/>
    <n v="19"/>
    <x v="3"/>
    <x v="2"/>
    <n v="2"/>
    <x v="3"/>
    <n v="500"/>
    <n v="1000"/>
  </r>
  <r>
    <n v="549"/>
    <d v="2023-07-22T00:00:00"/>
    <x v="6"/>
    <n v="7"/>
    <x v="0"/>
    <s v="CUST114"/>
    <x v="1"/>
    <n v="22"/>
    <x v="3"/>
    <x v="1"/>
    <n v="4"/>
    <x v="1"/>
    <n v="25"/>
    <n v="100"/>
  </r>
  <r>
    <n v="550"/>
    <d v="2023-07-22T00:00:00"/>
    <x v="6"/>
    <n v="7"/>
    <x v="0"/>
    <s v="CUST359"/>
    <x v="0"/>
    <n v="50"/>
    <x v="1"/>
    <x v="0"/>
    <n v="1"/>
    <x v="2"/>
    <n v="50"/>
    <n v="50"/>
  </r>
  <r>
    <n v="551"/>
    <d v="2023-07-23T00:00:00"/>
    <x v="6"/>
    <n v="7"/>
    <x v="0"/>
    <s v="CUST773"/>
    <x v="0"/>
    <n v="25"/>
    <x v="3"/>
    <x v="2"/>
    <n v="4"/>
    <x v="1"/>
    <n v="500"/>
    <n v="2000"/>
  </r>
  <r>
    <n v="552"/>
    <d v="2023-07-24T00:00:00"/>
    <x v="6"/>
    <n v="7"/>
    <x v="0"/>
    <s v="CUST127"/>
    <x v="1"/>
    <n v="33"/>
    <x v="3"/>
    <x v="0"/>
    <n v="2"/>
    <x v="3"/>
    <n v="25"/>
    <n v="50"/>
  </r>
  <r>
    <n v="553"/>
    <d v="2023-07-24T00:00:00"/>
    <x v="6"/>
    <n v="7"/>
    <x v="0"/>
    <s v="CUST213"/>
    <x v="0"/>
    <n v="27"/>
    <x v="3"/>
    <x v="1"/>
    <n v="3"/>
    <x v="0"/>
    <n v="500"/>
    <n v="1500"/>
  </r>
  <r>
    <n v="554"/>
    <d v="2023-07-24T00:00:00"/>
    <x v="6"/>
    <n v="7"/>
    <x v="0"/>
    <s v="CUST487"/>
    <x v="0"/>
    <n v="44"/>
    <x v="0"/>
    <x v="0"/>
    <n v="4"/>
    <x v="1"/>
    <n v="500"/>
    <n v="2000"/>
  </r>
  <r>
    <n v="555"/>
    <d v="2023-07-24T00:00:00"/>
    <x v="6"/>
    <n v="7"/>
    <x v="0"/>
    <s v="CUST495"/>
    <x v="0"/>
    <n v="24"/>
    <x v="3"/>
    <x v="1"/>
    <n v="2"/>
    <x v="3"/>
    <n v="30"/>
    <n v="60"/>
  </r>
  <r>
    <n v="556"/>
    <d v="2023-07-24T00:00:00"/>
    <x v="6"/>
    <n v="7"/>
    <x v="0"/>
    <s v="CUST605"/>
    <x v="0"/>
    <n v="37"/>
    <x v="0"/>
    <x v="2"/>
    <n v="2"/>
    <x v="3"/>
    <n v="500"/>
    <n v="1000"/>
  </r>
  <r>
    <n v="557"/>
    <d v="2023-07-25T00:00:00"/>
    <x v="6"/>
    <n v="7"/>
    <x v="0"/>
    <s v="CUST105"/>
    <x v="1"/>
    <n v="22"/>
    <x v="3"/>
    <x v="2"/>
    <n v="1"/>
    <x v="2"/>
    <n v="500"/>
    <n v="500"/>
  </r>
  <r>
    <n v="558"/>
    <d v="2023-07-25T00:00:00"/>
    <x v="6"/>
    <n v="7"/>
    <x v="0"/>
    <s v="CUST299"/>
    <x v="0"/>
    <n v="61"/>
    <x v="2"/>
    <x v="2"/>
    <n v="2"/>
    <x v="3"/>
    <n v="500"/>
    <n v="1000"/>
  </r>
  <r>
    <n v="559"/>
    <d v="2023-07-25T00:00:00"/>
    <x v="6"/>
    <n v="7"/>
    <x v="0"/>
    <s v="CUST934"/>
    <x v="0"/>
    <n v="30"/>
    <x v="3"/>
    <x v="1"/>
    <n v="1"/>
    <x v="2"/>
    <n v="500"/>
    <n v="500"/>
  </r>
  <r>
    <n v="560"/>
    <d v="2023-07-26T00:00:00"/>
    <x v="6"/>
    <n v="7"/>
    <x v="0"/>
    <s v="CUST270"/>
    <x v="0"/>
    <n v="43"/>
    <x v="0"/>
    <x v="2"/>
    <n v="1"/>
    <x v="2"/>
    <n v="300"/>
    <n v="300"/>
  </r>
  <r>
    <n v="561"/>
    <d v="2023-07-26T00:00:00"/>
    <x v="6"/>
    <n v="7"/>
    <x v="0"/>
    <s v="CUST338"/>
    <x v="0"/>
    <n v="54"/>
    <x v="1"/>
    <x v="1"/>
    <n v="2"/>
    <x v="3"/>
    <n v="50"/>
    <n v="100"/>
  </r>
  <r>
    <n v="562"/>
    <d v="2023-07-26T00:00:00"/>
    <x v="6"/>
    <n v="7"/>
    <x v="0"/>
    <s v="CUST543"/>
    <x v="0"/>
    <n v="49"/>
    <x v="1"/>
    <x v="1"/>
    <n v="2"/>
    <x v="3"/>
    <n v="300"/>
    <n v="600"/>
  </r>
  <r>
    <n v="563"/>
    <d v="2023-07-27T00:00:00"/>
    <x v="6"/>
    <n v="7"/>
    <x v="0"/>
    <s v="CUST557"/>
    <x v="1"/>
    <n v="20"/>
    <x v="3"/>
    <x v="1"/>
    <n v="3"/>
    <x v="0"/>
    <n v="30"/>
    <n v="90"/>
  </r>
  <r>
    <n v="564"/>
    <d v="2023-07-27T00:00:00"/>
    <x v="6"/>
    <n v="7"/>
    <x v="0"/>
    <s v="CUST702"/>
    <x v="1"/>
    <n v="60"/>
    <x v="2"/>
    <x v="0"/>
    <n v="2"/>
    <x v="3"/>
    <n v="300"/>
    <n v="600"/>
  </r>
  <r>
    <n v="565"/>
    <d v="2023-07-27T00:00:00"/>
    <x v="6"/>
    <n v="7"/>
    <x v="0"/>
    <s v="CUST864"/>
    <x v="1"/>
    <n v="51"/>
    <x v="1"/>
    <x v="2"/>
    <n v="1"/>
    <x v="2"/>
    <n v="500"/>
    <n v="500"/>
  </r>
  <r>
    <n v="566"/>
    <d v="2023-07-28T00:00:00"/>
    <x v="6"/>
    <n v="7"/>
    <x v="0"/>
    <s v="CUST254"/>
    <x v="0"/>
    <n v="41"/>
    <x v="0"/>
    <x v="2"/>
    <n v="1"/>
    <x v="2"/>
    <n v="500"/>
    <n v="500"/>
  </r>
  <r>
    <n v="567"/>
    <d v="2023-07-28T00:00:00"/>
    <x v="6"/>
    <n v="7"/>
    <x v="0"/>
    <s v="CUST295"/>
    <x v="1"/>
    <n v="27"/>
    <x v="3"/>
    <x v="1"/>
    <n v="3"/>
    <x v="0"/>
    <n v="300"/>
    <n v="900"/>
  </r>
  <r>
    <n v="568"/>
    <d v="2023-07-28T00:00:00"/>
    <x v="6"/>
    <n v="7"/>
    <x v="0"/>
    <s v="CUST457"/>
    <x v="1"/>
    <n v="58"/>
    <x v="2"/>
    <x v="1"/>
    <n v="3"/>
    <x v="0"/>
    <n v="300"/>
    <n v="900"/>
  </r>
  <r>
    <n v="569"/>
    <d v="2023-07-28T00:00:00"/>
    <x v="6"/>
    <n v="7"/>
    <x v="0"/>
    <s v="CUST668"/>
    <x v="1"/>
    <n v="62"/>
    <x v="2"/>
    <x v="2"/>
    <n v="3"/>
    <x v="0"/>
    <n v="50"/>
    <n v="150"/>
  </r>
  <r>
    <n v="570"/>
    <d v="2023-07-28T00:00:00"/>
    <x v="6"/>
    <n v="7"/>
    <x v="0"/>
    <s v="CUST850"/>
    <x v="1"/>
    <n v="26"/>
    <x v="3"/>
    <x v="1"/>
    <n v="2"/>
    <x v="3"/>
    <n v="500"/>
    <n v="1000"/>
  </r>
  <r>
    <n v="571"/>
    <d v="2023-07-29T00:00:00"/>
    <x v="6"/>
    <n v="7"/>
    <x v="0"/>
    <s v="CUST541"/>
    <x v="0"/>
    <n v="56"/>
    <x v="2"/>
    <x v="1"/>
    <n v="1"/>
    <x v="2"/>
    <n v="500"/>
    <n v="500"/>
  </r>
  <r>
    <n v="572"/>
    <d v="2023-07-29T00:00:00"/>
    <x v="6"/>
    <n v="7"/>
    <x v="0"/>
    <s v="CUST980"/>
    <x v="1"/>
    <n v="31"/>
    <x v="3"/>
    <x v="2"/>
    <n v="3"/>
    <x v="0"/>
    <n v="25"/>
    <n v="75"/>
  </r>
  <r>
    <n v="573"/>
    <d v="2023-07-30T00:00:00"/>
    <x v="6"/>
    <n v="7"/>
    <x v="0"/>
    <s v="CUST262"/>
    <x v="1"/>
    <n v="32"/>
    <x v="3"/>
    <x v="1"/>
    <n v="4"/>
    <x v="1"/>
    <n v="30"/>
    <n v="120"/>
  </r>
  <r>
    <n v="574"/>
    <d v="2023-07-30T00:00:00"/>
    <x v="6"/>
    <n v="7"/>
    <x v="0"/>
    <s v="CUST467"/>
    <x v="1"/>
    <n v="53"/>
    <x v="1"/>
    <x v="2"/>
    <n v="3"/>
    <x v="0"/>
    <n v="50"/>
    <n v="150"/>
  </r>
  <r>
    <n v="575"/>
    <d v="2023-07-31T00:00:00"/>
    <x v="6"/>
    <n v="7"/>
    <x v="0"/>
    <s v="CUST463"/>
    <x v="1"/>
    <n v="54"/>
    <x v="1"/>
    <x v="1"/>
    <n v="3"/>
    <x v="0"/>
    <n v="500"/>
    <n v="1500"/>
  </r>
  <r>
    <n v="576"/>
    <d v="2023-08-01T00:00:00"/>
    <x v="6"/>
    <n v="7"/>
    <x v="0"/>
    <s v="CUST598"/>
    <x v="0"/>
    <n v="37"/>
    <x v="0"/>
    <x v="1"/>
    <n v="4"/>
    <x v="1"/>
    <n v="30"/>
    <n v="120"/>
  </r>
  <r>
    <n v="577"/>
    <d v="2023-08-01T00:00:00"/>
    <x v="7"/>
    <n v="8"/>
    <x v="0"/>
    <s v="CUST667"/>
    <x v="1"/>
    <n v="29"/>
    <x v="3"/>
    <x v="2"/>
    <n v="1"/>
    <x v="2"/>
    <n v="500"/>
    <n v="500"/>
  </r>
  <r>
    <n v="578"/>
    <d v="2023-08-01T00:00:00"/>
    <x v="7"/>
    <n v="8"/>
    <x v="0"/>
    <s v="CUST672"/>
    <x v="1"/>
    <n v="34"/>
    <x v="3"/>
    <x v="1"/>
    <n v="2"/>
    <x v="3"/>
    <n v="50"/>
    <n v="100"/>
  </r>
  <r>
    <n v="579"/>
    <d v="2023-08-02T00:00:00"/>
    <x v="7"/>
    <n v="8"/>
    <x v="0"/>
    <s v="CUST949"/>
    <x v="1"/>
    <n v="41"/>
    <x v="0"/>
    <x v="2"/>
    <n v="2"/>
    <x v="3"/>
    <n v="25"/>
    <n v="50"/>
  </r>
  <r>
    <n v="580"/>
    <d v="2023-08-03T00:00:00"/>
    <x v="7"/>
    <n v="8"/>
    <x v="0"/>
    <s v="CUST027"/>
    <x v="1"/>
    <n v="38"/>
    <x v="0"/>
    <x v="1"/>
    <n v="2"/>
    <x v="3"/>
    <n v="25"/>
    <n v="50"/>
  </r>
  <r>
    <n v="581"/>
    <d v="2023-08-03T00:00:00"/>
    <x v="7"/>
    <n v="8"/>
    <x v="0"/>
    <s v="CUST347"/>
    <x v="0"/>
    <n v="42"/>
    <x v="0"/>
    <x v="2"/>
    <n v="1"/>
    <x v="2"/>
    <n v="25"/>
    <n v="25"/>
  </r>
  <r>
    <n v="582"/>
    <d v="2023-08-03T00:00:00"/>
    <x v="7"/>
    <n v="8"/>
    <x v="0"/>
    <s v="CUST687"/>
    <x v="1"/>
    <n v="53"/>
    <x v="1"/>
    <x v="2"/>
    <n v="1"/>
    <x v="2"/>
    <n v="300"/>
    <n v="300"/>
  </r>
  <r>
    <n v="583"/>
    <d v="2023-08-04T00:00:00"/>
    <x v="7"/>
    <n v="8"/>
    <x v="0"/>
    <s v="CUST549"/>
    <x v="1"/>
    <n v="50"/>
    <x v="1"/>
    <x v="1"/>
    <n v="2"/>
    <x v="3"/>
    <n v="50"/>
    <n v="100"/>
  </r>
  <r>
    <n v="584"/>
    <d v="2023-08-04T00:00:00"/>
    <x v="7"/>
    <n v="8"/>
    <x v="0"/>
    <s v="CUST675"/>
    <x v="1"/>
    <n v="45"/>
    <x v="0"/>
    <x v="0"/>
    <n v="2"/>
    <x v="3"/>
    <n v="30"/>
    <n v="60"/>
  </r>
  <r>
    <n v="585"/>
    <d v="2023-08-04T00:00:00"/>
    <x v="7"/>
    <n v="8"/>
    <x v="0"/>
    <s v="CUST730"/>
    <x v="1"/>
    <n v="36"/>
    <x v="0"/>
    <x v="0"/>
    <n v="2"/>
    <x v="3"/>
    <n v="25"/>
    <n v="50"/>
  </r>
  <r>
    <n v="586"/>
    <d v="2023-08-04T00:00:00"/>
    <x v="7"/>
    <n v="8"/>
    <x v="0"/>
    <s v="CUST798"/>
    <x v="0"/>
    <n v="61"/>
    <x v="2"/>
    <x v="0"/>
    <n v="1"/>
    <x v="2"/>
    <n v="50"/>
    <n v="50"/>
  </r>
  <r>
    <n v="587"/>
    <d v="2023-08-05T00:00:00"/>
    <x v="7"/>
    <n v="8"/>
    <x v="0"/>
    <s v="CUST013"/>
    <x v="0"/>
    <n v="22"/>
    <x v="3"/>
    <x v="2"/>
    <n v="3"/>
    <x v="0"/>
    <n v="500"/>
    <n v="1500"/>
  </r>
  <r>
    <n v="588"/>
    <d v="2023-08-05T00:00:00"/>
    <x v="7"/>
    <n v="8"/>
    <x v="0"/>
    <s v="CUST035"/>
    <x v="1"/>
    <n v="58"/>
    <x v="2"/>
    <x v="1"/>
    <n v="3"/>
    <x v="0"/>
    <n v="300"/>
    <n v="900"/>
  </r>
  <r>
    <n v="589"/>
    <d v="2023-08-05T00:00:00"/>
    <x v="7"/>
    <n v="8"/>
    <x v="0"/>
    <s v="CUST140"/>
    <x v="0"/>
    <n v="38"/>
    <x v="0"/>
    <x v="2"/>
    <n v="1"/>
    <x v="2"/>
    <n v="30"/>
    <n v="30"/>
  </r>
  <r>
    <n v="590"/>
    <d v="2023-08-05T00:00:00"/>
    <x v="7"/>
    <n v="8"/>
    <x v="0"/>
    <s v="CUST206"/>
    <x v="0"/>
    <n v="61"/>
    <x v="2"/>
    <x v="0"/>
    <n v="1"/>
    <x v="2"/>
    <n v="25"/>
    <n v="25"/>
  </r>
  <r>
    <n v="591"/>
    <d v="2023-08-05T00:00:00"/>
    <x v="7"/>
    <n v="8"/>
    <x v="0"/>
    <s v="CUST261"/>
    <x v="0"/>
    <n v="21"/>
    <x v="3"/>
    <x v="0"/>
    <n v="2"/>
    <x v="3"/>
    <n v="25"/>
    <n v="50"/>
  </r>
  <r>
    <n v="592"/>
    <d v="2023-08-05T00:00:00"/>
    <x v="7"/>
    <n v="8"/>
    <x v="0"/>
    <s v="CUST279"/>
    <x v="0"/>
    <n v="50"/>
    <x v="1"/>
    <x v="0"/>
    <n v="1"/>
    <x v="2"/>
    <n v="500"/>
    <n v="500"/>
  </r>
  <r>
    <n v="593"/>
    <d v="2023-08-05T00:00:00"/>
    <x v="7"/>
    <n v="8"/>
    <x v="0"/>
    <s v="CUST308"/>
    <x v="1"/>
    <n v="34"/>
    <x v="3"/>
    <x v="1"/>
    <n v="4"/>
    <x v="1"/>
    <n v="300"/>
    <n v="1200"/>
  </r>
  <r>
    <n v="594"/>
    <d v="2023-08-05T00:00:00"/>
    <x v="7"/>
    <n v="8"/>
    <x v="0"/>
    <s v="CUST418"/>
    <x v="1"/>
    <n v="60"/>
    <x v="2"/>
    <x v="2"/>
    <n v="2"/>
    <x v="3"/>
    <n v="500"/>
    <n v="1000"/>
  </r>
  <r>
    <n v="595"/>
    <d v="2023-08-06T00:00:00"/>
    <x v="7"/>
    <n v="8"/>
    <x v="0"/>
    <s v="CUST612"/>
    <x v="1"/>
    <n v="61"/>
    <x v="2"/>
    <x v="2"/>
    <n v="1"/>
    <x v="2"/>
    <n v="500"/>
    <n v="500"/>
  </r>
  <r>
    <n v="596"/>
    <d v="2023-08-06T00:00:00"/>
    <x v="7"/>
    <n v="8"/>
    <x v="0"/>
    <s v="CUST875"/>
    <x v="1"/>
    <n v="51"/>
    <x v="1"/>
    <x v="2"/>
    <n v="4"/>
    <x v="1"/>
    <n v="500"/>
    <n v="2000"/>
  </r>
  <r>
    <n v="597"/>
    <d v="2023-08-07T00:00:00"/>
    <x v="7"/>
    <n v="8"/>
    <x v="0"/>
    <s v="CUST430"/>
    <x v="1"/>
    <n v="43"/>
    <x v="0"/>
    <x v="2"/>
    <n v="3"/>
    <x v="0"/>
    <n v="300"/>
    <n v="900"/>
  </r>
  <r>
    <n v="598"/>
    <d v="2023-08-07T00:00:00"/>
    <x v="7"/>
    <n v="8"/>
    <x v="0"/>
    <s v="CUST633"/>
    <x v="0"/>
    <n v="39"/>
    <x v="0"/>
    <x v="1"/>
    <n v="4"/>
    <x v="1"/>
    <n v="30"/>
    <n v="120"/>
  </r>
  <r>
    <n v="599"/>
    <d v="2023-08-08T00:00:00"/>
    <x v="7"/>
    <n v="8"/>
    <x v="0"/>
    <s v="CUST125"/>
    <x v="0"/>
    <n v="48"/>
    <x v="1"/>
    <x v="0"/>
    <n v="2"/>
    <x v="3"/>
    <n v="50"/>
    <n v="100"/>
  </r>
  <r>
    <n v="600"/>
    <d v="2023-08-08T00:00:00"/>
    <x v="7"/>
    <n v="8"/>
    <x v="0"/>
    <s v="CUST716"/>
    <x v="1"/>
    <n v="60"/>
    <x v="2"/>
    <x v="0"/>
    <n v="4"/>
    <x v="1"/>
    <n v="300"/>
    <n v="1200"/>
  </r>
  <r>
    <n v="601"/>
    <d v="2023-08-08T00:00:00"/>
    <x v="7"/>
    <n v="8"/>
    <x v="0"/>
    <s v="CUST790"/>
    <x v="0"/>
    <n v="62"/>
    <x v="2"/>
    <x v="0"/>
    <n v="1"/>
    <x v="2"/>
    <n v="25"/>
    <n v="25"/>
  </r>
  <r>
    <n v="602"/>
    <d v="2023-08-08T00:00:00"/>
    <x v="7"/>
    <n v="8"/>
    <x v="0"/>
    <s v="CUST960"/>
    <x v="0"/>
    <n v="59"/>
    <x v="2"/>
    <x v="0"/>
    <n v="2"/>
    <x v="3"/>
    <n v="30"/>
    <n v="60"/>
  </r>
  <r>
    <n v="603"/>
    <d v="2023-08-09T00:00:00"/>
    <x v="7"/>
    <n v="8"/>
    <x v="0"/>
    <s v="CUST259"/>
    <x v="1"/>
    <n v="45"/>
    <x v="0"/>
    <x v="0"/>
    <n v="4"/>
    <x v="1"/>
    <n v="50"/>
    <n v="200"/>
  </r>
  <r>
    <n v="604"/>
    <d v="2023-08-09T00:00:00"/>
    <x v="7"/>
    <n v="8"/>
    <x v="0"/>
    <s v="CUST443"/>
    <x v="0"/>
    <n v="29"/>
    <x v="3"/>
    <x v="0"/>
    <n v="2"/>
    <x v="3"/>
    <n v="300"/>
    <n v="600"/>
  </r>
  <r>
    <n v="605"/>
    <d v="2023-08-09T00:00:00"/>
    <x v="7"/>
    <n v="8"/>
    <x v="0"/>
    <s v="CUST529"/>
    <x v="1"/>
    <n v="35"/>
    <x v="0"/>
    <x v="0"/>
    <n v="3"/>
    <x v="0"/>
    <n v="50"/>
    <n v="150"/>
  </r>
  <r>
    <n v="606"/>
    <d v="2023-08-09T00:00:00"/>
    <x v="7"/>
    <n v="8"/>
    <x v="0"/>
    <s v="CUST563"/>
    <x v="0"/>
    <n v="20"/>
    <x v="3"/>
    <x v="0"/>
    <n v="2"/>
    <x v="3"/>
    <n v="30"/>
    <n v="60"/>
  </r>
  <r>
    <n v="607"/>
    <d v="2023-08-10T00:00:00"/>
    <x v="7"/>
    <n v="8"/>
    <x v="0"/>
    <s v="CUST801"/>
    <x v="0"/>
    <n v="21"/>
    <x v="3"/>
    <x v="0"/>
    <n v="4"/>
    <x v="1"/>
    <n v="50"/>
    <n v="200"/>
  </r>
  <r>
    <n v="608"/>
    <d v="2023-08-11T00:00:00"/>
    <x v="7"/>
    <n v="8"/>
    <x v="0"/>
    <s v="CUST160"/>
    <x v="1"/>
    <n v="43"/>
    <x v="0"/>
    <x v="0"/>
    <n v="2"/>
    <x v="3"/>
    <n v="50"/>
    <n v="100"/>
  </r>
  <r>
    <n v="609"/>
    <d v="2023-08-11T00:00:00"/>
    <x v="7"/>
    <n v="8"/>
    <x v="0"/>
    <s v="CUST508"/>
    <x v="0"/>
    <n v="58"/>
    <x v="2"/>
    <x v="1"/>
    <n v="2"/>
    <x v="3"/>
    <n v="300"/>
    <n v="600"/>
  </r>
  <r>
    <n v="610"/>
    <d v="2023-08-11T00:00:00"/>
    <x v="7"/>
    <n v="8"/>
    <x v="0"/>
    <s v="CUST807"/>
    <x v="1"/>
    <n v="50"/>
    <x v="1"/>
    <x v="2"/>
    <n v="4"/>
    <x v="1"/>
    <n v="50"/>
    <n v="200"/>
  </r>
  <r>
    <n v="611"/>
    <d v="2023-08-12T00:00:00"/>
    <x v="7"/>
    <n v="8"/>
    <x v="0"/>
    <s v="CUST511"/>
    <x v="0"/>
    <n v="45"/>
    <x v="0"/>
    <x v="1"/>
    <n v="2"/>
    <x v="3"/>
    <n v="50"/>
    <n v="100"/>
  </r>
  <r>
    <n v="612"/>
    <d v="2023-08-12T00:00:00"/>
    <x v="7"/>
    <n v="8"/>
    <x v="0"/>
    <s v="CUST521"/>
    <x v="1"/>
    <n v="47"/>
    <x v="1"/>
    <x v="0"/>
    <n v="4"/>
    <x v="1"/>
    <n v="30"/>
    <n v="120"/>
  </r>
  <r>
    <n v="613"/>
    <d v="2023-08-12T00:00:00"/>
    <x v="7"/>
    <n v="8"/>
    <x v="0"/>
    <s v="CUST695"/>
    <x v="1"/>
    <n v="22"/>
    <x v="3"/>
    <x v="2"/>
    <n v="3"/>
    <x v="0"/>
    <n v="50"/>
    <n v="150"/>
  </r>
  <r>
    <n v="614"/>
    <d v="2023-08-12T00:00:00"/>
    <x v="7"/>
    <n v="8"/>
    <x v="0"/>
    <s v="CUST816"/>
    <x v="0"/>
    <n v="47"/>
    <x v="1"/>
    <x v="1"/>
    <n v="2"/>
    <x v="3"/>
    <n v="500"/>
    <n v="1000"/>
  </r>
  <r>
    <n v="615"/>
    <d v="2023-08-13T00:00:00"/>
    <x v="7"/>
    <n v="8"/>
    <x v="0"/>
    <s v="CUST217"/>
    <x v="1"/>
    <n v="35"/>
    <x v="0"/>
    <x v="2"/>
    <n v="4"/>
    <x v="1"/>
    <n v="50"/>
    <n v="200"/>
  </r>
  <r>
    <n v="616"/>
    <d v="2023-08-13T00:00:00"/>
    <x v="7"/>
    <n v="8"/>
    <x v="0"/>
    <s v="CUST384"/>
    <x v="0"/>
    <n v="55"/>
    <x v="1"/>
    <x v="0"/>
    <n v="1"/>
    <x v="2"/>
    <n v="500"/>
    <n v="500"/>
  </r>
  <r>
    <n v="617"/>
    <d v="2023-08-14T00:00:00"/>
    <x v="7"/>
    <n v="8"/>
    <x v="0"/>
    <s v="CUST648"/>
    <x v="0"/>
    <n v="53"/>
    <x v="1"/>
    <x v="1"/>
    <n v="4"/>
    <x v="1"/>
    <n v="300"/>
    <n v="1200"/>
  </r>
  <r>
    <n v="618"/>
    <d v="2023-08-14T00:00:00"/>
    <x v="7"/>
    <n v="8"/>
    <x v="0"/>
    <s v="CUST926"/>
    <x v="0"/>
    <n v="22"/>
    <x v="3"/>
    <x v="2"/>
    <n v="1"/>
    <x v="2"/>
    <n v="30"/>
    <n v="30"/>
  </r>
  <r>
    <n v="619"/>
    <d v="2023-08-15T00:00:00"/>
    <x v="7"/>
    <n v="8"/>
    <x v="0"/>
    <s v="CUST285"/>
    <x v="1"/>
    <n v="31"/>
    <x v="3"/>
    <x v="2"/>
    <n v="1"/>
    <x v="2"/>
    <n v="25"/>
    <n v="25"/>
  </r>
  <r>
    <n v="620"/>
    <d v="2023-08-15T00:00:00"/>
    <x v="7"/>
    <n v="8"/>
    <x v="0"/>
    <s v="CUST427"/>
    <x v="0"/>
    <n v="25"/>
    <x v="3"/>
    <x v="2"/>
    <n v="1"/>
    <x v="2"/>
    <n v="25"/>
    <n v="25"/>
  </r>
  <r>
    <n v="621"/>
    <d v="2023-08-15T00:00:00"/>
    <x v="7"/>
    <n v="8"/>
    <x v="0"/>
    <s v="CUST569"/>
    <x v="0"/>
    <n v="52"/>
    <x v="1"/>
    <x v="2"/>
    <n v="4"/>
    <x v="1"/>
    <n v="50"/>
    <n v="200"/>
  </r>
  <r>
    <n v="622"/>
    <d v="2023-08-15T00:00:00"/>
    <x v="7"/>
    <n v="8"/>
    <x v="0"/>
    <s v="CUST570"/>
    <x v="0"/>
    <n v="49"/>
    <x v="1"/>
    <x v="0"/>
    <n v="1"/>
    <x v="2"/>
    <n v="500"/>
    <n v="500"/>
  </r>
  <r>
    <n v="623"/>
    <d v="2023-08-15T00:00:00"/>
    <x v="7"/>
    <n v="8"/>
    <x v="0"/>
    <s v="CUST630"/>
    <x v="0"/>
    <n v="42"/>
    <x v="0"/>
    <x v="0"/>
    <n v="2"/>
    <x v="3"/>
    <n v="50"/>
    <n v="100"/>
  </r>
  <r>
    <n v="624"/>
    <d v="2023-08-15T00:00:00"/>
    <x v="7"/>
    <n v="8"/>
    <x v="0"/>
    <s v="CUST957"/>
    <x v="1"/>
    <n v="60"/>
    <x v="2"/>
    <x v="2"/>
    <n v="4"/>
    <x v="1"/>
    <n v="30"/>
    <n v="120"/>
  </r>
  <r>
    <n v="625"/>
    <d v="2023-08-17T00:00:00"/>
    <x v="7"/>
    <n v="8"/>
    <x v="0"/>
    <s v="CUST635"/>
    <x v="1"/>
    <n v="63"/>
    <x v="2"/>
    <x v="2"/>
    <n v="3"/>
    <x v="0"/>
    <n v="300"/>
    <n v="900"/>
  </r>
  <r>
    <n v="626"/>
    <d v="2023-08-18T00:00:00"/>
    <x v="7"/>
    <n v="8"/>
    <x v="0"/>
    <s v="CUST029"/>
    <x v="1"/>
    <n v="42"/>
    <x v="0"/>
    <x v="2"/>
    <n v="1"/>
    <x v="2"/>
    <n v="30"/>
    <n v="30"/>
  </r>
  <r>
    <n v="627"/>
    <d v="2023-08-18T00:00:00"/>
    <x v="7"/>
    <n v="8"/>
    <x v="0"/>
    <s v="CUST277"/>
    <x v="0"/>
    <n v="36"/>
    <x v="0"/>
    <x v="0"/>
    <n v="4"/>
    <x v="1"/>
    <n v="25"/>
    <n v="100"/>
  </r>
  <r>
    <n v="628"/>
    <d v="2023-08-18T00:00:00"/>
    <x v="7"/>
    <n v="8"/>
    <x v="0"/>
    <s v="CUST859"/>
    <x v="1"/>
    <n v="56"/>
    <x v="2"/>
    <x v="2"/>
    <n v="3"/>
    <x v="0"/>
    <n v="500"/>
    <n v="1500"/>
  </r>
  <r>
    <n v="629"/>
    <d v="2023-08-19T00:00:00"/>
    <x v="7"/>
    <n v="8"/>
    <x v="0"/>
    <s v="CUST638"/>
    <x v="0"/>
    <n v="46"/>
    <x v="1"/>
    <x v="2"/>
    <n v="1"/>
    <x v="2"/>
    <n v="500"/>
    <n v="500"/>
  </r>
  <r>
    <n v="630"/>
    <d v="2023-08-19T00:00:00"/>
    <x v="7"/>
    <n v="8"/>
    <x v="0"/>
    <s v="CUST823"/>
    <x v="1"/>
    <n v="56"/>
    <x v="2"/>
    <x v="2"/>
    <n v="2"/>
    <x v="3"/>
    <n v="50"/>
    <n v="100"/>
  </r>
  <r>
    <n v="631"/>
    <d v="2023-08-19T00:00:00"/>
    <x v="7"/>
    <n v="8"/>
    <x v="0"/>
    <s v="CUST956"/>
    <x v="0"/>
    <n v="30"/>
    <x v="3"/>
    <x v="0"/>
    <n v="3"/>
    <x v="0"/>
    <n v="500"/>
    <n v="1500"/>
  </r>
  <r>
    <n v="632"/>
    <d v="2023-08-19T00:00:00"/>
    <x v="7"/>
    <n v="8"/>
    <x v="0"/>
    <s v="CUST981"/>
    <x v="1"/>
    <n v="30"/>
    <x v="3"/>
    <x v="2"/>
    <n v="2"/>
    <x v="3"/>
    <n v="30"/>
    <n v="60"/>
  </r>
  <r>
    <n v="633"/>
    <d v="2023-08-20T00:00:00"/>
    <x v="7"/>
    <n v="8"/>
    <x v="0"/>
    <s v="CUST219"/>
    <x v="1"/>
    <n v="53"/>
    <x v="1"/>
    <x v="2"/>
    <n v="3"/>
    <x v="0"/>
    <n v="30"/>
    <n v="90"/>
  </r>
  <r>
    <n v="634"/>
    <d v="2023-08-21T00:00:00"/>
    <x v="7"/>
    <n v="8"/>
    <x v="0"/>
    <s v="CUST073"/>
    <x v="0"/>
    <n v="29"/>
    <x v="3"/>
    <x v="2"/>
    <n v="3"/>
    <x v="0"/>
    <n v="30"/>
    <n v="90"/>
  </r>
  <r>
    <n v="635"/>
    <d v="2023-08-21T00:00:00"/>
    <x v="7"/>
    <n v="8"/>
    <x v="0"/>
    <s v="CUST162"/>
    <x v="0"/>
    <n v="39"/>
    <x v="0"/>
    <x v="0"/>
    <n v="2"/>
    <x v="3"/>
    <n v="30"/>
    <n v="60"/>
  </r>
  <r>
    <n v="636"/>
    <d v="2023-08-21T00:00:00"/>
    <x v="7"/>
    <n v="8"/>
    <x v="0"/>
    <s v="CUST306"/>
    <x v="0"/>
    <n v="54"/>
    <x v="1"/>
    <x v="2"/>
    <n v="1"/>
    <x v="2"/>
    <n v="50"/>
    <n v="50"/>
  </r>
  <r>
    <n v="637"/>
    <d v="2023-08-21T00:00:00"/>
    <x v="7"/>
    <n v="8"/>
    <x v="0"/>
    <s v="CUST725"/>
    <x v="0"/>
    <n v="61"/>
    <x v="2"/>
    <x v="2"/>
    <n v="1"/>
    <x v="2"/>
    <n v="300"/>
    <n v="300"/>
  </r>
  <r>
    <n v="638"/>
    <d v="2023-08-21T00:00:00"/>
    <x v="7"/>
    <n v="8"/>
    <x v="0"/>
    <s v="CUST880"/>
    <x v="0"/>
    <n v="22"/>
    <x v="3"/>
    <x v="1"/>
    <n v="2"/>
    <x v="3"/>
    <n v="500"/>
    <n v="1000"/>
  </r>
  <r>
    <n v="639"/>
    <d v="2023-08-21T00:00:00"/>
    <x v="7"/>
    <n v="8"/>
    <x v="0"/>
    <s v="CUST992"/>
    <x v="1"/>
    <n v="57"/>
    <x v="2"/>
    <x v="2"/>
    <n v="2"/>
    <x v="3"/>
    <n v="30"/>
    <n v="60"/>
  </r>
  <r>
    <n v="640"/>
    <d v="2023-08-22T00:00:00"/>
    <x v="7"/>
    <n v="8"/>
    <x v="0"/>
    <s v="CUST597"/>
    <x v="0"/>
    <n v="22"/>
    <x v="3"/>
    <x v="1"/>
    <n v="4"/>
    <x v="1"/>
    <n v="300"/>
    <n v="1200"/>
  </r>
  <r>
    <n v="641"/>
    <d v="2023-08-22T00:00:00"/>
    <x v="7"/>
    <n v="8"/>
    <x v="0"/>
    <s v="CUST622"/>
    <x v="1"/>
    <n v="49"/>
    <x v="1"/>
    <x v="1"/>
    <n v="3"/>
    <x v="0"/>
    <n v="25"/>
    <n v="75"/>
  </r>
  <r>
    <n v="642"/>
    <d v="2023-08-23T00:00:00"/>
    <x v="7"/>
    <n v="8"/>
    <x v="0"/>
    <s v="CUST116"/>
    <x v="1"/>
    <n v="23"/>
    <x v="3"/>
    <x v="0"/>
    <n v="1"/>
    <x v="2"/>
    <n v="30"/>
    <n v="30"/>
  </r>
  <r>
    <n v="643"/>
    <d v="2023-08-23T00:00:00"/>
    <x v="7"/>
    <n v="8"/>
    <x v="0"/>
    <s v="CUST364"/>
    <x v="1"/>
    <n v="19"/>
    <x v="3"/>
    <x v="1"/>
    <n v="1"/>
    <x v="2"/>
    <n v="500"/>
    <n v="500"/>
  </r>
  <r>
    <n v="644"/>
    <d v="2023-08-23T00:00:00"/>
    <x v="7"/>
    <n v="8"/>
    <x v="0"/>
    <s v="CUST368"/>
    <x v="1"/>
    <n v="56"/>
    <x v="2"/>
    <x v="0"/>
    <n v="4"/>
    <x v="1"/>
    <n v="300"/>
    <n v="1200"/>
  </r>
  <r>
    <n v="645"/>
    <d v="2023-08-24T00:00:00"/>
    <x v="7"/>
    <n v="8"/>
    <x v="0"/>
    <s v="CUST050"/>
    <x v="1"/>
    <n v="27"/>
    <x v="3"/>
    <x v="1"/>
    <n v="3"/>
    <x v="0"/>
    <n v="25"/>
    <n v="75"/>
  </r>
  <r>
    <n v="646"/>
    <d v="2023-08-24T00:00:00"/>
    <x v="7"/>
    <n v="8"/>
    <x v="0"/>
    <s v="CUST479"/>
    <x v="0"/>
    <n v="52"/>
    <x v="1"/>
    <x v="2"/>
    <n v="4"/>
    <x v="1"/>
    <n v="300"/>
    <n v="1200"/>
  </r>
  <r>
    <n v="647"/>
    <d v="2023-08-24T00:00:00"/>
    <x v="7"/>
    <n v="8"/>
    <x v="0"/>
    <s v="CUST804"/>
    <x v="0"/>
    <n v="42"/>
    <x v="0"/>
    <x v="2"/>
    <n v="1"/>
    <x v="2"/>
    <n v="30"/>
    <n v="30"/>
  </r>
  <r>
    <n v="648"/>
    <d v="2023-08-25T00:00:00"/>
    <x v="7"/>
    <n v="8"/>
    <x v="0"/>
    <s v="CUST092"/>
    <x v="1"/>
    <n v="51"/>
    <x v="1"/>
    <x v="2"/>
    <n v="4"/>
    <x v="1"/>
    <n v="30"/>
    <n v="120"/>
  </r>
  <r>
    <n v="649"/>
    <d v="2023-08-25T00:00:00"/>
    <x v="7"/>
    <n v="8"/>
    <x v="0"/>
    <s v="CUST282"/>
    <x v="1"/>
    <n v="64"/>
    <x v="2"/>
    <x v="2"/>
    <n v="4"/>
    <x v="1"/>
    <n v="50"/>
    <n v="200"/>
  </r>
  <r>
    <n v="650"/>
    <d v="2024-01-01T00:00:00"/>
    <x v="7"/>
    <n v="8"/>
    <x v="0"/>
    <s v="CUST650"/>
    <x v="0"/>
    <n v="55"/>
    <x v="1"/>
    <x v="2"/>
    <n v="1"/>
    <x v="2"/>
    <n v="30"/>
    <n v="30"/>
  </r>
  <r>
    <n v="651"/>
    <d v="2023-08-25T00:00:00"/>
    <x v="7"/>
    <n v="8"/>
    <x v="0"/>
    <s v="CUST718"/>
    <x v="1"/>
    <n v="59"/>
    <x v="2"/>
    <x v="1"/>
    <n v="3"/>
    <x v="0"/>
    <n v="25"/>
    <n v="75"/>
  </r>
  <r>
    <n v="652"/>
    <d v="2023-08-26T00:00:00"/>
    <x v="7"/>
    <n v="8"/>
    <x v="0"/>
    <s v="CUST617"/>
    <x v="0"/>
    <n v="34"/>
    <x v="3"/>
    <x v="2"/>
    <n v="1"/>
    <x v="2"/>
    <n v="30"/>
    <n v="30"/>
  </r>
  <r>
    <n v="653"/>
    <d v="2023-08-26T00:00:00"/>
    <x v="7"/>
    <n v="8"/>
    <x v="0"/>
    <s v="CUST624"/>
    <x v="1"/>
    <n v="34"/>
    <x v="3"/>
    <x v="1"/>
    <n v="3"/>
    <x v="0"/>
    <n v="300"/>
    <n v="900"/>
  </r>
  <r>
    <n v="654"/>
    <d v="2023-08-26T00:00:00"/>
    <x v="7"/>
    <n v="8"/>
    <x v="0"/>
    <s v="CUST825"/>
    <x v="1"/>
    <n v="46"/>
    <x v="1"/>
    <x v="1"/>
    <n v="1"/>
    <x v="2"/>
    <n v="25"/>
    <n v="25"/>
  </r>
  <r>
    <n v="655"/>
    <d v="2023-08-27T00:00:00"/>
    <x v="7"/>
    <n v="8"/>
    <x v="0"/>
    <s v="CUST568"/>
    <x v="1"/>
    <n v="51"/>
    <x v="1"/>
    <x v="2"/>
    <n v="1"/>
    <x v="2"/>
    <n v="300"/>
    <n v="300"/>
  </r>
  <r>
    <n v="656"/>
    <d v="2023-08-27T00:00:00"/>
    <x v="7"/>
    <n v="8"/>
    <x v="0"/>
    <s v="CUST671"/>
    <x v="0"/>
    <n v="62"/>
    <x v="2"/>
    <x v="2"/>
    <n v="3"/>
    <x v="0"/>
    <n v="50"/>
    <n v="150"/>
  </r>
  <r>
    <n v="657"/>
    <d v="2023-08-27T00:00:00"/>
    <x v="7"/>
    <n v="8"/>
    <x v="0"/>
    <s v="CUST756"/>
    <x v="1"/>
    <n v="62"/>
    <x v="2"/>
    <x v="2"/>
    <n v="4"/>
    <x v="1"/>
    <n v="300"/>
    <n v="1200"/>
  </r>
  <r>
    <n v="658"/>
    <d v="2023-08-27T00:00:00"/>
    <x v="7"/>
    <n v="8"/>
    <x v="0"/>
    <s v="CUST815"/>
    <x v="1"/>
    <n v="51"/>
    <x v="1"/>
    <x v="0"/>
    <n v="3"/>
    <x v="0"/>
    <n v="25"/>
    <n v="75"/>
  </r>
  <r>
    <n v="659"/>
    <d v="2023-08-28T00:00:00"/>
    <x v="7"/>
    <n v="8"/>
    <x v="0"/>
    <s v="CUST146"/>
    <x v="0"/>
    <n v="38"/>
    <x v="0"/>
    <x v="0"/>
    <n v="4"/>
    <x v="1"/>
    <n v="50"/>
    <n v="200"/>
  </r>
  <r>
    <n v="660"/>
    <d v="2023-08-28T00:00:00"/>
    <x v="7"/>
    <n v="8"/>
    <x v="0"/>
    <s v="CUST263"/>
    <x v="0"/>
    <n v="23"/>
    <x v="3"/>
    <x v="1"/>
    <n v="2"/>
    <x v="3"/>
    <n v="30"/>
    <n v="60"/>
  </r>
  <r>
    <n v="661"/>
    <d v="2023-08-28T00:00:00"/>
    <x v="7"/>
    <n v="8"/>
    <x v="0"/>
    <s v="CUST704"/>
    <x v="1"/>
    <n v="62"/>
    <x v="2"/>
    <x v="0"/>
    <n v="3"/>
    <x v="0"/>
    <n v="30"/>
    <n v="90"/>
  </r>
  <r>
    <n v="662"/>
    <d v="2023-08-29T00:00:00"/>
    <x v="7"/>
    <n v="8"/>
    <x v="0"/>
    <s v="CUST476"/>
    <x v="1"/>
    <n v="27"/>
    <x v="3"/>
    <x v="0"/>
    <n v="4"/>
    <x v="1"/>
    <n v="500"/>
    <n v="2000"/>
  </r>
  <r>
    <n v="663"/>
    <d v="2023-08-29T00:00:00"/>
    <x v="7"/>
    <n v="8"/>
    <x v="0"/>
    <s v="CUST733"/>
    <x v="0"/>
    <n v="34"/>
    <x v="3"/>
    <x v="1"/>
    <n v="1"/>
    <x v="2"/>
    <n v="30"/>
    <n v="30"/>
  </r>
  <r>
    <n v="664"/>
    <d v="2023-08-29T00:00:00"/>
    <x v="7"/>
    <n v="8"/>
    <x v="0"/>
    <s v="CUST924"/>
    <x v="0"/>
    <n v="55"/>
    <x v="1"/>
    <x v="1"/>
    <n v="2"/>
    <x v="3"/>
    <n v="50"/>
    <n v="100"/>
  </r>
  <r>
    <n v="665"/>
    <d v="2023-08-29T00:00:00"/>
    <x v="7"/>
    <n v="8"/>
    <x v="0"/>
    <s v="CUST984"/>
    <x v="0"/>
    <n v="56"/>
    <x v="2"/>
    <x v="0"/>
    <n v="1"/>
    <x v="2"/>
    <n v="500"/>
    <n v="500"/>
  </r>
  <r>
    <n v="666"/>
    <d v="2023-08-31T00:00:00"/>
    <x v="7"/>
    <n v="8"/>
    <x v="0"/>
    <s v="CUST251"/>
    <x v="1"/>
    <n v="57"/>
    <x v="2"/>
    <x v="1"/>
    <n v="4"/>
    <x v="1"/>
    <n v="50"/>
    <n v="200"/>
  </r>
  <r>
    <n v="667"/>
    <d v="2023-08-31T00:00:00"/>
    <x v="7"/>
    <n v="8"/>
    <x v="0"/>
    <s v="CUST253"/>
    <x v="1"/>
    <n v="53"/>
    <x v="1"/>
    <x v="0"/>
    <n v="4"/>
    <x v="1"/>
    <n v="500"/>
    <n v="2000"/>
  </r>
  <r>
    <n v="668"/>
    <d v="2023-08-31T00:00:00"/>
    <x v="7"/>
    <n v="8"/>
    <x v="0"/>
    <s v="CUST574"/>
    <x v="1"/>
    <n v="63"/>
    <x v="2"/>
    <x v="2"/>
    <n v="2"/>
    <x v="3"/>
    <n v="25"/>
    <n v="50"/>
  </r>
  <r>
    <n v="669"/>
    <d v="2023-08-31T00:00:00"/>
    <x v="7"/>
    <n v="8"/>
    <x v="0"/>
    <s v="CUST751"/>
    <x v="1"/>
    <n v="42"/>
    <x v="0"/>
    <x v="0"/>
    <n v="2"/>
    <x v="3"/>
    <n v="25"/>
    <n v="50"/>
  </r>
  <r>
    <n v="670"/>
    <d v="2023-08-31T00:00:00"/>
    <x v="7"/>
    <n v="8"/>
    <x v="0"/>
    <s v="CUST871"/>
    <x v="0"/>
    <n v="62"/>
    <x v="2"/>
    <x v="1"/>
    <n v="2"/>
    <x v="3"/>
    <n v="30"/>
    <n v="60"/>
  </r>
  <r>
    <n v="671"/>
    <d v="2023-09-01T00:00:00"/>
    <x v="8"/>
    <n v="9"/>
    <x v="0"/>
    <s v="CUST200"/>
    <x v="0"/>
    <n v="27"/>
    <x v="3"/>
    <x v="1"/>
    <n v="3"/>
    <x v="0"/>
    <n v="50"/>
    <n v="150"/>
  </r>
  <r>
    <n v="672"/>
    <d v="2023-09-01T00:00:00"/>
    <x v="8"/>
    <n v="9"/>
    <x v="0"/>
    <s v="CUST594"/>
    <x v="1"/>
    <n v="19"/>
    <x v="3"/>
    <x v="2"/>
    <n v="2"/>
    <x v="3"/>
    <n v="300"/>
    <n v="600"/>
  </r>
  <r>
    <n v="673"/>
    <d v="2023-09-01T00:00:00"/>
    <x v="8"/>
    <n v="9"/>
    <x v="0"/>
    <s v="CUST637"/>
    <x v="0"/>
    <n v="43"/>
    <x v="0"/>
    <x v="0"/>
    <n v="2"/>
    <x v="3"/>
    <n v="300"/>
    <n v="600"/>
  </r>
  <r>
    <n v="674"/>
    <d v="2023-09-01T00:00:00"/>
    <x v="8"/>
    <n v="9"/>
    <x v="0"/>
    <s v="CUST855"/>
    <x v="0"/>
    <n v="54"/>
    <x v="1"/>
    <x v="1"/>
    <n v="1"/>
    <x v="2"/>
    <n v="25"/>
    <n v="25"/>
  </r>
  <r>
    <n v="675"/>
    <d v="2023-09-02T00:00:00"/>
    <x v="8"/>
    <n v="9"/>
    <x v="0"/>
    <s v="CUST325"/>
    <x v="1"/>
    <n v="52"/>
    <x v="1"/>
    <x v="2"/>
    <n v="2"/>
    <x v="3"/>
    <n v="25"/>
    <n v="50"/>
  </r>
  <r>
    <n v="676"/>
    <d v="2023-09-02T00:00:00"/>
    <x v="8"/>
    <n v="9"/>
    <x v="0"/>
    <s v="CUST682"/>
    <x v="0"/>
    <n v="46"/>
    <x v="1"/>
    <x v="1"/>
    <n v="4"/>
    <x v="1"/>
    <n v="300"/>
    <n v="1200"/>
  </r>
  <r>
    <n v="677"/>
    <d v="2023-09-02T00:00:00"/>
    <x v="8"/>
    <n v="9"/>
    <x v="0"/>
    <s v="CUST931"/>
    <x v="0"/>
    <n v="30"/>
    <x v="3"/>
    <x v="1"/>
    <n v="4"/>
    <x v="1"/>
    <n v="30"/>
    <n v="120"/>
  </r>
  <r>
    <n v="678"/>
    <d v="2023-09-03T00:00:00"/>
    <x v="8"/>
    <n v="9"/>
    <x v="0"/>
    <s v="CUST925"/>
    <x v="0"/>
    <n v="25"/>
    <x v="3"/>
    <x v="2"/>
    <n v="1"/>
    <x v="2"/>
    <n v="300"/>
    <n v="300"/>
  </r>
  <r>
    <n v="679"/>
    <d v="2023-09-04T00:00:00"/>
    <x v="8"/>
    <n v="9"/>
    <x v="0"/>
    <s v="CUST297"/>
    <x v="1"/>
    <n v="40"/>
    <x v="0"/>
    <x v="2"/>
    <n v="2"/>
    <x v="3"/>
    <n v="500"/>
    <n v="1000"/>
  </r>
  <r>
    <n v="680"/>
    <d v="2023-09-05T00:00:00"/>
    <x v="8"/>
    <n v="9"/>
    <x v="0"/>
    <s v="CUST814"/>
    <x v="1"/>
    <n v="59"/>
    <x v="2"/>
    <x v="0"/>
    <n v="1"/>
    <x v="2"/>
    <n v="500"/>
    <n v="500"/>
  </r>
  <r>
    <n v="681"/>
    <d v="2023-09-05T00:00:00"/>
    <x v="8"/>
    <n v="9"/>
    <x v="0"/>
    <s v="CUST894"/>
    <x v="0"/>
    <n v="52"/>
    <x v="1"/>
    <x v="2"/>
    <n v="1"/>
    <x v="2"/>
    <n v="30"/>
    <n v="30"/>
  </r>
  <r>
    <n v="682"/>
    <d v="2023-09-06T00:00:00"/>
    <x v="8"/>
    <n v="9"/>
    <x v="0"/>
    <s v="CUST194"/>
    <x v="0"/>
    <n v="55"/>
    <x v="1"/>
    <x v="0"/>
    <n v="4"/>
    <x v="1"/>
    <n v="50"/>
    <n v="200"/>
  </r>
  <r>
    <n v="683"/>
    <d v="2023-09-06T00:00:00"/>
    <x v="8"/>
    <n v="9"/>
    <x v="0"/>
    <s v="CUST245"/>
    <x v="0"/>
    <n v="47"/>
    <x v="1"/>
    <x v="0"/>
    <n v="3"/>
    <x v="0"/>
    <n v="30"/>
    <n v="90"/>
  </r>
  <r>
    <n v="684"/>
    <d v="2023-09-06T00:00:00"/>
    <x v="8"/>
    <n v="9"/>
    <x v="0"/>
    <s v="CUST296"/>
    <x v="1"/>
    <n v="22"/>
    <x v="3"/>
    <x v="0"/>
    <n v="4"/>
    <x v="1"/>
    <n v="300"/>
    <n v="1200"/>
  </r>
  <r>
    <n v="685"/>
    <d v="2023-09-06T00:00:00"/>
    <x v="8"/>
    <n v="9"/>
    <x v="0"/>
    <s v="CUST644"/>
    <x v="0"/>
    <n v="23"/>
    <x v="3"/>
    <x v="1"/>
    <n v="3"/>
    <x v="0"/>
    <n v="25"/>
    <n v="75"/>
  </r>
  <r>
    <n v="686"/>
    <d v="2023-09-06T00:00:00"/>
    <x v="8"/>
    <n v="9"/>
    <x v="0"/>
    <s v="CUST696"/>
    <x v="1"/>
    <n v="50"/>
    <x v="1"/>
    <x v="0"/>
    <n v="4"/>
    <x v="1"/>
    <n v="50"/>
    <n v="200"/>
  </r>
  <r>
    <n v="687"/>
    <d v="2023-09-07T00:00:00"/>
    <x v="8"/>
    <n v="9"/>
    <x v="0"/>
    <s v="CUST312"/>
    <x v="0"/>
    <n v="41"/>
    <x v="0"/>
    <x v="0"/>
    <n v="4"/>
    <x v="1"/>
    <n v="30"/>
    <n v="120"/>
  </r>
  <r>
    <n v="688"/>
    <d v="2023-09-07T00:00:00"/>
    <x v="8"/>
    <n v="9"/>
    <x v="0"/>
    <s v="CUST692"/>
    <x v="1"/>
    <n v="64"/>
    <x v="2"/>
    <x v="0"/>
    <n v="2"/>
    <x v="3"/>
    <n v="50"/>
    <n v="100"/>
  </r>
  <r>
    <n v="689"/>
    <d v="2023-09-07T00:00:00"/>
    <x v="8"/>
    <n v="9"/>
    <x v="0"/>
    <s v="CUST835"/>
    <x v="0"/>
    <n v="37"/>
    <x v="0"/>
    <x v="0"/>
    <n v="4"/>
    <x v="1"/>
    <n v="50"/>
    <n v="200"/>
  </r>
  <r>
    <n v="690"/>
    <d v="2023-09-08T00:00:00"/>
    <x v="8"/>
    <n v="9"/>
    <x v="0"/>
    <s v="CUST183"/>
    <x v="1"/>
    <n v="43"/>
    <x v="0"/>
    <x v="1"/>
    <n v="3"/>
    <x v="0"/>
    <n v="300"/>
    <n v="900"/>
  </r>
  <r>
    <n v="691"/>
    <d v="2023-09-08T00:00:00"/>
    <x v="8"/>
    <n v="9"/>
    <x v="0"/>
    <s v="CUST413"/>
    <x v="1"/>
    <n v="44"/>
    <x v="0"/>
    <x v="1"/>
    <n v="3"/>
    <x v="0"/>
    <n v="25"/>
    <n v="75"/>
  </r>
  <r>
    <n v="692"/>
    <d v="2023-09-08T00:00:00"/>
    <x v="8"/>
    <n v="9"/>
    <x v="0"/>
    <s v="CUST799"/>
    <x v="0"/>
    <n v="56"/>
    <x v="2"/>
    <x v="2"/>
    <n v="2"/>
    <x v="3"/>
    <n v="50"/>
    <n v="100"/>
  </r>
  <r>
    <n v="693"/>
    <d v="2023-09-08T00:00:00"/>
    <x v="8"/>
    <n v="9"/>
    <x v="0"/>
    <s v="CUST851"/>
    <x v="0"/>
    <n v="32"/>
    <x v="3"/>
    <x v="2"/>
    <n v="2"/>
    <x v="3"/>
    <n v="25"/>
    <n v="50"/>
  </r>
  <r>
    <n v="694"/>
    <d v="2023-09-09T00:00:00"/>
    <x v="8"/>
    <n v="9"/>
    <x v="0"/>
    <s v="CUST858"/>
    <x v="0"/>
    <n v="23"/>
    <x v="3"/>
    <x v="2"/>
    <n v="2"/>
    <x v="3"/>
    <n v="50"/>
    <n v="100"/>
  </r>
  <r>
    <n v="695"/>
    <d v="2023-09-09T00:00:00"/>
    <x v="8"/>
    <n v="9"/>
    <x v="0"/>
    <s v="CUST919"/>
    <x v="1"/>
    <n v="22"/>
    <x v="3"/>
    <x v="1"/>
    <n v="2"/>
    <x v="3"/>
    <n v="25"/>
    <n v="50"/>
  </r>
  <r>
    <n v="696"/>
    <d v="2023-09-09T00:00:00"/>
    <x v="8"/>
    <n v="9"/>
    <x v="0"/>
    <s v="CUST935"/>
    <x v="1"/>
    <n v="34"/>
    <x v="3"/>
    <x v="1"/>
    <n v="1"/>
    <x v="2"/>
    <n v="50"/>
    <n v="50"/>
  </r>
  <r>
    <n v="697"/>
    <d v="2023-09-10T00:00:00"/>
    <x v="8"/>
    <n v="9"/>
    <x v="0"/>
    <s v="CUST132"/>
    <x v="0"/>
    <n v="42"/>
    <x v="0"/>
    <x v="2"/>
    <n v="4"/>
    <x v="1"/>
    <n v="50"/>
    <n v="200"/>
  </r>
  <r>
    <n v="698"/>
    <d v="2023-09-11T00:00:00"/>
    <x v="8"/>
    <n v="9"/>
    <x v="0"/>
    <s v="CUST604"/>
    <x v="1"/>
    <n v="29"/>
    <x v="3"/>
    <x v="2"/>
    <n v="4"/>
    <x v="1"/>
    <n v="50"/>
    <n v="200"/>
  </r>
  <r>
    <n v="699"/>
    <d v="2023-09-11T00:00:00"/>
    <x v="8"/>
    <n v="9"/>
    <x v="0"/>
    <s v="CUST832"/>
    <x v="0"/>
    <n v="47"/>
    <x v="1"/>
    <x v="1"/>
    <n v="4"/>
    <x v="1"/>
    <n v="500"/>
    <n v="2000"/>
  </r>
  <r>
    <n v="700"/>
    <d v="2023-09-13T00:00:00"/>
    <x v="8"/>
    <n v="9"/>
    <x v="0"/>
    <s v="CUST113"/>
    <x v="1"/>
    <n v="41"/>
    <x v="0"/>
    <x v="2"/>
    <n v="2"/>
    <x v="3"/>
    <n v="25"/>
    <n v="50"/>
  </r>
  <r>
    <n v="701"/>
    <d v="2023-09-14T00:00:00"/>
    <x v="8"/>
    <n v="9"/>
    <x v="0"/>
    <s v="CUST165"/>
    <x v="1"/>
    <n v="60"/>
    <x v="2"/>
    <x v="0"/>
    <n v="4"/>
    <x v="1"/>
    <n v="300"/>
    <n v="1200"/>
  </r>
  <r>
    <n v="702"/>
    <d v="2023-09-15T00:00:00"/>
    <x v="8"/>
    <n v="9"/>
    <x v="0"/>
    <s v="CUST326"/>
    <x v="1"/>
    <n v="18"/>
    <x v="4"/>
    <x v="0"/>
    <n v="3"/>
    <x v="0"/>
    <n v="25"/>
    <n v="75"/>
  </r>
  <r>
    <n v="703"/>
    <d v="2023-09-16T00:00:00"/>
    <x v="8"/>
    <n v="9"/>
    <x v="0"/>
    <s v="CUST019"/>
    <x v="1"/>
    <n v="62"/>
    <x v="2"/>
    <x v="0"/>
    <n v="2"/>
    <x v="3"/>
    <n v="25"/>
    <n v="50"/>
  </r>
  <r>
    <n v="704"/>
    <d v="2023-09-16T00:00:00"/>
    <x v="8"/>
    <n v="9"/>
    <x v="0"/>
    <s v="CUST412"/>
    <x v="1"/>
    <n v="19"/>
    <x v="3"/>
    <x v="2"/>
    <n v="4"/>
    <x v="1"/>
    <n v="500"/>
    <n v="2000"/>
  </r>
  <r>
    <n v="705"/>
    <d v="2023-09-16T00:00:00"/>
    <x v="8"/>
    <n v="9"/>
    <x v="0"/>
    <s v="CUST632"/>
    <x v="1"/>
    <n v="26"/>
    <x v="3"/>
    <x v="2"/>
    <n v="4"/>
    <x v="1"/>
    <n v="25"/>
    <n v="100"/>
  </r>
  <r>
    <n v="706"/>
    <d v="2023-09-17T00:00:00"/>
    <x v="8"/>
    <n v="9"/>
    <x v="0"/>
    <s v="CUST167"/>
    <x v="1"/>
    <n v="43"/>
    <x v="0"/>
    <x v="0"/>
    <n v="3"/>
    <x v="0"/>
    <n v="50"/>
    <n v="150"/>
  </r>
  <r>
    <n v="707"/>
    <d v="2023-09-17T00:00:00"/>
    <x v="8"/>
    <n v="9"/>
    <x v="0"/>
    <s v="CUST172"/>
    <x v="0"/>
    <n v="32"/>
    <x v="3"/>
    <x v="1"/>
    <n v="2"/>
    <x v="3"/>
    <n v="25"/>
    <n v="50"/>
  </r>
  <r>
    <n v="708"/>
    <d v="2023-09-17T00:00:00"/>
    <x v="8"/>
    <n v="9"/>
    <x v="0"/>
    <s v="CUST375"/>
    <x v="0"/>
    <n v="32"/>
    <x v="3"/>
    <x v="0"/>
    <n v="1"/>
    <x v="2"/>
    <n v="50"/>
    <n v="50"/>
  </r>
  <r>
    <n v="709"/>
    <d v="2023-09-17T00:00:00"/>
    <x v="8"/>
    <n v="9"/>
    <x v="0"/>
    <s v="CUST538"/>
    <x v="0"/>
    <n v="18"/>
    <x v="4"/>
    <x v="0"/>
    <n v="3"/>
    <x v="0"/>
    <n v="50"/>
    <n v="150"/>
  </r>
  <r>
    <n v="710"/>
    <d v="2023-09-17T00:00:00"/>
    <x v="8"/>
    <n v="9"/>
    <x v="0"/>
    <s v="CUST794"/>
    <x v="1"/>
    <n v="60"/>
    <x v="2"/>
    <x v="1"/>
    <n v="1"/>
    <x v="2"/>
    <n v="300"/>
    <n v="300"/>
  </r>
  <r>
    <n v="711"/>
    <d v="2023-09-18T00:00:00"/>
    <x v="8"/>
    <n v="9"/>
    <x v="0"/>
    <s v="CUST131"/>
    <x v="1"/>
    <n v="21"/>
    <x v="3"/>
    <x v="1"/>
    <n v="2"/>
    <x v="3"/>
    <n v="300"/>
    <n v="600"/>
  </r>
  <r>
    <n v="712"/>
    <d v="2023-09-18T00:00:00"/>
    <x v="8"/>
    <n v="9"/>
    <x v="0"/>
    <s v="CUST330"/>
    <x v="1"/>
    <n v="25"/>
    <x v="3"/>
    <x v="1"/>
    <n v="4"/>
    <x v="1"/>
    <n v="50"/>
    <n v="200"/>
  </r>
  <r>
    <n v="713"/>
    <d v="2023-09-18T00:00:00"/>
    <x v="8"/>
    <n v="9"/>
    <x v="0"/>
    <s v="CUST494"/>
    <x v="1"/>
    <n v="42"/>
    <x v="0"/>
    <x v="1"/>
    <n v="4"/>
    <x v="1"/>
    <n v="50"/>
    <n v="200"/>
  </r>
  <r>
    <n v="714"/>
    <d v="2023-09-19T00:00:00"/>
    <x v="8"/>
    <n v="9"/>
    <x v="0"/>
    <s v="CUST513"/>
    <x v="0"/>
    <n v="24"/>
    <x v="3"/>
    <x v="2"/>
    <n v="4"/>
    <x v="1"/>
    <n v="25"/>
    <n v="100"/>
  </r>
  <r>
    <n v="715"/>
    <d v="2023-09-19T00:00:00"/>
    <x v="8"/>
    <n v="9"/>
    <x v="0"/>
    <s v="CUST573"/>
    <x v="0"/>
    <n v="49"/>
    <x v="1"/>
    <x v="1"/>
    <n v="2"/>
    <x v="3"/>
    <n v="30"/>
    <n v="60"/>
  </r>
  <r>
    <n v="716"/>
    <d v="2023-09-21T00:00:00"/>
    <x v="8"/>
    <n v="9"/>
    <x v="0"/>
    <s v="CUST241"/>
    <x v="1"/>
    <n v="23"/>
    <x v="3"/>
    <x v="2"/>
    <n v="3"/>
    <x v="0"/>
    <n v="25"/>
    <n v="75"/>
  </r>
  <r>
    <n v="717"/>
    <d v="2023-09-21T00:00:00"/>
    <x v="8"/>
    <n v="9"/>
    <x v="0"/>
    <s v="CUST579"/>
    <x v="1"/>
    <n v="38"/>
    <x v="0"/>
    <x v="2"/>
    <n v="1"/>
    <x v="2"/>
    <n v="30"/>
    <n v="30"/>
  </r>
  <r>
    <n v="718"/>
    <d v="2023-09-22T00:00:00"/>
    <x v="8"/>
    <n v="9"/>
    <x v="0"/>
    <s v="CUST218"/>
    <x v="0"/>
    <n v="64"/>
    <x v="2"/>
    <x v="1"/>
    <n v="3"/>
    <x v="0"/>
    <n v="30"/>
    <n v="90"/>
  </r>
  <r>
    <n v="719"/>
    <d v="2023-09-22T00:00:00"/>
    <x v="8"/>
    <n v="9"/>
    <x v="0"/>
    <s v="CUST846"/>
    <x v="0"/>
    <n v="42"/>
    <x v="0"/>
    <x v="1"/>
    <n v="1"/>
    <x v="2"/>
    <n v="50"/>
    <n v="50"/>
  </r>
  <r>
    <n v="720"/>
    <d v="2023-09-23T00:00:00"/>
    <x v="8"/>
    <n v="9"/>
    <x v="0"/>
    <s v="CUST616"/>
    <x v="0"/>
    <n v="41"/>
    <x v="0"/>
    <x v="0"/>
    <n v="2"/>
    <x v="3"/>
    <n v="50"/>
    <n v="100"/>
  </r>
  <r>
    <n v="721"/>
    <d v="2023-09-24T00:00:00"/>
    <x v="8"/>
    <n v="9"/>
    <x v="0"/>
    <s v="CUST523"/>
    <x v="1"/>
    <n v="62"/>
    <x v="2"/>
    <x v="2"/>
    <n v="1"/>
    <x v="2"/>
    <n v="300"/>
    <n v="300"/>
  </r>
  <r>
    <n v="722"/>
    <d v="2023-09-24T00:00:00"/>
    <x v="8"/>
    <n v="9"/>
    <x v="0"/>
    <s v="CUST643"/>
    <x v="1"/>
    <n v="28"/>
    <x v="3"/>
    <x v="2"/>
    <n v="3"/>
    <x v="0"/>
    <n v="30"/>
    <n v="90"/>
  </r>
  <r>
    <n v="723"/>
    <d v="2023-09-25T00:00:00"/>
    <x v="8"/>
    <n v="9"/>
    <x v="0"/>
    <s v="CUST351"/>
    <x v="1"/>
    <n v="56"/>
    <x v="2"/>
    <x v="0"/>
    <n v="3"/>
    <x v="0"/>
    <n v="30"/>
    <n v="90"/>
  </r>
  <r>
    <n v="724"/>
    <d v="2023-09-25T00:00:00"/>
    <x v="8"/>
    <n v="9"/>
    <x v="0"/>
    <s v="CUST809"/>
    <x v="1"/>
    <n v="62"/>
    <x v="2"/>
    <x v="1"/>
    <n v="2"/>
    <x v="3"/>
    <n v="50"/>
    <n v="100"/>
  </r>
  <r>
    <n v="725"/>
    <d v="2023-09-25T00:00:00"/>
    <x v="8"/>
    <n v="9"/>
    <x v="0"/>
    <s v="CUST954"/>
    <x v="1"/>
    <n v="50"/>
    <x v="1"/>
    <x v="2"/>
    <n v="3"/>
    <x v="0"/>
    <n v="300"/>
    <n v="900"/>
  </r>
  <r>
    <n v="726"/>
    <d v="2023-09-26T00:00:00"/>
    <x v="8"/>
    <n v="9"/>
    <x v="0"/>
    <s v="CUST897"/>
    <x v="1"/>
    <n v="64"/>
    <x v="2"/>
    <x v="2"/>
    <n v="2"/>
    <x v="3"/>
    <n v="50"/>
    <n v="100"/>
  </r>
  <r>
    <n v="727"/>
    <d v="2023-09-28T00:00:00"/>
    <x v="8"/>
    <n v="9"/>
    <x v="0"/>
    <s v="CUST147"/>
    <x v="0"/>
    <n v="23"/>
    <x v="3"/>
    <x v="2"/>
    <n v="1"/>
    <x v="2"/>
    <n v="300"/>
    <n v="300"/>
  </r>
  <r>
    <n v="728"/>
    <d v="2023-09-28T00:00:00"/>
    <x v="8"/>
    <n v="9"/>
    <x v="0"/>
    <s v="CUST204"/>
    <x v="0"/>
    <n v="39"/>
    <x v="0"/>
    <x v="1"/>
    <n v="1"/>
    <x v="2"/>
    <n v="25"/>
    <n v="25"/>
  </r>
  <r>
    <n v="729"/>
    <d v="2023-09-28T00:00:00"/>
    <x v="8"/>
    <n v="9"/>
    <x v="0"/>
    <s v="CUST390"/>
    <x v="0"/>
    <n v="39"/>
    <x v="0"/>
    <x v="2"/>
    <n v="2"/>
    <x v="3"/>
    <n v="50"/>
    <n v="100"/>
  </r>
  <r>
    <n v="730"/>
    <d v="2023-09-29T00:00:00"/>
    <x v="8"/>
    <n v="9"/>
    <x v="0"/>
    <s v="CUST179"/>
    <x v="0"/>
    <n v="31"/>
    <x v="3"/>
    <x v="2"/>
    <n v="1"/>
    <x v="2"/>
    <n v="300"/>
    <n v="300"/>
  </r>
  <r>
    <n v="731"/>
    <d v="2023-09-29T00:00:00"/>
    <x v="8"/>
    <n v="9"/>
    <x v="0"/>
    <s v="CUST327"/>
    <x v="0"/>
    <n v="57"/>
    <x v="2"/>
    <x v="2"/>
    <n v="3"/>
    <x v="0"/>
    <n v="50"/>
    <n v="150"/>
  </r>
  <r>
    <n v="732"/>
    <d v="2023-09-29T00:00:00"/>
    <x v="8"/>
    <n v="9"/>
    <x v="0"/>
    <s v="CUST626"/>
    <x v="1"/>
    <n v="26"/>
    <x v="3"/>
    <x v="0"/>
    <n v="4"/>
    <x v="1"/>
    <n v="500"/>
    <n v="2000"/>
  </r>
  <r>
    <n v="733"/>
    <d v="2023-09-29T00:00:00"/>
    <x v="8"/>
    <n v="9"/>
    <x v="0"/>
    <s v="CUST873"/>
    <x v="1"/>
    <n v="27"/>
    <x v="3"/>
    <x v="2"/>
    <n v="4"/>
    <x v="1"/>
    <n v="25"/>
    <n v="100"/>
  </r>
  <r>
    <n v="734"/>
    <d v="2023-09-30T00:00:00"/>
    <x v="8"/>
    <n v="9"/>
    <x v="0"/>
    <s v="CUST196"/>
    <x v="1"/>
    <n v="32"/>
    <x v="3"/>
    <x v="0"/>
    <n v="3"/>
    <x v="0"/>
    <n v="300"/>
    <n v="900"/>
  </r>
  <r>
    <n v="735"/>
    <d v="2023-09-30T00:00:00"/>
    <x v="8"/>
    <n v="9"/>
    <x v="0"/>
    <s v="CUST789"/>
    <x v="1"/>
    <n v="61"/>
    <x v="2"/>
    <x v="0"/>
    <n v="4"/>
    <x v="1"/>
    <n v="500"/>
    <n v="2000"/>
  </r>
  <r>
    <n v="736"/>
    <d v="2023-10-01T00:00:00"/>
    <x v="9"/>
    <n v="10"/>
    <x v="0"/>
    <s v="CUST089"/>
    <x v="1"/>
    <n v="55"/>
    <x v="1"/>
    <x v="2"/>
    <n v="4"/>
    <x v="1"/>
    <n v="500"/>
    <n v="2000"/>
  </r>
  <r>
    <n v="737"/>
    <d v="2023-10-01T00:00:00"/>
    <x v="9"/>
    <n v="10"/>
    <x v="0"/>
    <s v="CUST707"/>
    <x v="1"/>
    <n v="26"/>
    <x v="3"/>
    <x v="0"/>
    <n v="1"/>
    <x v="2"/>
    <n v="500"/>
    <n v="500"/>
  </r>
  <r>
    <n v="738"/>
    <d v="2023-10-01T00:00:00"/>
    <x v="9"/>
    <n v="10"/>
    <x v="0"/>
    <s v="CUST909"/>
    <x v="0"/>
    <n v="26"/>
    <x v="3"/>
    <x v="2"/>
    <n v="1"/>
    <x v="2"/>
    <n v="300"/>
    <n v="300"/>
  </r>
  <r>
    <n v="739"/>
    <d v="2023-10-02T00:00:00"/>
    <x v="9"/>
    <n v="10"/>
    <x v="0"/>
    <s v="CUST051"/>
    <x v="0"/>
    <n v="27"/>
    <x v="3"/>
    <x v="1"/>
    <n v="3"/>
    <x v="0"/>
    <n v="25"/>
    <n v="75"/>
  </r>
  <r>
    <n v="740"/>
    <d v="2023-10-02T00:00:00"/>
    <x v="9"/>
    <n v="10"/>
    <x v="0"/>
    <s v="CUST154"/>
    <x v="0"/>
    <n v="51"/>
    <x v="1"/>
    <x v="2"/>
    <n v="3"/>
    <x v="0"/>
    <n v="300"/>
    <n v="900"/>
  </r>
  <r>
    <n v="741"/>
    <d v="2023-10-02T00:00:00"/>
    <x v="9"/>
    <n v="10"/>
    <x v="0"/>
    <s v="CUST276"/>
    <x v="1"/>
    <n v="21"/>
    <x v="3"/>
    <x v="1"/>
    <n v="4"/>
    <x v="1"/>
    <n v="25"/>
    <n v="100"/>
  </r>
  <r>
    <n v="742"/>
    <d v="2023-10-02T00:00:00"/>
    <x v="9"/>
    <n v="10"/>
    <x v="0"/>
    <s v="CUST497"/>
    <x v="0"/>
    <n v="41"/>
    <x v="0"/>
    <x v="0"/>
    <n v="4"/>
    <x v="1"/>
    <n v="30"/>
    <n v="120"/>
  </r>
  <r>
    <n v="743"/>
    <d v="2023-10-02T00:00:00"/>
    <x v="9"/>
    <n v="10"/>
    <x v="0"/>
    <s v="CUST889"/>
    <x v="1"/>
    <n v="35"/>
    <x v="0"/>
    <x v="2"/>
    <n v="1"/>
    <x v="2"/>
    <n v="50"/>
    <n v="50"/>
  </r>
  <r>
    <n v="744"/>
    <d v="2023-10-03T00:00:00"/>
    <x v="9"/>
    <n v="10"/>
    <x v="0"/>
    <s v="CUST122"/>
    <x v="0"/>
    <n v="64"/>
    <x v="2"/>
    <x v="2"/>
    <n v="4"/>
    <x v="1"/>
    <n v="30"/>
    <n v="120"/>
  </r>
  <r>
    <n v="745"/>
    <d v="2023-10-03T00:00:00"/>
    <x v="9"/>
    <n v="10"/>
    <x v="0"/>
    <s v="CUST373"/>
    <x v="1"/>
    <n v="25"/>
    <x v="3"/>
    <x v="1"/>
    <n v="2"/>
    <x v="3"/>
    <n v="300"/>
    <n v="600"/>
  </r>
  <r>
    <n v="746"/>
    <d v="2023-10-03T00:00:00"/>
    <x v="9"/>
    <n v="10"/>
    <x v="0"/>
    <s v="CUST524"/>
    <x v="0"/>
    <n v="46"/>
    <x v="1"/>
    <x v="1"/>
    <n v="4"/>
    <x v="1"/>
    <n v="300"/>
    <n v="1200"/>
  </r>
  <r>
    <n v="747"/>
    <d v="2023-10-03T00:00:00"/>
    <x v="9"/>
    <n v="10"/>
    <x v="0"/>
    <s v="CUST688"/>
    <x v="0"/>
    <n v="56"/>
    <x v="2"/>
    <x v="0"/>
    <n v="4"/>
    <x v="1"/>
    <n v="25"/>
    <n v="100"/>
  </r>
  <r>
    <n v="748"/>
    <d v="2023-10-03T00:00:00"/>
    <x v="9"/>
    <n v="10"/>
    <x v="0"/>
    <s v="CUST813"/>
    <x v="0"/>
    <n v="52"/>
    <x v="1"/>
    <x v="2"/>
    <n v="3"/>
    <x v="0"/>
    <n v="50"/>
    <n v="150"/>
  </r>
  <r>
    <n v="749"/>
    <d v="2023-10-04T00:00:00"/>
    <x v="9"/>
    <n v="10"/>
    <x v="0"/>
    <s v="CUST178"/>
    <x v="0"/>
    <n v="40"/>
    <x v="0"/>
    <x v="0"/>
    <n v="2"/>
    <x v="3"/>
    <n v="30"/>
    <n v="60"/>
  </r>
  <r>
    <n v="750"/>
    <d v="2023-10-04T00:00:00"/>
    <x v="9"/>
    <n v="10"/>
    <x v="0"/>
    <s v="CUST208"/>
    <x v="1"/>
    <n v="34"/>
    <x v="3"/>
    <x v="2"/>
    <n v="4"/>
    <x v="1"/>
    <n v="50"/>
    <n v="200"/>
  </r>
  <r>
    <n v="751"/>
    <d v="2023-10-04T00:00:00"/>
    <x v="9"/>
    <n v="10"/>
    <x v="0"/>
    <s v="CUST247"/>
    <x v="0"/>
    <n v="41"/>
    <x v="0"/>
    <x v="2"/>
    <n v="2"/>
    <x v="3"/>
    <n v="30"/>
    <n v="60"/>
  </r>
  <r>
    <n v="752"/>
    <d v="2023-10-04T00:00:00"/>
    <x v="9"/>
    <n v="10"/>
    <x v="0"/>
    <s v="CUST290"/>
    <x v="1"/>
    <n v="30"/>
    <x v="3"/>
    <x v="1"/>
    <n v="2"/>
    <x v="3"/>
    <n v="300"/>
    <n v="600"/>
  </r>
  <r>
    <n v="753"/>
    <d v="2023-10-04T00:00:00"/>
    <x v="9"/>
    <n v="10"/>
    <x v="0"/>
    <s v="CUST656"/>
    <x v="0"/>
    <n v="29"/>
    <x v="3"/>
    <x v="1"/>
    <n v="3"/>
    <x v="0"/>
    <n v="30"/>
    <n v="90"/>
  </r>
  <r>
    <n v="754"/>
    <d v="2023-10-04T00:00:00"/>
    <x v="9"/>
    <n v="10"/>
    <x v="0"/>
    <s v="CUST735"/>
    <x v="1"/>
    <n v="64"/>
    <x v="2"/>
    <x v="0"/>
    <n v="4"/>
    <x v="1"/>
    <n v="500"/>
    <n v="2000"/>
  </r>
  <r>
    <n v="755"/>
    <d v="2023-10-05T00:00:00"/>
    <x v="9"/>
    <n v="10"/>
    <x v="0"/>
    <s v="CUST319"/>
    <x v="0"/>
    <n v="31"/>
    <x v="3"/>
    <x v="0"/>
    <n v="1"/>
    <x v="2"/>
    <n v="500"/>
    <n v="500"/>
  </r>
  <r>
    <n v="756"/>
    <d v="2023-10-05T00:00:00"/>
    <x v="9"/>
    <n v="10"/>
    <x v="0"/>
    <s v="CUST670"/>
    <x v="0"/>
    <n v="27"/>
    <x v="3"/>
    <x v="1"/>
    <n v="1"/>
    <x v="2"/>
    <n v="30"/>
    <n v="30"/>
  </r>
  <r>
    <n v="757"/>
    <d v="2023-10-06T00:00:00"/>
    <x v="9"/>
    <n v="10"/>
    <x v="0"/>
    <s v="CUST385"/>
    <x v="0"/>
    <n v="50"/>
    <x v="1"/>
    <x v="2"/>
    <n v="3"/>
    <x v="0"/>
    <n v="500"/>
    <n v="1500"/>
  </r>
  <r>
    <n v="758"/>
    <d v="2023-10-07T00:00:00"/>
    <x v="9"/>
    <n v="10"/>
    <x v="0"/>
    <s v="CUST010"/>
    <x v="1"/>
    <n v="52"/>
    <x v="1"/>
    <x v="0"/>
    <n v="4"/>
    <x v="1"/>
    <n v="50"/>
    <n v="200"/>
  </r>
  <r>
    <n v="759"/>
    <d v="2023-10-07T00:00:00"/>
    <x v="9"/>
    <n v="10"/>
    <x v="0"/>
    <s v="CUST026"/>
    <x v="1"/>
    <n v="28"/>
    <x v="3"/>
    <x v="2"/>
    <n v="2"/>
    <x v="3"/>
    <n v="500"/>
    <n v="1000"/>
  </r>
  <r>
    <n v="760"/>
    <d v="2023-10-07T00:00:00"/>
    <x v="9"/>
    <n v="10"/>
    <x v="0"/>
    <s v="CUST437"/>
    <x v="1"/>
    <n v="35"/>
    <x v="0"/>
    <x v="2"/>
    <n v="4"/>
    <x v="1"/>
    <n v="300"/>
    <n v="1200"/>
  </r>
  <r>
    <n v="761"/>
    <d v="2023-10-07T00:00:00"/>
    <x v="9"/>
    <n v="10"/>
    <x v="0"/>
    <s v="CUST689"/>
    <x v="0"/>
    <n v="57"/>
    <x v="2"/>
    <x v="2"/>
    <n v="2"/>
    <x v="3"/>
    <n v="50"/>
    <n v="100"/>
  </r>
  <r>
    <n v="762"/>
    <d v="2023-10-08T00:00:00"/>
    <x v="9"/>
    <n v="10"/>
    <x v="0"/>
    <s v="CUST558"/>
    <x v="1"/>
    <n v="41"/>
    <x v="0"/>
    <x v="0"/>
    <n v="1"/>
    <x v="2"/>
    <n v="25"/>
    <n v="25"/>
  </r>
  <r>
    <n v="763"/>
    <d v="2023-10-08T00:00:00"/>
    <x v="9"/>
    <n v="10"/>
    <x v="0"/>
    <s v="CUST634"/>
    <x v="0"/>
    <n v="60"/>
    <x v="2"/>
    <x v="2"/>
    <n v="4"/>
    <x v="1"/>
    <n v="500"/>
    <n v="2000"/>
  </r>
  <r>
    <n v="764"/>
    <d v="2023-10-09T00:00:00"/>
    <x v="9"/>
    <n v="10"/>
    <x v="0"/>
    <s v="CUST201"/>
    <x v="0"/>
    <n v="56"/>
    <x v="2"/>
    <x v="2"/>
    <n v="1"/>
    <x v="2"/>
    <n v="25"/>
    <n v="25"/>
  </r>
  <r>
    <n v="765"/>
    <d v="2023-10-09T00:00:00"/>
    <x v="9"/>
    <n v="10"/>
    <x v="0"/>
    <s v="CUST286"/>
    <x v="0"/>
    <n v="55"/>
    <x v="1"/>
    <x v="2"/>
    <n v="2"/>
    <x v="3"/>
    <n v="25"/>
    <n v="50"/>
  </r>
  <r>
    <n v="766"/>
    <d v="2023-10-09T00:00:00"/>
    <x v="9"/>
    <n v="10"/>
    <x v="0"/>
    <s v="CUST876"/>
    <x v="0"/>
    <n v="43"/>
    <x v="0"/>
    <x v="0"/>
    <n v="4"/>
    <x v="1"/>
    <n v="30"/>
    <n v="120"/>
  </r>
  <r>
    <n v="767"/>
    <d v="2023-10-10T00:00:00"/>
    <x v="9"/>
    <n v="10"/>
    <x v="0"/>
    <s v="CUST055"/>
    <x v="0"/>
    <n v="31"/>
    <x v="3"/>
    <x v="1"/>
    <n v="4"/>
    <x v="1"/>
    <n v="30"/>
    <n v="120"/>
  </r>
  <r>
    <n v="768"/>
    <d v="2023-10-10T00:00:00"/>
    <x v="9"/>
    <n v="10"/>
    <x v="0"/>
    <s v="CUST428"/>
    <x v="1"/>
    <n v="40"/>
    <x v="0"/>
    <x v="2"/>
    <n v="4"/>
    <x v="1"/>
    <n v="50"/>
    <n v="200"/>
  </r>
  <r>
    <n v="769"/>
    <d v="2023-10-10T00:00:00"/>
    <x v="9"/>
    <n v="10"/>
    <x v="0"/>
    <s v="CUST441"/>
    <x v="0"/>
    <n v="57"/>
    <x v="2"/>
    <x v="1"/>
    <n v="4"/>
    <x v="1"/>
    <n v="300"/>
    <n v="1200"/>
  </r>
  <r>
    <n v="770"/>
    <d v="2023-10-10T00:00:00"/>
    <x v="9"/>
    <n v="10"/>
    <x v="0"/>
    <s v="CUST976"/>
    <x v="1"/>
    <n v="48"/>
    <x v="1"/>
    <x v="1"/>
    <n v="2"/>
    <x v="3"/>
    <n v="300"/>
    <n v="600"/>
  </r>
  <r>
    <n v="771"/>
    <d v="2023-10-11T00:00:00"/>
    <x v="9"/>
    <n v="10"/>
    <x v="0"/>
    <s v="CUST149"/>
    <x v="0"/>
    <n v="22"/>
    <x v="3"/>
    <x v="0"/>
    <n v="3"/>
    <x v="0"/>
    <n v="25"/>
    <n v="75"/>
  </r>
  <r>
    <n v="772"/>
    <d v="2023-10-11T00:00:00"/>
    <x v="9"/>
    <n v="10"/>
    <x v="0"/>
    <s v="CUST227"/>
    <x v="0"/>
    <n v="36"/>
    <x v="0"/>
    <x v="2"/>
    <n v="2"/>
    <x v="3"/>
    <n v="50"/>
    <n v="100"/>
  </r>
  <r>
    <n v="773"/>
    <d v="2023-10-11T00:00:00"/>
    <x v="9"/>
    <n v="10"/>
    <x v="0"/>
    <s v="CUST393"/>
    <x v="1"/>
    <n v="22"/>
    <x v="3"/>
    <x v="1"/>
    <n v="2"/>
    <x v="3"/>
    <n v="500"/>
    <n v="1000"/>
  </r>
  <r>
    <n v="774"/>
    <d v="2023-10-11T00:00:00"/>
    <x v="9"/>
    <n v="10"/>
    <x v="0"/>
    <s v="CUST401"/>
    <x v="1"/>
    <n v="62"/>
    <x v="2"/>
    <x v="0"/>
    <n v="1"/>
    <x v="2"/>
    <n v="300"/>
    <n v="300"/>
  </r>
  <r>
    <n v="775"/>
    <d v="2023-10-11T00:00:00"/>
    <x v="9"/>
    <n v="10"/>
    <x v="0"/>
    <s v="CUST546"/>
    <x v="1"/>
    <n v="36"/>
    <x v="0"/>
    <x v="2"/>
    <n v="4"/>
    <x v="1"/>
    <n v="50"/>
    <n v="200"/>
  </r>
  <r>
    <n v="776"/>
    <d v="2023-10-11T00:00:00"/>
    <x v="9"/>
    <n v="10"/>
    <x v="0"/>
    <s v="CUST872"/>
    <x v="1"/>
    <n v="63"/>
    <x v="2"/>
    <x v="1"/>
    <n v="3"/>
    <x v="0"/>
    <n v="25"/>
    <n v="75"/>
  </r>
  <r>
    <n v="777"/>
    <d v="2023-10-11T00:00:00"/>
    <x v="9"/>
    <n v="10"/>
    <x v="0"/>
    <s v="CUST914"/>
    <x v="1"/>
    <n v="59"/>
    <x v="2"/>
    <x v="2"/>
    <n v="1"/>
    <x v="2"/>
    <n v="500"/>
    <n v="500"/>
  </r>
  <r>
    <n v="778"/>
    <d v="2023-10-12T00:00:00"/>
    <x v="9"/>
    <n v="10"/>
    <x v="0"/>
    <s v="CUST310"/>
    <x v="1"/>
    <n v="28"/>
    <x v="3"/>
    <x v="1"/>
    <n v="1"/>
    <x v="2"/>
    <n v="25"/>
    <n v="25"/>
  </r>
  <r>
    <n v="779"/>
    <d v="2023-10-12T00:00:00"/>
    <x v="9"/>
    <n v="10"/>
    <x v="0"/>
    <s v="CUST844"/>
    <x v="0"/>
    <n v="35"/>
    <x v="0"/>
    <x v="0"/>
    <n v="3"/>
    <x v="0"/>
    <n v="50"/>
    <n v="150"/>
  </r>
  <r>
    <n v="780"/>
    <d v="2023-10-12T00:00:00"/>
    <x v="9"/>
    <n v="10"/>
    <x v="0"/>
    <s v="CUST852"/>
    <x v="1"/>
    <n v="41"/>
    <x v="0"/>
    <x v="0"/>
    <n v="1"/>
    <x v="2"/>
    <n v="300"/>
    <n v="300"/>
  </r>
  <r>
    <n v="781"/>
    <d v="2023-10-13T00:00:00"/>
    <x v="9"/>
    <n v="10"/>
    <x v="0"/>
    <s v="CUST097"/>
    <x v="1"/>
    <n v="51"/>
    <x v="1"/>
    <x v="1"/>
    <n v="2"/>
    <x v="3"/>
    <n v="500"/>
    <n v="1000"/>
  </r>
  <r>
    <n v="782"/>
    <d v="2023-10-13T00:00:00"/>
    <x v="9"/>
    <n v="10"/>
    <x v="0"/>
    <s v="CUST619"/>
    <x v="0"/>
    <n v="47"/>
    <x v="1"/>
    <x v="2"/>
    <n v="4"/>
    <x v="1"/>
    <n v="25"/>
    <n v="100"/>
  </r>
  <r>
    <n v="783"/>
    <d v="2023-10-13T00:00:00"/>
    <x v="9"/>
    <n v="10"/>
    <x v="0"/>
    <s v="CUST948"/>
    <x v="1"/>
    <n v="23"/>
    <x v="3"/>
    <x v="2"/>
    <n v="3"/>
    <x v="0"/>
    <n v="25"/>
    <n v="75"/>
  </r>
  <r>
    <n v="784"/>
    <d v="2023-10-14T00:00:00"/>
    <x v="9"/>
    <n v="10"/>
    <x v="0"/>
    <s v="CUST456"/>
    <x v="0"/>
    <n v="57"/>
    <x v="2"/>
    <x v="2"/>
    <n v="2"/>
    <x v="3"/>
    <n v="30"/>
    <n v="60"/>
  </r>
  <r>
    <n v="785"/>
    <d v="2023-10-14T00:00:00"/>
    <x v="9"/>
    <n v="10"/>
    <x v="0"/>
    <s v="CUST627"/>
    <x v="0"/>
    <n v="57"/>
    <x v="2"/>
    <x v="0"/>
    <n v="1"/>
    <x v="2"/>
    <n v="50"/>
    <n v="50"/>
  </r>
  <r>
    <n v="786"/>
    <d v="2023-10-15T00:00:00"/>
    <x v="9"/>
    <n v="10"/>
    <x v="0"/>
    <s v="CUST022"/>
    <x v="0"/>
    <n v="18"/>
    <x v="4"/>
    <x v="0"/>
    <n v="2"/>
    <x v="3"/>
    <n v="50"/>
    <n v="100"/>
  </r>
  <r>
    <n v="787"/>
    <d v="2023-10-15T00:00:00"/>
    <x v="9"/>
    <n v="10"/>
    <x v="0"/>
    <s v="CUST121"/>
    <x v="1"/>
    <n v="28"/>
    <x v="3"/>
    <x v="2"/>
    <n v="4"/>
    <x v="1"/>
    <n v="50"/>
    <n v="200"/>
  </r>
  <r>
    <n v="788"/>
    <d v="2023-10-15T00:00:00"/>
    <x v="9"/>
    <n v="10"/>
    <x v="0"/>
    <s v="CUST431"/>
    <x v="0"/>
    <n v="63"/>
    <x v="2"/>
    <x v="2"/>
    <n v="4"/>
    <x v="1"/>
    <n v="300"/>
    <n v="1200"/>
  </r>
  <r>
    <n v="789"/>
    <d v="2023-10-16T00:00:00"/>
    <x v="9"/>
    <n v="10"/>
    <x v="0"/>
    <s v="CUST370"/>
    <x v="0"/>
    <n v="23"/>
    <x v="3"/>
    <x v="2"/>
    <n v="2"/>
    <x v="3"/>
    <n v="30"/>
    <n v="60"/>
  </r>
  <r>
    <n v="790"/>
    <d v="2023-10-16T00:00:00"/>
    <x v="9"/>
    <n v="10"/>
    <x v="0"/>
    <s v="CUST711"/>
    <x v="0"/>
    <n v="26"/>
    <x v="3"/>
    <x v="2"/>
    <n v="3"/>
    <x v="0"/>
    <n v="500"/>
    <n v="1500"/>
  </r>
  <r>
    <n v="791"/>
    <d v="2023-10-16T00:00:00"/>
    <x v="9"/>
    <n v="10"/>
    <x v="0"/>
    <s v="CUST754"/>
    <x v="1"/>
    <n v="43"/>
    <x v="0"/>
    <x v="2"/>
    <n v="4"/>
    <x v="1"/>
    <n v="25"/>
    <n v="100"/>
  </r>
  <r>
    <n v="792"/>
    <d v="2023-10-16T00:00:00"/>
    <x v="9"/>
    <n v="10"/>
    <x v="0"/>
    <s v="CUST943"/>
    <x v="1"/>
    <n v="57"/>
    <x v="2"/>
    <x v="0"/>
    <n v="4"/>
    <x v="1"/>
    <n v="300"/>
    <n v="1200"/>
  </r>
  <r>
    <n v="793"/>
    <d v="2023-10-17T00:00:00"/>
    <x v="9"/>
    <n v="10"/>
    <x v="0"/>
    <s v="CUST350"/>
    <x v="0"/>
    <n v="25"/>
    <x v="3"/>
    <x v="1"/>
    <n v="3"/>
    <x v="0"/>
    <n v="25"/>
    <n v="75"/>
  </r>
  <r>
    <n v="794"/>
    <d v="2023-10-17T00:00:00"/>
    <x v="9"/>
    <n v="10"/>
    <x v="0"/>
    <s v="CUST786"/>
    <x v="0"/>
    <n v="48"/>
    <x v="1"/>
    <x v="0"/>
    <n v="4"/>
    <x v="1"/>
    <n v="25"/>
    <n v="100"/>
  </r>
  <r>
    <n v="795"/>
    <d v="2023-10-18T00:00:00"/>
    <x v="9"/>
    <n v="10"/>
    <x v="0"/>
    <s v="CUST109"/>
    <x v="1"/>
    <n v="34"/>
    <x v="3"/>
    <x v="2"/>
    <n v="4"/>
    <x v="1"/>
    <n v="500"/>
    <n v="2000"/>
  </r>
  <r>
    <n v="796"/>
    <d v="2023-10-18T00:00:00"/>
    <x v="9"/>
    <n v="10"/>
    <x v="0"/>
    <s v="CUST191"/>
    <x v="0"/>
    <n v="64"/>
    <x v="2"/>
    <x v="1"/>
    <n v="1"/>
    <x v="2"/>
    <n v="25"/>
    <n v="25"/>
  </r>
  <r>
    <n v="797"/>
    <d v="2023-10-19T00:00:00"/>
    <x v="9"/>
    <n v="10"/>
    <x v="0"/>
    <s v="CUST340"/>
    <x v="1"/>
    <n v="36"/>
    <x v="0"/>
    <x v="0"/>
    <n v="4"/>
    <x v="1"/>
    <n v="300"/>
    <n v="1200"/>
  </r>
  <r>
    <n v="798"/>
    <d v="2023-10-19T00:00:00"/>
    <x v="9"/>
    <n v="10"/>
    <x v="0"/>
    <s v="CUST555"/>
    <x v="0"/>
    <n v="25"/>
    <x v="3"/>
    <x v="1"/>
    <n v="1"/>
    <x v="2"/>
    <n v="300"/>
    <n v="300"/>
  </r>
  <r>
    <n v="799"/>
    <d v="2023-10-19T00:00:00"/>
    <x v="9"/>
    <n v="10"/>
    <x v="0"/>
    <s v="CUST826"/>
    <x v="1"/>
    <n v="46"/>
    <x v="1"/>
    <x v="0"/>
    <n v="1"/>
    <x v="2"/>
    <n v="300"/>
    <n v="300"/>
  </r>
  <r>
    <n v="800"/>
    <d v="2023-10-19T00:00:00"/>
    <x v="9"/>
    <n v="10"/>
    <x v="0"/>
    <s v="CUST962"/>
    <x v="0"/>
    <n v="44"/>
    <x v="0"/>
    <x v="0"/>
    <n v="2"/>
    <x v="3"/>
    <n v="30"/>
    <n v="60"/>
  </r>
  <r>
    <n v="801"/>
    <d v="2023-10-20T00:00:00"/>
    <x v="9"/>
    <n v="10"/>
    <x v="0"/>
    <s v="CUST249"/>
    <x v="0"/>
    <n v="20"/>
    <x v="3"/>
    <x v="0"/>
    <n v="1"/>
    <x v="2"/>
    <n v="50"/>
    <n v="50"/>
  </r>
  <r>
    <n v="802"/>
    <d v="2023-10-21T00:00:00"/>
    <x v="9"/>
    <n v="10"/>
    <x v="0"/>
    <s v="CUST922"/>
    <x v="0"/>
    <n v="41"/>
    <x v="0"/>
    <x v="2"/>
    <n v="1"/>
    <x v="2"/>
    <n v="50"/>
    <n v="50"/>
  </r>
  <r>
    <n v="803"/>
    <d v="2023-10-22T00:00:00"/>
    <x v="9"/>
    <n v="10"/>
    <x v="0"/>
    <s v="CUST600"/>
    <x v="1"/>
    <n v="59"/>
    <x v="2"/>
    <x v="1"/>
    <n v="2"/>
    <x v="3"/>
    <n v="500"/>
    <n v="1000"/>
  </r>
  <r>
    <n v="804"/>
    <d v="2023-10-22T00:00:00"/>
    <x v="9"/>
    <n v="10"/>
    <x v="0"/>
    <s v="CUST680"/>
    <x v="1"/>
    <n v="53"/>
    <x v="1"/>
    <x v="0"/>
    <n v="3"/>
    <x v="0"/>
    <n v="300"/>
    <n v="900"/>
  </r>
  <r>
    <n v="805"/>
    <d v="2023-10-22T00:00:00"/>
    <x v="9"/>
    <n v="10"/>
    <x v="0"/>
    <s v="CUST770"/>
    <x v="0"/>
    <n v="32"/>
    <x v="3"/>
    <x v="0"/>
    <n v="1"/>
    <x v="2"/>
    <n v="50"/>
    <n v="50"/>
  </r>
  <r>
    <n v="806"/>
    <d v="2023-10-23T00:00:00"/>
    <x v="9"/>
    <n v="10"/>
    <x v="0"/>
    <s v="CUST060"/>
    <x v="0"/>
    <n v="30"/>
    <x v="3"/>
    <x v="1"/>
    <n v="3"/>
    <x v="0"/>
    <n v="50"/>
    <n v="150"/>
  </r>
  <r>
    <n v="807"/>
    <d v="2023-10-23T00:00:00"/>
    <x v="9"/>
    <n v="10"/>
    <x v="0"/>
    <s v="CUST250"/>
    <x v="0"/>
    <n v="48"/>
    <x v="1"/>
    <x v="2"/>
    <n v="1"/>
    <x v="2"/>
    <n v="50"/>
    <n v="50"/>
  </r>
  <r>
    <n v="808"/>
    <d v="2023-10-23T00:00:00"/>
    <x v="9"/>
    <n v="10"/>
    <x v="0"/>
    <s v="CUST516"/>
    <x v="0"/>
    <n v="30"/>
    <x v="3"/>
    <x v="1"/>
    <n v="4"/>
    <x v="1"/>
    <n v="25"/>
    <n v="100"/>
  </r>
  <r>
    <n v="809"/>
    <d v="2023-10-23T00:00:00"/>
    <x v="9"/>
    <n v="10"/>
    <x v="0"/>
    <s v="CUST937"/>
    <x v="1"/>
    <n v="62"/>
    <x v="2"/>
    <x v="1"/>
    <n v="1"/>
    <x v="2"/>
    <n v="500"/>
    <n v="500"/>
  </r>
  <r>
    <n v="810"/>
    <d v="2023-10-24T00:00:00"/>
    <x v="9"/>
    <n v="10"/>
    <x v="0"/>
    <s v="CUST318"/>
    <x v="0"/>
    <n v="61"/>
    <x v="2"/>
    <x v="0"/>
    <n v="1"/>
    <x v="2"/>
    <n v="25"/>
    <n v="25"/>
  </r>
  <r>
    <n v="811"/>
    <d v="2023-10-24T00:00:00"/>
    <x v="9"/>
    <n v="10"/>
    <x v="0"/>
    <s v="CUST342"/>
    <x v="1"/>
    <n v="43"/>
    <x v="0"/>
    <x v="0"/>
    <n v="4"/>
    <x v="1"/>
    <n v="500"/>
    <n v="2000"/>
  </r>
  <r>
    <n v="812"/>
    <d v="2023-10-24T00:00:00"/>
    <x v="9"/>
    <n v="10"/>
    <x v="0"/>
    <s v="CUST564"/>
    <x v="0"/>
    <n v="50"/>
    <x v="1"/>
    <x v="2"/>
    <n v="2"/>
    <x v="3"/>
    <n v="50"/>
    <n v="100"/>
  </r>
  <r>
    <n v="813"/>
    <d v="2023-10-24T00:00:00"/>
    <x v="9"/>
    <n v="10"/>
    <x v="0"/>
    <s v="CUST767"/>
    <x v="0"/>
    <n v="39"/>
    <x v="0"/>
    <x v="1"/>
    <n v="3"/>
    <x v="0"/>
    <n v="25"/>
    <n v="75"/>
  </r>
  <r>
    <n v="814"/>
    <d v="2023-10-25T00:00:00"/>
    <x v="9"/>
    <n v="10"/>
    <x v="0"/>
    <s v="CUST503"/>
    <x v="0"/>
    <n v="45"/>
    <x v="0"/>
    <x v="1"/>
    <n v="4"/>
    <x v="1"/>
    <n v="500"/>
    <n v="2000"/>
  </r>
  <r>
    <n v="815"/>
    <d v="2023-10-25T00:00:00"/>
    <x v="9"/>
    <n v="10"/>
    <x v="0"/>
    <s v="CUST869"/>
    <x v="0"/>
    <n v="37"/>
    <x v="0"/>
    <x v="1"/>
    <n v="3"/>
    <x v="0"/>
    <n v="500"/>
    <n v="1500"/>
  </r>
  <r>
    <n v="816"/>
    <d v="2023-10-26T00:00:00"/>
    <x v="9"/>
    <n v="10"/>
    <x v="0"/>
    <s v="CUST126"/>
    <x v="1"/>
    <n v="28"/>
    <x v="3"/>
    <x v="0"/>
    <n v="3"/>
    <x v="0"/>
    <n v="30"/>
    <n v="90"/>
  </r>
  <r>
    <n v="817"/>
    <d v="2023-10-26T00:00:00"/>
    <x v="9"/>
    <n v="10"/>
    <x v="0"/>
    <s v="CUST349"/>
    <x v="1"/>
    <n v="57"/>
    <x v="2"/>
    <x v="1"/>
    <n v="1"/>
    <x v="2"/>
    <n v="50"/>
    <n v="50"/>
  </r>
  <r>
    <n v="818"/>
    <d v="2023-10-26T00:00:00"/>
    <x v="9"/>
    <n v="10"/>
    <x v="0"/>
    <s v="CUST440"/>
    <x v="0"/>
    <n v="64"/>
    <x v="2"/>
    <x v="0"/>
    <n v="2"/>
    <x v="3"/>
    <n v="300"/>
    <n v="600"/>
  </r>
  <r>
    <n v="819"/>
    <d v="2023-10-27T00:00:00"/>
    <x v="9"/>
    <n v="10"/>
    <x v="0"/>
    <s v="CUST124"/>
    <x v="0"/>
    <n v="33"/>
    <x v="3"/>
    <x v="0"/>
    <n v="4"/>
    <x v="1"/>
    <n v="500"/>
    <n v="2000"/>
  </r>
  <r>
    <n v="820"/>
    <d v="2023-10-27T00:00:00"/>
    <x v="9"/>
    <n v="10"/>
    <x v="0"/>
    <s v="CUST324"/>
    <x v="1"/>
    <n v="52"/>
    <x v="1"/>
    <x v="2"/>
    <n v="3"/>
    <x v="0"/>
    <n v="50"/>
    <n v="150"/>
  </r>
  <r>
    <n v="821"/>
    <d v="2023-10-27T00:00:00"/>
    <x v="9"/>
    <n v="10"/>
    <x v="0"/>
    <s v="CUST677"/>
    <x v="1"/>
    <n v="19"/>
    <x v="3"/>
    <x v="1"/>
    <n v="3"/>
    <x v="0"/>
    <n v="500"/>
    <n v="1500"/>
  </r>
  <r>
    <n v="822"/>
    <d v="2023-10-29T00:00:00"/>
    <x v="9"/>
    <n v="10"/>
    <x v="0"/>
    <s v="CUST030"/>
    <x v="1"/>
    <n v="39"/>
    <x v="0"/>
    <x v="1"/>
    <n v="3"/>
    <x v="0"/>
    <n v="300"/>
    <n v="900"/>
  </r>
  <r>
    <n v="823"/>
    <d v="2023-10-29T00:00:00"/>
    <x v="9"/>
    <n v="10"/>
    <x v="0"/>
    <s v="CUST226"/>
    <x v="1"/>
    <n v="61"/>
    <x v="2"/>
    <x v="0"/>
    <n v="1"/>
    <x v="2"/>
    <n v="50"/>
    <n v="50"/>
  </r>
  <r>
    <n v="824"/>
    <d v="2023-10-29T00:00:00"/>
    <x v="9"/>
    <n v="10"/>
    <x v="0"/>
    <s v="CUST229"/>
    <x v="0"/>
    <n v="58"/>
    <x v="2"/>
    <x v="1"/>
    <n v="3"/>
    <x v="0"/>
    <n v="30"/>
    <n v="90"/>
  </r>
  <r>
    <n v="825"/>
    <d v="2023-10-29T00:00:00"/>
    <x v="9"/>
    <n v="10"/>
    <x v="0"/>
    <s v="CUST896"/>
    <x v="1"/>
    <n v="30"/>
    <x v="3"/>
    <x v="2"/>
    <n v="2"/>
    <x v="3"/>
    <n v="25"/>
    <n v="50"/>
  </r>
  <r>
    <n v="826"/>
    <d v="2023-10-29T00:00:00"/>
    <x v="9"/>
    <n v="10"/>
    <x v="0"/>
    <s v="CUST959"/>
    <x v="1"/>
    <n v="42"/>
    <x v="0"/>
    <x v="2"/>
    <n v="2"/>
    <x v="3"/>
    <n v="30"/>
    <n v="60"/>
  </r>
  <r>
    <n v="827"/>
    <d v="2023-10-29T00:00:00"/>
    <x v="9"/>
    <n v="10"/>
    <x v="0"/>
    <s v="CUST998"/>
    <x v="1"/>
    <n v="23"/>
    <x v="3"/>
    <x v="1"/>
    <n v="4"/>
    <x v="1"/>
    <n v="25"/>
    <n v="100"/>
  </r>
  <r>
    <n v="828"/>
    <d v="2023-10-30T00:00:00"/>
    <x v="9"/>
    <n v="10"/>
    <x v="0"/>
    <s v="CUST012"/>
    <x v="0"/>
    <n v="35"/>
    <x v="0"/>
    <x v="1"/>
    <n v="3"/>
    <x v="0"/>
    <n v="25"/>
    <n v="75"/>
  </r>
  <r>
    <n v="829"/>
    <d v="2023-10-31T00:00:00"/>
    <x v="9"/>
    <n v="10"/>
    <x v="0"/>
    <s v="CUST710"/>
    <x v="1"/>
    <n v="26"/>
    <x v="3"/>
    <x v="2"/>
    <n v="3"/>
    <x v="0"/>
    <n v="500"/>
    <n v="1500"/>
  </r>
  <r>
    <n v="830"/>
    <d v="2023-10-31T00:00:00"/>
    <x v="9"/>
    <n v="10"/>
    <x v="0"/>
    <s v="CUST776"/>
    <x v="0"/>
    <n v="35"/>
    <x v="0"/>
    <x v="0"/>
    <n v="3"/>
    <x v="0"/>
    <n v="30"/>
    <n v="90"/>
  </r>
  <r>
    <n v="831"/>
    <d v="2023-10-31T00:00:00"/>
    <x v="9"/>
    <n v="10"/>
    <x v="0"/>
    <s v="CUST817"/>
    <x v="0"/>
    <n v="30"/>
    <x v="3"/>
    <x v="1"/>
    <n v="4"/>
    <x v="1"/>
    <n v="50"/>
    <n v="200"/>
  </r>
  <r>
    <n v="832"/>
    <d v="2023-11-01T00:00:00"/>
    <x v="10"/>
    <n v="11"/>
    <x v="0"/>
    <s v="CUST334"/>
    <x v="0"/>
    <n v="31"/>
    <x v="3"/>
    <x v="2"/>
    <n v="3"/>
    <x v="0"/>
    <n v="300"/>
    <n v="900"/>
  </r>
  <r>
    <n v="833"/>
    <d v="2023-11-01T00:00:00"/>
    <x v="10"/>
    <n v="11"/>
    <x v="0"/>
    <s v="CUST343"/>
    <x v="0"/>
    <n v="21"/>
    <x v="3"/>
    <x v="2"/>
    <n v="2"/>
    <x v="3"/>
    <n v="25"/>
    <n v="50"/>
  </r>
  <r>
    <n v="834"/>
    <d v="2023-11-01T00:00:00"/>
    <x v="10"/>
    <n v="11"/>
    <x v="0"/>
    <s v="CUST628"/>
    <x v="1"/>
    <n v="19"/>
    <x v="3"/>
    <x v="1"/>
    <n v="4"/>
    <x v="1"/>
    <n v="50"/>
    <n v="200"/>
  </r>
  <r>
    <n v="835"/>
    <d v="2023-11-01T00:00:00"/>
    <x v="10"/>
    <n v="11"/>
    <x v="0"/>
    <s v="CUST983"/>
    <x v="1"/>
    <n v="29"/>
    <x v="3"/>
    <x v="0"/>
    <n v="1"/>
    <x v="2"/>
    <n v="300"/>
    <n v="300"/>
  </r>
  <r>
    <n v="836"/>
    <d v="2023-11-02T00:00:00"/>
    <x v="10"/>
    <n v="11"/>
    <x v="0"/>
    <s v="CUST141"/>
    <x v="1"/>
    <n v="22"/>
    <x v="3"/>
    <x v="2"/>
    <n v="1"/>
    <x v="2"/>
    <n v="50"/>
    <n v="50"/>
  </r>
  <r>
    <n v="837"/>
    <d v="2023-11-02T00:00:00"/>
    <x v="10"/>
    <n v="11"/>
    <x v="0"/>
    <s v="CUST145"/>
    <x v="1"/>
    <n v="39"/>
    <x v="0"/>
    <x v="0"/>
    <n v="3"/>
    <x v="0"/>
    <n v="25"/>
    <n v="75"/>
  </r>
  <r>
    <n v="838"/>
    <d v="2023-11-02T00:00:00"/>
    <x v="10"/>
    <n v="11"/>
    <x v="0"/>
    <s v="CUST507"/>
    <x v="1"/>
    <n v="37"/>
    <x v="0"/>
    <x v="2"/>
    <n v="3"/>
    <x v="0"/>
    <n v="500"/>
    <n v="1500"/>
  </r>
  <r>
    <n v="839"/>
    <d v="2023-11-02T00:00:00"/>
    <x v="10"/>
    <n v="11"/>
    <x v="0"/>
    <s v="CUST841"/>
    <x v="0"/>
    <n v="31"/>
    <x v="3"/>
    <x v="2"/>
    <n v="4"/>
    <x v="1"/>
    <n v="25"/>
    <n v="100"/>
  </r>
  <r>
    <n v="840"/>
    <d v="2023-11-02T00:00:00"/>
    <x v="10"/>
    <n v="11"/>
    <x v="0"/>
    <s v="CUST898"/>
    <x v="1"/>
    <n v="42"/>
    <x v="0"/>
    <x v="0"/>
    <n v="3"/>
    <x v="0"/>
    <n v="30"/>
    <n v="90"/>
  </r>
  <r>
    <n v="841"/>
    <d v="2023-11-02T00:00:00"/>
    <x v="10"/>
    <n v="11"/>
    <x v="0"/>
    <s v="CUST951"/>
    <x v="0"/>
    <n v="33"/>
    <x v="3"/>
    <x v="1"/>
    <n v="2"/>
    <x v="3"/>
    <n v="50"/>
    <n v="100"/>
  </r>
  <r>
    <n v="842"/>
    <d v="2023-11-03T00:00:00"/>
    <x v="10"/>
    <n v="11"/>
    <x v="0"/>
    <s v="CUST181"/>
    <x v="0"/>
    <n v="19"/>
    <x v="3"/>
    <x v="2"/>
    <n v="4"/>
    <x v="1"/>
    <n v="300"/>
    <n v="1200"/>
  </r>
  <r>
    <n v="843"/>
    <d v="2023-11-04T00:00:00"/>
    <x v="10"/>
    <n v="11"/>
    <x v="0"/>
    <s v="CUST784"/>
    <x v="1"/>
    <n v="34"/>
    <x v="3"/>
    <x v="2"/>
    <n v="1"/>
    <x v="2"/>
    <n v="500"/>
    <n v="500"/>
  </r>
  <r>
    <n v="844"/>
    <d v="2023-11-05T00:00:00"/>
    <x v="10"/>
    <n v="11"/>
    <x v="0"/>
    <s v="CUST020"/>
    <x v="0"/>
    <n v="22"/>
    <x v="3"/>
    <x v="0"/>
    <n v="3"/>
    <x v="0"/>
    <n v="300"/>
    <n v="900"/>
  </r>
  <r>
    <n v="845"/>
    <d v="2023-11-05T00:00:00"/>
    <x v="10"/>
    <n v="11"/>
    <x v="0"/>
    <s v="CUST690"/>
    <x v="1"/>
    <n v="52"/>
    <x v="1"/>
    <x v="0"/>
    <n v="3"/>
    <x v="0"/>
    <n v="300"/>
    <n v="900"/>
  </r>
  <r>
    <n v="846"/>
    <d v="2023-11-06T00:00:00"/>
    <x v="10"/>
    <n v="11"/>
    <x v="0"/>
    <s v="CUST047"/>
    <x v="1"/>
    <n v="40"/>
    <x v="0"/>
    <x v="1"/>
    <n v="3"/>
    <x v="0"/>
    <n v="500"/>
    <n v="1500"/>
  </r>
  <r>
    <n v="847"/>
    <d v="2023-11-06T00:00:00"/>
    <x v="10"/>
    <n v="11"/>
    <x v="0"/>
    <s v="CUST405"/>
    <x v="1"/>
    <n v="25"/>
    <x v="3"/>
    <x v="0"/>
    <n v="4"/>
    <x v="1"/>
    <n v="300"/>
    <n v="1200"/>
  </r>
  <r>
    <n v="848"/>
    <d v="2023-11-07T00:00:00"/>
    <x v="10"/>
    <n v="11"/>
    <x v="0"/>
    <s v="CUST205"/>
    <x v="1"/>
    <n v="43"/>
    <x v="0"/>
    <x v="0"/>
    <n v="1"/>
    <x v="2"/>
    <n v="25"/>
    <n v="25"/>
  </r>
  <r>
    <n v="849"/>
    <d v="2023-11-07T00:00:00"/>
    <x v="10"/>
    <n v="11"/>
    <x v="0"/>
    <s v="CUST512"/>
    <x v="1"/>
    <n v="57"/>
    <x v="2"/>
    <x v="1"/>
    <n v="1"/>
    <x v="2"/>
    <n v="25"/>
    <n v="25"/>
  </r>
  <r>
    <n v="850"/>
    <d v="2023-11-07T00:00:00"/>
    <x v="10"/>
    <n v="11"/>
    <x v="0"/>
    <s v="CUST565"/>
    <x v="1"/>
    <n v="45"/>
    <x v="0"/>
    <x v="1"/>
    <n v="2"/>
    <x v="3"/>
    <n v="30"/>
    <n v="60"/>
  </r>
  <r>
    <n v="851"/>
    <d v="2023-11-07T00:00:00"/>
    <x v="10"/>
    <n v="11"/>
    <x v="0"/>
    <s v="CUST761"/>
    <x v="1"/>
    <n v="33"/>
    <x v="3"/>
    <x v="0"/>
    <n v="1"/>
    <x v="2"/>
    <n v="500"/>
    <n v="500"/>
  </r>
  <r>
    <n v="852"/>
    <d v="2023-11-07T00:00:00"/>
    <x v="10"/>
    <n v="11"/>
    <x v="0"/>
    <s v="CUST762"/>
    <x v="1"/>
    <n v="24"/>
    <x v="3"/>
    <x v="2"/>
    <n v="2"/>
    <x v="3"/>
    <n v="25"/>
    <n v="50"/>
  </r>
  <r>
    <n v="853"/>
    <d v="2023-11-07T00:00:00"/>
    <x v="10"/>
    <n v="11"/>
    <x v="0"/>
    <s v="CUST950"/>
    <x v="0"/>
    <n v="36"/>
    <x v="0"/>
    <x v="0"/>
    <n v="3"/>
    <x v="0"/>
    <n v="300"/>
    <n v="900"/>
  </r>
  <r>
    <n v="854"/>
    <d v="2023-11-08T00:00:00"/>
    <x v="10"/>
    <n v="11"/>
    <x v="0"/>
    <s v="CUST086"/>
    <x v="0"/>
    <n v="19"/>
    <x v="3"/>
    <x v="1"/>
    <n v="3"/>
    <x v="0"/>
    <n v="30"/>
    <n v="90"/>
  </r>
  <r>
    <n v="855"/>
    <d v="2023-11-08T00:00:00"/>
    <x v="10"/>
    <n v="11"/>
    <x v="0"/>
    <s v="CUST173"/>
    <x v="0"/>
    <n v="64"/>
    <x v="2"/>
    <x v="2"/>
    <n v="4"/>
    <x v="1"/>
    <n v="30"/>
    <n v="120"/>
  </r>
  <r>
    <n v="856"/>
    <d v="2023-11-09T00:00:00"/>
    <x v="10"/>
    <n v="11"/>
    <x v="0"/>
    <s v="CUST595"/>
    <x v="1"/>
    <n v="18"/>
    <x v="4"/>
    <x v="0"/>
    <n v="4"/>
    <x v="1"/>
    <n v="500"/>
    <n v="2000"/>
  </r>
  <r>
    <n v="857"/>
    <d v="2023-11-09T00:00:00"/>
    <x v="10"/>
    <n v="11"/>
    <x v="0"/>
    <s v="CUST827"/>
    <x v="0"/>
    <n v="61"/>
    <x v="2"/>
    <x v="1"/>
    <n v="3"/>
    <x v="0"/>
    <n v="300"/>
    <n v="900"/>
  </r>
  <r>
    <n v="858"/>
    <d v="2023-11-09T00:00:00"/>
    <x v="10"/>
    <n v="11"/>
    <x v="0"/>
    <s v="CUST965"/>
    <x v="0"/>
    <n v="22"/>
    <x v="3"/>
    <x v="0"/>
    <n v="4"/>
    <x v="1"/>
    <n v="50"/>
    <n v="200"/>
  </r>
  <r>
    <n v="859"/>
    <d v="2023-11-10T00:00:00"/>
    <x v="10"/>
    <n v="11"/>
    <x v="0"/>
    <s v="CUST388"/>
    <x v="0"/>
    <n v="50"/>
    <x v="1"/>
    <x v="2"/>
    <n v="1"/>
    <x v="2"/>
    <n v="25"/>
    <n v="25"/>
  </r>
  <r>
    <n v="860"/>
    <d v="2023-11-10T00:00:00"/>
    <x v="10"/>
    <n v="11"/>
    <x v="0"/>
    <s v="CUST631"/>
    <x v="0"/>
    <n v="56"/>
    <x v="2"/>
    <x v="2"/>
    <n v="3"/>
    <x v="0"/>
    <n v="30"/>
    <n v="90"/>
  </r>
  <r>
    <n v="861"/>
    <d v="2023-11-12T00:00:00"/>
    <x v="10"/>
    <n v="11"/>
    <x v="0"/>
    <s v="CUST554"/>
    <x v="1"/>
    <n v="46"/>
    <x v="1"/>
    <x v="1"/>
    <n v="3"/>
    <x v="0"/>
    <n v="50"/>
    <n v="150"/>
  </r>
  <r>
    <n v="862"/>
    <d v="2023-11-12T00:00:00"/>
    <x v="10"/>
    <n v="11"/>
    <x v="0"/>
    <s v="CUST812"/>
    <x v="0"/>
    <n v="19"/>
    <x v="3"/>
    <x v="2"/>
    <n v="3"/>
    <x v="0"/>
    <n v="25"/>
    <n v="75"/>
  </r>
  <r>
    <n v="863"/>
    <d v="2023-11-13T00:00:00"/>
    <x v="10"/>
    <n v="11"/>
    <x v="0"/>
    <s v="CUST058"/>
    <x v="0"/>
    <n v="18"/>
    <x v="4"/>
    <x v="0"/>
    <n v="4"/>
    <x v="1"/>
    <n v="300"/>
    <n v="1200"/>
  </r>
  <r>
    <n v="864"/>
    <d v="2023-11-13T00:00:00"/>
    <x v="10"/>
    <n v="11"/>
    <x v="0"/>
    <s v="CUST952"/>
    <x v="1"/>
    <n v="57"/>
    <x v="2"/>
    <x v="0"/>
    <n v="1"/>
    <x v="2"/>
    <n v="25"/>
    <n v="25"/>
  </r>
  <r>
    <n v="865"/>
    <d v="2023-11-14T00:00:00"/>
    <x v="10"/>
    <n v="11"/>
    <x v="0"/>
    <s v="CUST345"/>
    <x v="0"/>
    <n v="62"/>
    <x v="2"/>
    <x v="2"/>
    <n v="1"/>
    <x v="2"/>
    <n v="30"/>
    <n v="30"/>
  </r>
  <r>
    <n v="866"/>
    <d v="2023-11-14T00:00:00"/>
    <x v="10"/>
    <n v="11"/>
    <x v="0"/>
    <s v="CUST458"/>
    <x v="1"/>
    <n v="39"/>
    <x v="0"/>
    <x v="2"/>
    <n v="4"/>
    <x v="1"/>
    <n v="25"/>
    <n v="100"/>
  </r>
  <r>
    <n v="867"/>
    <d v="2023-11-14T00:00:00"/>
    <x v="10"/>
    <n v="11"/>
    <x v="0"/>
    <s v="CUST582"/>
    <x v="0"/>
    <n v="35"/>
    <x v="0"/>
    <x v="0"/>
    <n v="3"/>
    <x v="0"/>
    <n v="300"/>
    <n v="900"/>
  </r>
  <r>
    <n v="868"/>
    <d v="2023-11-14T00:00:00"/>
    <x v="10"/>
    <n v="11"/>
    <x v="0"/>
    <s v="CUST963"/>
    <x v="1"/>
    <n v="55"/>
    <x v="1"/>
    <x v="1"/>
    <n v="1"/>
    <x v="2"/>
    <n v="50"/>
    <n v="50"/>
  </r>
  <r>
    <n v="869"/>
    <d v="2023-11-15T00:00:00"/>
    <x v="10"/>
    <n v="11"/>
    <x v="0"/>
    <s v="CUST369"/>
    <x v="0"/>
    <n v="23"/>
    <x v="3"/>
    <x v="2"/>
    <n v="3"/>
    <x v="0"/>
    <n v="500"/>
    <n v="1500"/>
  </r>
  <r>
    <n v="870"/>
    <d v="2023-11-15T00:00:00"/>
    <x v="10"/>
    <n v="11"/>
    <x v="0"/>
    <s v="CUST706"/>
    <x v="0"/>
    <n v="51"/>
    <x v="1"/>
    <x v="2"/>
    <n v="4"/>
    <x v="1"/>
    <n v="25"/>
    <n v="100"/>
  </r>
  <r>
    <n v="871"/>
    <d v="2023-11-15T00:00:00"/>
    <x v="10"/>
    <n v="11"/>
    <x v="0"/>
    <s v="CUST747"/>
    <x v="0"/>
    <n v="23"/>
    <x v="3"/>
    <x v="1"/>
    <n v="1"/>
    <x v="2"/>
    <n v="30"/>
    <n v="30"/>
  </r>
  <r>
    <n v="872"/>
    <d v="2023-11-16T00:00:00"/>
    <x v="10"/>
    <n v="11"/>
    <x v="0"/>
    <s v="CUST533"/>
    <x v="0"/>
    <n v="19"/>
    <x v="3"/>
    <x v="2"/>
    <n v="3"/>
    <x v="0"/>
    <n v="500"/>
    <n v="1500"/>
  </r>
  <r>
    <n v="873"/>
    <d v="2023-11-17T00:00:00"/>
    <x v="10"/>
    <n v="11"/>
    <x v="0"/>
    <s v="CUST169"/>
    <x v="0"/>
    <n v="18"/>
    <x v="4"/>
    <x v="1"/>
    <n v="3"/>
    <x v="0"/>
    <n v="500"/>
    <n v="1500"/>
  </r>
  <r>
    <n v="874"/>
    <d v="2023-11-17T00:00:00"/>
    <x v="10"/>
    <n v="11"/>
    <x v="0"/>
    <s v="CUST645"/>
    <x v="1"/>
    <n v="35"/>
    <x v="0"/>
    <x v="2"/>
    <n v="4"/>
    <x v="1"/>
    <n v="30"/>
    <n v="120"/>
  </r>
  <r>
    <n v="875"/>
    <d v="2023-11-17T00:00:00"/>
    <x v="10"/>
    <n v="11"/>
    <x v="0"/>
    <s v="CUST968"/>
    <x v="1"/>
    <n v="48"/>
    <x v="1"/>
    <x v="0"/>
    <n v="3"/>
    <x v="0"/>
    <n v="300"/>
    <n v="900"/>
  </r>
  <r>
    <n v="876"/>
    <d v="2023-11-17T00:00:00"/>
    <x v="10"/>
    <n v="11"/>
    <x v="0"/>
    <s v="CUST997"/>
    <x v="0"/>
    <n v="52"/>
    <x v="1"/>
    <x v="1"/>
    <n v="3"/>
    <x v="0"/>
    <n v="30"/>
    <n v="90"/>
  </r>
  <r>
    <n v="877"/>
    <d v="2023-11-18T00:00:00"/>
    <x v="10"/>
    <n v="11"/>
    <x v="0"/>
    <s v="CUST057"/>
    <x v="1"/>
    <n v="63"/>
    <x v="2"/>
    <x v="1"/>
    <n v="1"/>
    <x v="2"/>
    <n v="30"/>
    <n v="30"/>
  </r>
  <r>
    <n v="878"/>
    <d v="2023-11-18T00:00:00"/>
    <x v="10"/>
    <n v="11"/>
    <x v="0"/>
    <s v="CUST137"/>
    <x v="0"/>
    <n v="46"/>
    <x v="1"/>
    <x v="1"/>
    <n v="2"/>
    <x v="3"/>
    <n v="500"/>
    <n v="1000"/>
  </r>
  <r>
    <n v="879"/>
    <d v="2023-11-18T00:00:00"/>
    <x v="10"/>
    <n v="11"/>
    <x v="0"/>
    <s v="CUST778"/>
    <x v="1"/>
    <n v="47"/>
    <x v="1"/>
    <x v="1"/>
    <n v="4"/>
    <x v="1"/>
    <n v="25"/>
    <n v="100"/>
  </r>
  <r>
    <n v="880"/>
    <d v="2023-11-19T00:00:00"/>
    <x v="10"/>
    <n v="11"/>
    <x v="0"/>
    <s v="CUST599"/>
    <x v="1"/>
    <n v="28"/>
    <x v="3"/>
    <x v="1"/>
    <n v="2"/>
    <x v="3"/>
    <n v="50"/>
    <n v="100"/>
  </r>
  <r>
    <n v="881"/>
    <d v="2023-11-19T00:00:00"/>
    <x v="10"/>
    <n v="11"/>
    <x v="0"/>
    <s v="CUST938"/>
    <x v="0"/>
    <n v="49"/>
    <x v="1"/>
    <x v="0"/>
    <n v="4"/>
    <x v="1"/>
    <n v="50"/>
    <n v="200"/>
  </r>
  <r>
    <n v="882"/>
    <d v="2023-11-20T00:00:00"/>
    <x v="10"/>
    <n v="11"/>
    <x v="0"/>
    <s v="CUST234"/>
    <x v="1"/>
    <n v="62"/>
    <x v="2"/>
    <x v="2"/>
    <n v="2"/>
    <x v="3"/>
    <n v="25"/>
    <n v="50"/>
  </r>
  <r>
    <n v="883"/>
    <d v="2023-11-21T00:00:00"/>
    <x v="10"/>
    <n v="11"/>
    <x v="0"/>
    <s v="CUST410"/>
    <x v="1"/>
    <n v="29"/>
    <x v="3"/>
    <x v="0"/>
    <n v="2"/>
    <x v="3"/>
    <n v="50"/>
    <n v="100"/>
  </r>
  <r>
    <n v="884"/>
    <d v="2023-11-21T00:00:00"/>
    <x v="10"/>
    <n v="11"/>
    <x v="0"/>
    <s v="CUST417"/>
    <x v="0"/>
    <n v="43"/>
    <x v="0"/>
    <x v="2"/>
    <n v="3"/>
    <x v="0"/>
    <n v="300"/>
    <n v="900"/>
  </r>
  <r>
    <n v="885"/>
    <d v="2023-11-21T00:00:00"/>
    <x v="10"/>
    <n v="11"/>
    <x v="0"/>
    <s v="CUST581"/>
    <x v="1"/>
    <n v="48"/>
    <x v="1"/>
    <x v="1"/>
    <n v="2"/>
    <x v="3"/>
    <n v="30"/>
    <n v="60"/>
  </r>
  <r>
    <n v="886"/>
    <d v="2023-11-22T00:00:00"/>
    <x v="10"/>
    <n v="11"/>
    <x v="0"/>
    <s v="CUST074"/>
    <x v="1"/>
    <n v="18"/>
    <x v="4"/>
    <x v="1"/>
    <n v="4"/>
    <x v="1"/>
    <n v="500"/>
    <n v="2000"/>
  </r>
  <r>
    <n v="887"/>
    <d v="2023-11-22T00:00:00"/>
    <x v="10"/>
    <n v="11"/>
    <x v="0"/>
    <s v="CUST087"/>
    <x v="1"/>
    <n v="28"/>
    <x v="3"/>
    <x v="1"/>
    <n v="2"/>
    <x v="3"/>
    <n v="50"/>
    <n v="100"/>
  </r>
  <r>
    <n v="888"/>
    <d v="2023-11-22T00:00:00"/>
    <x v="10"/>
    <n v="11"/>
    <x v="0"/>
    <s v="CUST803"/>
    <x v="0"/>
    <n v="39"/>
    <x v="0"/>
    <x v="0"/>
    <n v="4"/>
    <x v="1"/>
    <n v="25"/>
    <n v="100"/>
  </r>
  <r>
    <n v="889"/>
    <d v="2023-11-23T00:00:00"/>
    <x v="10"/>
    <n v="11"/>
    <x v="0"/>
    <s v="CUST424"/>
    <x v="0"/>
    <n v="57"/>
    <x v="2"/>
    <x v="1"/>
    <n v="4"/>
    <x v="1"/>
    <n v="300"/>
    <n v="1200"/>
  </r>
  <r>
    <n v="890"/>
    <d v="2023-11-23T00:00:00"/>
    <x v="10"/>
    <n v="11"/>
    <x v="0"/>
    <s v="CUST641"/>
    <x v="1"/>
    <n v="40"/>
    <x v="0"/>
    <x v="2"/>
    <n v="1"/>
    <x v="2"/>
    <n v="300"/>
    <n v="300"/>
  </r>
  <r>
    <n v="891"/>
    <d v="2023-11-23T00:00:00"/>
    <x v="10"/>
    <n v="11"/>
    <x v="0"/>
    <s v="CUST918"/>
    <x v="1"/>
    <n v="42"/>
    <x v="0"/>
    <x v="2"/>
    <n v="3"/>
    <x v="0"/>
    <n v="30"/>
    <n v="90"/>
  </r>
  <r>
    <n v="892"/>
    <d v="2023-11-24T00:00:00"/>
    <x v="10"/>
    <n v="11"/>
    <x v="0"/>
    <s v="CUST001"/>
    <x v="0"/>
    <n v="34"/>
    <x v="3"/>
    <x v="1"/>
    <n v="3"/>
    <x v="0"/>
    <n v="50"/>
    <n v="150"/>
  </r>
  <r>
    <n v="893"/>
    <d v="2023-11-24T00:00:00"/>
    <x v="10"/>
    <n v="11"/>
    <x v="0"/>
    <s v="CUST095"/>
    <x v="1"/>
    <n v="32"/>
    <x v="3"/>
    <x v="0"/>
    <n v="2"/>
    <x v="3"/>
    <n v="30"/>
    <n v="60"/>
  </r>
  <r>
    <n v="894"/>
    <d v="2023-11-24T00:00:00"/>
    <x v="10"/>
    <n v="11"/>
    <x v="0"/>
    <s v="CUST171"/>
    <x v="1"/>
    <n v="52"/>
    <x v="1"/>
    <x v="0"/>
    <n v="3"/>
    <x v="0"/>
    <n v="300"/>
    <n v="900"/>
  </r>
  <r>
    <n v="895"/>
    <d v="2023-11-25T00:00:00"/>
    <x v="10"/>
    <n v="11"/>
    <x v="0"/>
    <s v="CUST156"/>
    <x v="1"/>
    <n v="43"/>
    <x v="0"/>
    <x v="0"/>
    <n v="4"/>
    <x v="1"/>
    <n v="25"/>
    <n v="100"/>
  </r>
  <r>
    <n v="896"/>
    <d v="2023-11-25T00:00:00"/>
    <x v="10"/>
    <n v="11"/>
    <x v="0"/>
    <s v="CUST493"/>
    <x v="0"/>
    <n v="41"/>
    <x v="0"/>
    <x v="1"/>
    <n v="2"/>
    <x v="3"/>
    <n v="25"/>
    <n v="50"/>
  </r>
  <r>
    <n v="897"/>
    <d v="2023-11-26T00:00:00"/>
    <x v="10"/>
    <n v="11"/>
    <x v="0"/>
    <s v="CUST115"/>
    <x v="0"/>
    <n v="51"/>
    <x v="1"/>
    <x v="0"/>
    <n v="3"/>
    <x v="0"/>
    <n v="500"/>
    <n v="1500"/>
  </r>
  <r>
    <n v="898"/>
    <d v="2023-11-26T00:00:00"/>
    <x v="10"/>
    <n v="11"/>
    <x v="0"/>
    <s v="CUST715"/>
    <x v="1"/>
    <n v="42"/>
    <x v="0"/>
    <x v="1"/>
    <n v="4"/>
    <x v="1"/>
    <n v="25"/>
    <n v="100"/>
  </r>
  <r>
    <n v="899"/>
    <d v="2023-11-27T00:00:00"/>
    <x v="10"/>
    <n v="11"/>
    <x v="0"/>
    <s v="CUST267"/>
    <x v="1"/>
    <n v="32"/>
    <x v="3"/>
    <x v="1"/>
    <n v="3"/>
    <x v="0"/>
    <n v="30"/>
    <n v="90"/>
  </r>
  <r>
    <n v="900"/>
    <d v="2023-11-27T00:00:00"/>
    <x v="10"/>
    <n v="11"/>
    <x v="0"/>
    <s v="CUST362"/>
    <x v="0"/>
    <n v="50"/>
    <x v="1"/>
    <x v="0"/>
    <n v="1"/>
    <x v="2"/>
    <n v="25"/>
    <n v="25"/>
  </r>
  <r>
    <n v="901"/>
    <d v="2023-11-27T00:00:00"/>
    <x v="10"/>
    <n v="11"/>
    <x v="0"/>
    <s v="CUST856"/>
    <x v="0"/>
    <n v="54"/>
    <x v="1"/>
    <x v="2"/>
    <n v="4"/>
    <x v="1"/>
    <n v="30"/>
    <n v="120"/>
  </r>
  <r>
    <n v="902"/>
    <d v="2023-11-28T00:00:00"/>
    <x v="10"/>
    <n v="11"/>
    <x v="0"/>
    <s v="CUST084"/>
    <x v="1"/>
    <n v="38"/>
    <x v="0"/>
    <x v="2"/>
    <n v="3"/>
    <x v="0"/>
    <n v="30"/>
    <n v="90"/>
  </r>
  <r>
    <n v="903"/>
    <d v="2023-11-28T00:00:00"/>
    <x v="10"/>
    <n v="11"/>
    <x v="0"/>
    <s v="CUST795"/>
    <x v="0"/>
    <n v="57"/>
    <x v="2"/>
    <x v="2"/>
    <n v="1"/>
    <x v="2"/>
    <n v="300"/>
    <n v="300"/>
  </r>
  <r>
    <n v="904"/>
    <d v="2023-11-29T00:00:00"/>
    <x v="10"/>
    <n v="11"/>
    <x v="0"/>
    <s v="CUST024"/>
    <x v="1"/>
    <n v="49"/>
    <x v="1"/>
    <x v="0"/>
    <n v="1"/>
    <x v="2"/>
    <n v="300"/>
    <n v="300"/>
  </r>
  <r>
    <n v="905"/>
    <d v="2023-11-29T00:00:00"/>
    <x v="10"/>
    <n v="11"/>
    <x v="0"/>
    <s v="CUST215"/>
    <x v="0"/>
    <n v="58"/>
    <x v="2"/>
    <x v="0"/>
    <n v="3"/>
    <x v="0"/>
    <n v="500"/>
    <n v="1500"/>
  </r>
  <r>
    <n v="906"/>
    <d v="2023-11-29T00:00:00"/>
    <x v="10"/>
    <n v="11"/>
    <x v="0"/>
    <s v="CUST739"/>
    <x v="0"/>
    <n v="36"/>
    <x v="0"/>
    <x v="1"/>
    <n v="1"/>
    <x v="2"/>
    <n v="25"/>
    <n v="25"/>
  </r>
  <r>
    <n v="907"/>
    <d v="2023-11-30T00:00:00"/>
    <x v="10"/>
    <n v="11"/>
    <x v="0"/>
    <s v="CUST289"/>
    <x v="0"/>
    <n v="53"/>
    <x v="1"/>
    <x v="2"/>
    <n v="2"/>
    <x v="3"/>
    <n v="30"/>
    <n v="60"/>
  </r>
  <r>
    <n v="908"/>
    <d v="2023-11-30T00:00:00"/>
    <x v="10"/>
    <n v="11"/>
    <x v="0"/>
    <s v="CUST741"/>
    <x v="0"/>
    <n v="48"/>
    <x v="1"/>
    <x v="0"/>
    <n v="1"/>
    <x v="2"/>
    <n v="300"/>
    <n v="300"/>
  </r>
  <r>
    <n v="909"/>
    <d v="2023-11-30T00:00:00"/>
    <x v="10"/>
    <n v="11"/>
    <x v="0"/>
    <s v="CUST810"/>
    <x v="0"/>
    <n v="59"/>
    <x v="2"/>
    <x v="2"/>
    <n v="4"/>
    <x v="1"/>
    <n v="25"/>
    <n v="100"/>
  </r>
  <r>
    <n v="910"/>
    <d v="2023-12-01T00:00:00"/>
    <x v="11"/>
    <n v="12"/>
    <x v="0"/>
    <s v="CUST266"/>
    <x v="1"/>
    <n v="19"/>
    <x v="3"/>
    <x v="2"/>
    <n v="2"/>
    <x v="3"/>
    <n v="30"/>
    <n v="60"/>
  </r>
  <r>
    <n v="911"/>
    <d v="2023-12-01T00:00:00"/>
    <x v="11"/>
    <n v="12"/>
    <x v="0"/>
    <s v="CUST389"/>
    <x v="0"/>
    <n v="21"/>
    <x v="3"/>
    <x v="0"/>
    <n v="2"/>
    <x v="3"/>
    <n v="25"/>
    <n v="50"/>
  </r>
  <r>
    <n v="912"/>
    <d v="2023-12-02T00:00:00"/>
    <x v="11"/>
    <n v="12"/>
    <x v="0"/>
    <s v="CUST112"/>
    <x v="0"/>
    <n v="37"/>
    <x v="0"/>
    <x v="0"/>
    <n v="3"/>
    <x v="0"/>
    <n v="500"/>
    <n v="1500"/>
  </r>
  <r>
    <n v="913"/>
    <d v="2023-12-02T00:00:00"/>
    <x v="11"/>
    <n v="12"/>
    <x v="0"/>
    <s v="CUST566"/>
    <x v="1"/>
    <n v="64"/>
    <x v="2"/>
    <x v="0"/>
    <n v="1"/>
    <x v="2"/>
    <n v="30"/>
    <n v="30"/>
  </r>
  <r>
    <n v="914"/>
    <d v="2023-12-02T00:00:00"/>
    <x v="11"/>
    <n v="12"/>
    <x v="0"/>
    <s v="CUST608"/>
    <x v="1"/>
    <n v="55"/>
    <x v="1"/>
    <x v="2"/>
    <n v="3"/>
    <x v="0"/>
    <n v="500"/>
    <n v="1500"/>
  </r>
  <r>
    <n v="915"/>
    <d v="2023-12-03T00:00:00"/>
    <x v="11"/>
    <n v="12"/>
    <x v="0"/>
    <s v="CUST348"/>
    <x v="1"/>
    <n v="35"/>
    <x v="0"/>
    <x v="2"/>
    <n v="2"/>
    <x v="3"/>
    <n v="300"/>
    <n v="600"/>
  </r>
  <r>
    <n v="916"/>
    <d v="2023-12-04T00:00:00"/>
    <x v="11"/>
    <n v="12"/>
    <x v="0"/>
    <s v="CUST199"/>
    <x v="0"/>
    <n v="45"/>
    <x v="0"/>
    <x v="1"/>
    <n v="3"/>
    <x v="0"/>
    <n v="500"/>
    <n v="1500"/>
  </r>
  <r>
    <n v="917"/>
    <d v="2023-12-04T00:00:00"/>
    <x v="11"/>
    <n v="12"/>
    <x v="0"/>
    <s v="CUST258"/>
    <x v="1"/>
    <n v="37"/>
    <x v="0"/>
    <x v="0"/>
    <n v="1"/>
    <x v="2"/>
    <n v="50"/>
    <n v="50"/>
  </r>
  <r>
    <n v="918"/>
    <d v="2023-12-04T00:00:00"/>
    <x v="11"/>
    <n v="12"/>
    <x v="0"/>
    <s v="CUST485"/>
    <x v="0"/>
    <n v="24"/>
    <x v="3"/>
    <x v="2"/>
    <n v="1"/>
    <x v="2"/>
    <n v="30"/>
    <n v="30"/>
  </r>
  <r>
    <n v="919"/>
    <d v="2023-12-04T00:00:00"/>
    <x v="11"/>
    <n v="12"/>
    <x v="0"/>
    <s v="CUST576"/>
    <x v="1"/>
    <n v="33"/>
    <x v="3"/>
    <x v="1"/>
    <n v="3"/>
    <x v="0"/>
    <n v="50"/>
    <n v="150"/>
  </r>
  <r>
    <n v="920"/>
    <d v="2023-12-05T00:00:00"/>
    <x v="11"/>
    <n v="12"/>
    <x v="0"/>
    <s v="CUST065"/>
    <x v="0"/>
    <n v="51"/>
    <x v="1"/>
    <x v="2"/>
    <n v="4"/>
    <x v="1"/>
    <n v="500"/>
    <n v="2000"/>
  </r>
  <r>
    <n v="921"/>
    <d v="2023-12-05T00:00:00"/>
    <x v="11"/>
    <n v="12"/>
    <x v="0"/>
    <s v="CUST311"/>
    <x v="1"/>
    <n v="32"/>
    <x v="3"/>
    <x v="1"/>
    <n v="4"/>
    <x v="1"/>
    <n v="25"/>
    <n v="100"/>
  </r>
  <r>
    <n v="922"/>
    <d v="2023-12-05T00:00:00"/>
    <x v="11"/>
    <n v="12"/>
    <x v="0"/>
    <s v="CUST791"/>
    <x v="1"/>
    <n v="51"/>
    <x v="1"/>
    <x v="1"/>
    <n v="1"/>
    <x v="2"/>
    <n v="25"/>
    <n v="25"/>
  </r>
  <r>
    <n v="923"/>
    <d v="2023-12-05T00:00:00"/>
    <x v="11"/>
    <n v="12"/>
    <x v="0"/>
    <s v="CUST971"/>
    <x v="1"/>
    <n v="27"/>
    <x v="3"/>
    <x v="2"/>
    <n v="4"/>
    <x v="1"/>
    <n v="50"/>
    <n v="200"/>
  </r>
  <r>
    <n v="924"/>
    <d v="2023-12-05T00:00:00"/>
    <x v="11"/>
    <n v="12"/>
    <x v="0"/>
    <s v="CUST999"/>
    <x v="1"/>
    <n v="36"/>
    <x v="0"/>
    <x v="2"/>
    <n v="3"/>
    <x v="0"/>
    <n v="50"/>
    <n v="150"/>
  </r>
  <r>
    <n v="925"/>
    <d v="2023-12-06T00:00:00"/>
    <x v="11"/>
    <n v="12"/>
    <x v="0"/>
    <s v="CUST395"/>
    <x v="0"/>
    <n v="50"/>
    <x v="1"/>
    <x v="2"/>
    <n v="2"/>
    <x v="3"/>
    <n v="500"/>
    <n v="1000"/>
  </r>
  <r>
    <n v="926"/>
    <d v="2023-12-06T00:00:00"/>
    <x v="11"/>
    <n v="12"/>
    <x v="0"/>
    <s v="CUST535"/>
    <x v="0"/>
    <n v="47"/>
    <x v="1"/>
    <x v="1"/>
    <n v="3"/>
    <x v="0"/>
    <n v="30"/>
    <n v="90"/>
  </r>
  <r>
    <n v="927"/>
    <d v="2023-12-06T00:00:00"/>
    <x v="11"/>
    <n v="12"/>
    <x v="0"/>
    <s v="CUST580"/>
    <x v="1"/>
    <n v="31"/>
    <x v="3"/>
    <x v="0"/>
    <n v="3"/>
    <x v="0"/>
    <n v="500"/>
    <n v="1500"/>
  </r>
  <r>
    <n v="928"/>
    <d v="2023-12-06T00:00:00"/>
    <x v="11"/>
    <n v="12"/>
    <x v="0"/>
    <s v="CUST712"/>
    <x v="1"/>
    <n v="57"/>
    <x v="2"/>
    <x v="1"/>
    <n v="2"/>
    <x v="3"/>
    <n v="25"/>
    <n v="50"/>
  </r>
  <r>
    <n v="929"/>
    <d v="2023-12-06T00:00:00"/>
    <x v="11"/>
    <n v="12"/>
    <x v="0"/>
    <s v="CUST868"/>
    <x v="1"/>
    <n v="25"/>
    <x v="3"/>
    <x v="2"/>
    <n v="1"/>
    <x v="2"/>
    <n v="300"/>
    <n v="300"/>
  </r>
  <r>
    <n v="930"/>
    <d v="2023-12-07T00:00:00"/>
    <x v="11"/>
    <n v="12"/>
    <x v="0"/>
    <s v="CUST531"/>
    <x v="0"/>
    <n v="31"/>
    <x v="3"/>
    <x v="2"/>
    <n v="1"/>
    <x v="2"/>
    <n v="500"/>
    <n v="500"/>
  </r>
  <r>
    <n v="931"/>
    <d v="2023-12-07T00:00:00"/>
    <x v="11"/>
    <n v="12"/>
    <x v="0"/>
    <s v="CUST550"/>
    <x v="0"/>
    <n v="40"/>
    <x v="0"/>
    <x v="0"/>
    <n v="3"/>
    <x v="0"/>
    <n v="300"/>
    <n v="900"/>
  </r>
  <r>
    <n v="932"/>
    <d v="2023-12-08T00:00:00"/>
    <x v="11"/>
    <n v="12"/>
    <x v="0"/>
    <s v="CUST392"/>
    <x v="0"/>
    <n v="27"/>
    <x v="3"/>
    <x v="0"/>
    <n v="2"/>
    <x v="3"/>
    <n v="300"/>
    <n v="600"/>
  </r>
  <r>
    <n v="933"/>
    <d v="2023-12-08T00:00:00"/>
    <x v="11"/>
    <n v="12"/>
    <x v="0"/>
    <s v="CUST453"/>
    <x v="1"/>
    <n v="26"/>
    <x v="3"/>
    <x v="0"/>
    <n v="2"/>
    <x v="3"/>
    <n v="500"/>
    <n v="1000"/>
  </r>
  <r>
    <n v="934"/>
    <d v="2023-12-08T00:00:00"/>
    <x v="11"/>
    <n v="12"/>
    <x v="0"/>
    <s v="CUST540"/>
    <x v="1"/>
    <n v="46"/>
    <x v="1"/>
    <x v="2"/>
    <n v="3"/>
    <x v="0"/>
    <n v="300"/>
    <n v="900"/>
  </r>
  <r>
    <n v="935"/>
    <d v="2023-12-08T00:00:00"/>
    <x v="11"/>
    <n v="12"/>
    <x v="0"/>
    <s v="CUST625"/>
    <x v="0"/>
    <n v="31"/>
    <x v="3"/>
    <x v="0"/>
    <n v="1"/>
    <x v="2"/>
    <n v="300"/>
    <n v="300"/>
  </r>
  <r>
    <n v="936"/>
    <d v="2023-12-09T00:00:00"/>
    <x v="11"/>
    <n v="12"/>
    <x v="0"/>
    <s v="CUST244"/>
    <x v="0"/>
    <n v="28"/>
    <x v="3"/>
    <x v="1"/>
    <n v="2"/>
    <x v="3"/>
    <n v="50"/>
    <n v="100"/>
  </r>
  <r>
    <n v="937"/>
    <d v="2023-12-09T00:00:00"/>
    <x v="11"/>
    <n v="12"/>
    <x v="0"/>
    <s v="CUST355"/>
    <x v="1"/>
    <n v="55"/>
    <x v="1"/>
    <x v="2"/>
    <n v="1"/>
    <x v="2"/>
    <n v="500"/>
    <n v="500"/>
  </r>
  <r>
    <n v="938"/>
    <d v="2023-12-09T00:00:00"/>
    <x v="11"/>
    <n v="12"/>
    <x v="0"/>
    <s v="CUST468"/>
    <x v="0"/>
    <n v="40"/>
    <x v="0"/>
    <x v="2"/>
    <n v="1"/>
    <x v="2"/>
    <n v="25"/>
    <n v="25"/>
  </r>
  <r>
    <n v="939"/>
    <d v="2023-12-09T00:00:00"/>
    <x v="11"/>
    <n v="12"/>
    <x v="0"/>
    <s v="CUST700"/>
    <x v="0"/>
    <n v="36"/>
    <x v="0"/>
    <x v="2"/>
    <n v="4"/>
    <x v="1"/>
    <n v="500"/>
    <n v="2000"/>
  </r>
  <r>
    <n v="940"/>
    <d v="2023-12-09T00:00:00"/>
    <x v="11"/>
    <n v="12"/>
    <x v="0"/>
    <s v="CUST752"/>
    <x v="0"/>
    <n v="29"/>
    <x v="3"/>
    <x v="0"/>
    <n v="2"/>
    <x v="3"/>
    <n v="50"/>
    <n v="100"/>
  </r>
  <r>
    <n v="941"/>
    <d v="2023-12-09T00:00:00"/>
    <x v="11"/>
    <n v="12"/>
    <x v="0"/>
    <s v="CUST828"/>
    <x v="1"/>
    <n v="33"/>
    <x v="3"/>
    <x v="2"/>
    <n v="4"/>
    <x v="1"/>
    <n v="300"/>
    <n v="1200"/>
  </r>
  <r>
    <n v="942"/>
    <d v="2023-12-10T00:00:00"/>
    <x v="11"/>
    <n v="12"/>
    <x v="0"/>
    <s v="CUST080"/>
    <x v="1"/>
    <n v="64"/>
    <x v="2"/>
    <x v="0"/>
    <n v="2"/>
    <x v="3"/>
    <n v="30"/>
    <n v="60"/>
  </r>
  <r>
    <n v="943"/>
    <d v="2023-12-10T00:00:00"/>
    <x v="11"/>
    <n v="12"/>
    <x v="0"/>
    <s v="CUST214"/>
    <x v="0"/>
    <n v="20"/>
    <x v="3"/>
    <x v="1"/>
    <n v="2"/>
    <x v="3"/>
    <n v="30"/>
    <n v="60"/>
  </r>
  <r>
    <n v="944"/>
    <d v="2023-12-10T00:00:00"/>
    <x v="11"/>
    <n v="12"/>
    <x v="0"/>
    <s v="CUST361"/>
    <x v="1"/>
    <n v="34"/>
    <x v="3"/>
    <x v="2"/>
    <n v="4"/>
    <x v="1"/>
    <n v="300"/>
    <n v="1200"/>
  </r>
  <r>
    <n v="945"/>
    <d v="2023-12-10T00:00:00"/>
    <x v="11"/>
    <n v="12"/>
    <x v="0"/>
    <s v="CUST526"/>
    <x v="0"/>
    <n v="33"/>
    <x v="3"/>
    <x v="0"/>
    <n v="2"/>
    <x v="3"/>
    <n v="50"/>
    <n v="100"/>
  </r>
  <r>
    <n v="946"/>
    <d v="2023-12-11T00:00:00"/>
    <x v="11"/>
    <n v="12"/>
    <x v="0"/>
    <s v="CUST265"/>
    <x v="0"/>
    <n v="55"/>
    <x v="1"/>
    <x v="0"/>
    <n v="3"/>
    <x v="0"/>
    <n v="300"/>
    <n v="900"/>
  </r>
  <r>
    <n v="947"/>
    <d v="2023-12-11T00:00:00"/>
    <x v="11"/>
    <n v="12"/>
    <x v="0"/>
    <s v="CUST586"/>
    <x v="0"/>
    <n v="50"/>
    <x v="1"/>
    <x v="2"/>
    <n v="1"/>
    <x v="2"/>
    <n v="50"/>
    <n v="50"/>
  </r>
  <r>
    <n v="948"/>
    <d v="2023-12-12T00:00:00"/>
    <x v="11"/>
    <n v="12"/>
    <x v="0"/>
    <s v="CUST336"/>
    <x v="1"/>
    <n v="52"/>
    <x v="1"/>
    <x v="1"/>
    <n v="3"/>
    <x v="0"/>
    <n v="50"/>
    <n v="150"/>
  </r>
  <r>
    <n v="949"/>
    <d v="2023-12-12T00:00:00"/>
    <x v="11"/>
    <n v="12"/>
    <x v="0"/>
    <s v="CUST571"/>
    <x v="1"/>
    <n v="41"/>
    <x v="0"/>
    <x v="2"/>
    <n v="1"/>
    <x v="2"/>
    <n v="50"/>
    <n v="50"/>
  </r>
  <r>
    <n v="950"/>
    <d v="2023-12-13T00:00:00"/>
    <x v="11"/>
    <n v="12"/>
    <x v="0"/>
    <s v="CUST009"/>
    <x v="0"/>
    <n v="63"/>
    <x v="2"/>
    <x v="2"/>
    <n v="2"/>
    <x v="3"/>
    <n v="300"/>
    <n v="600"/>
  </r>
  <r>
    <n v="951"/>
    <d v="2023-12-13T00:00:00"/>
    <x v="11"/>
    <n v="12"/>
    <x v="0"/>
    <s v="CUST552"/>
    <x v="1"/>
    <n v="49"/>
    <x v="1"/>
    <x v="2"/>
    <n v="3"/>
    <x v="0"/>
    <n v="25"/>
    <n v="75"/>
  </r>
  <r>
    <n v="952"/>
    <d v="2023-12-13T00:00:00"/>
    <x v="11"/>
    <n v="12"/>
    <x v="0"/>
    <s v="CUST771"/>
    <x v="0"/>
    <n v="24"/>
    <x v="3"/>
    <x v="2"/>
    <n v="2"/>
    <x v="3"/>
    <n v="25"/>
    <n v="50"/>
  </r>
  <r>
    <n v="953"/>
    <d v="2023-12-14T00:00:00"/>
    <x v="11"/>
    <n v="12"/>
    <x v="0"/>
    <s v="CUST496"/>
    <x v="0"/>
    <n v="23"/>
    <x v="3"/>
    <x v="0"/>
    <n v="2"/>
    <x v="3"/>
    <n v="300"/>
    <n v="600"/>
  </r>
  <r>
    <n v="954"/>
    <d v="2023-12-14T00:00:00"/>
    <x v="11"/>
    <n v="12"/>
    <x v="0"/>
    <s v="CUST701"/>
    <x v="1"/>
    <n v="52"/>
    <x v="1"/>
    <x v="1"/>
    <n v="2"/>
    <x v="3"/>
    <n v="30"/>
    <n v="60"/>
  </r>
  <r>
    <n v="955"/>
    <d v="2023-12-15T00:00:00"/>
    <x v="11"/>
    <n v="12"/>
    <x v="0"/>
    <s v="CUST139"/>
    <x v="0"/>
    <n v="36"/>
    <x v="0"/>
    <x v="1"/>
    <n v="4"/>
    <x v="1"/>
    <n v="500"/>
    <n v="2000"/>
  </r>
  <r>
    <n v="956"/>
    <d v="2023-12-15T00:00:00"/>
    <x v="11"/>
    <n v="12"/>
    <x v="0"/>
    <s v="CUST151"/>
    <x v="0"/>
    <n v="29"/>
    <x v="3"/>
    <x v="0"/>
    <n v="1"/>
    <x v="2"/>
    <n v="50"/>
    <n v="50"/>
  </r>
  <r>
    <n v="957"/>
    <d v="2023-12-16T00:00:00"/>
    <x v="11"/>
    <n v="12"/>
    <x v="0"/>
    <s v="CUST083"/>
    <x v="0"/>
    <n v="54"/>
    <x v="1"/>
    <x v="2"/>
    <n v="2"/>
    <x v="3"/>
    <n v="50"/>
    <n v="100"/>
  </r>
  <r>
    <n v="958"/>
    <d v="2023-12-16T00:00:00"/>
    <x v="11"/>
    <n v="12"/>
    <x v="0"/>
    <s v="CUST153"/>
    <x v="0"/>
    <n v="63"/>
    <x v="2"/>
    <x v="2"/>
    <n v="2"/>
    <x v="3"/>
    <n v="500"/>
    <n v="1000"/>
  </r>
  <r>
    <n v="959"/>
    <d v="2023-12-16T00:00:00"/>
    <x v="11"/>
    <n v="12"/>
    <x v="0"/>
    <s v="CUST451"/>
    <x v="1"/>
    <n v="45"/>
    <x v="0"/>
    <x v="2"/>
    <n v="1"/>
    <x v="2"/>
    <n v="30"/>
    <n v="30"/>
  </r>
  <r>
    <n v="960"/>
    <d v="2023-12-17T00:00:00"/>
    <x v="11"/>
    <n v="12"/>
    <x v="0"/>
    <s v="CUST099"/>
    <x v="1"/>
    <n v="50"/>
    <x v="1"/>
    <x v="2"/>
    <n v="4"/>
    <x v="1"/>
    <n v="300"/>
    <n v="1200"/>
  </r>
  <r>
    <n v="961"/>
    <d v="2023-12-17T00:00:00"/>
    <x v="11"/>
    <n v="12"/>
    <x v="0"/>
    <s v="CUST783"/>
    <x v="1"/>
    <n v="56"/>
    <x v="2"/>
    <x v="0"/>
    <n v="1"/>
    <x v="2"/>
    <n v="300"/>
    <n v="300"/>
  </r>
  <r>
    <n v="962"/>
    <d v="2023-12-18T00:00:00"/>
    <x v="11"/>
    <n v="12"/>
    <x v="0"/>
    <s v="CUST409"/>
    <x v="1"/>
    <n v="21"/>
    <x v="3"/>
    <x v="2"/>
    <n v="3"/>
    <x v="0"/>
    <n v="300"/>
    <n v="900"/>
  </r>
  <r>
    <n v="963"/>
    <d v="2023-12-18T00:00:00"/>
    <x v="11"/>
    <n v="12"/>
    <x v="0"/>
    <s v="CUST525"/>
    <x v="1"/>
    <n v="47"/>
    <x v="1"/>
    <x v="1"/>
    <n v="2"/>
    <x v="3"/>
    <n v="25"/>
    <n v="50"/>
  </r>
  <r>
    <n v="964"/>
    <d v="2023-12-18T00:00:00"/>
    <x v="11"/>
    <n v="12"/>
    <x v="0"/>
    <s v="CUST939"/>
    <x v="1"/>
    <n v="46"/>
    <x v="1"/>
    <x v="2"/>
    <n v="1"/>
    <x v="2"/>
    <n v="300"/>
    <n v="300"/>
  </r>
  <r>
    <n v="965"/>
    <d v="2023-12-18T00:00:00"/>
    <x v="11"/>
    <n v="12"/>
    <x v="0"/>
    <s v="CUST994"/>
    <x v="1"/>
    <n v="51"/>
    <x v="1"/>
    <x v="1"/>
    <n v="2"/>
    <x v="3"/>
    <n v="500"/>
    <n v="1000"/>
  </r>
  <r>
    <n v="966"/>
    <d v="2023-12-19T00:00:00"/>
    <x v="11"/>
    <n v="12"/>
    <x v="0"/>
    <s v="CUST096"/>
    <x v="1"/>
    <n v="44"/>
    <x v="0"/>
    <x v="0"/>
    <n v="2"/>
    <x v="3"/>
    <n v="300"/>
    <n v="600"/>
  </r>
  <r>
    <n v="967"/>
    <d v="2023-12-19T00:00:00"/>
    <x v="11"/>
    <n v="12"/>
    <x v="0"/>
    <s v="CUST609"/>
    <x v="1"/>
    <n v="47"/>
    <x v="1"/>
    <x v="0"/>
    <n v="2"/>
    <x v="3"/>
    <n v="50"/>
    <n v="100"/>
  </r>
  <r>
    <n v="968"/>
    <d v="2023-12-19T00:00:00"/>
    <x v="11"/>
    <n v="12"/>
    <x v="0"/>
    <s v="CUST982"/>
    <x v="1"/>
    <n v="46"/>
    <x v="1"/>
    <x v="1"/>
    <n v="3"/>
    <x v="0"/>
    <n v="30"/>
    <n v="90"/>
  </r>
  <r>
    <n v="969"/>
    <d v="2023-12-20T00:00:00"/>
    <x v="11"/>
    <n v="12"/>
    <x v="0"/>
    <s v="CUST209"/>
    <x v="1"/>
    <n v="30"/>
    <x v="3"/>
    <x v="2"/>
    <n v="4"/>
    <x v="1"/>
    <n v="50"/>
    <n v="200"/>
  </r>
  <r>
    <n v="970"/>
    <d v="2023-12-20T00:00:00"/>
    <x v="11"/>
    <n v="12"/>
    <x v="0"/>
    <s v="CUST435"/>
    <x v="1"/>
    <n v="30"/>
    <x v="3"/>
    <x v="1"/>
    <n v="3"/>
    <x v="0"/>
    <n v="300"/>
    <n v="900"/>
  </r>
  <r>
    <n v="971"/>
    <d v="2023-12-20T00:00:00"/>
    <x v="11"/>
    <n v="12"/>
    <x v="0"/>
    <s v="CUST777"/>
    <x v="0"/>
    <n v="48"/>
    <x v="1"/>
    <x v="2"/>
    <n v="3"/>
    <x v="0"/>
    <n v="50"/>
    <n v="150"/>
  </r>
  <r>
    <n v="972"/>
    <d v="2023-12-20T00:00:00"/>
    <x v="11"/>
    <n v="12"/>
    <x v="0"/>
    <s v="CUST854"/>
    <x v="0"/>
    <n v="29"/>
    <x v="3"/>
    <x v="0"/>
    <n v="1"/>
    <x v="2"/>
    <n v="50"/>
    <n v="50"/>
  </r>
  <r>
    <n v="973"/>
    <d v="2023-12-20T00:00:00"/>
    <x v="11"/>
    <n v="12"/>
    <x v="0"/>
    <s v="CUST890"/>
    <x v="0"/>
    <n v="34"/>
    <x v="3"/>
    <x v="2"/>
    <n v="2"/>
    <x v="3"/>
    <n v="25"/>
    <n v="50"/>
  </r>
  <r>
    <n v="974"/>
    <d v="2023-12-21T00:00:00"/>
    <x v="11"/>
    <n v="12"/>
    <x v="0"/>
    <s v="CUST865"/>
    <x v="1"/>
    <n v="42"/>
    <x v="0"/>
    <x v="0"/>
    <n v="1"/>
    <x v="2"/>
    <n v="300"/>
    <n v="300"/>
  </r>
  <r>
    <n v="975"/>
    <d v="2023-12-22T00:00:00"/>
    <x v="11"/>
    <n v="12"/>
    <x v="0"/>
    <s v="CUST662"/>
    <x v="0"/>
    <n v="48"/>
    <x v="1"/>
    <x v="1"/>
    <n v="2"/>
    <x v="3"/>
    <n v="500"/>
    <n v="1000"/>
  </r>
  <r>
    <n v="976"/>
    <d v="2023-12-23T00:00:00"/>
    <x v="11"/>
    <n v="12"/>
    <x v="0"/>
    <s v="CUST309"/>
    <x v="1"/>
    <n v="26"/>
    <x v="3"/>
    <x v="1"/>
    <n v="1"/>
    <x v="2"/>
    <n v="25"/>
    <n v="25"/>
  </r>
  <r>
    <n v="977"/>
    <d v="2023-12-23T00:00:00"/>
    <x v="11"/>
    <n v="12"/>
    <x v="0"/>
    <s v="CUST544"/>
    <x v="1"/>
    <n v="27"/>
    <x v="3"/>
    <x v="2"/>
    <n v="1"/>
    <x v="2"/>
    <n v="25"/>
    <n v="25"/>
  </r>
  <r>
    <n v="978"/>
    <d v="2023-12-23T00:00:00"/>
    <x v="11"/>
    <n v="12"/>
    <x v="0"/>
    <s v="CUST602"/>
    <x v="1"/>
    <n v="20"/>
    <x v="3"/>
    <x v="2"/>
    <n v="1"/>
    <x v="2"/>
    <n v="300"/>
    <n v="300"/>
  </r>
  <r>
    <n v="979"/>
    <d v="2023-12-23T00:00:00"/>
    <x v="11"/>
    <n v="12"/>
    <x v="0"/>
    <s v="CUST615"/>
    <x v="1"/>
    <n v="61"/>
    <x v="2"/>
    <x v="0"/>
    <n v="4"/>
    <x v="1"/>
    <n v="25"/>
    <n v="100"/>
  </r>
  <r>
    <n v="980"/>
    <d v="2023-12-23T00:00:00"/>
    <x v="11"/>
    <n v="12"/>
    <x v="0"/>
    <s v="CUST678"/>
    <x v="1"/>
    <n v="60"/>
    <x v="2"/>
    <x v="2"/>
    <n v="3"/>
    <x v="0"/>
    <n v="300"/>
    <n v="900"/>
  </r>
  <r>
    <n v="981"/>
    <d v="2023-12-23T00:00:00"/>
    <x v="11"/>
    <n v="12"/>
    <x v="0"/>
    <s v="CUST781"/>
    <x v="0"/>
    <n v="35"/>
    <x v="0"/>
    <x v="1"/>
    <n v="1"/>
    <x v="2"/>
    <n v="500"/>
    <n v="500"/>
  </r>
  <r>
    <n v="982"/>
    <d v="2023-12-24T00:00:00"/>
    <x v="11"/>
    <n v="12"/>
    <x v="0"/>
    <s v="CUST034"/>
    <x v="1"/>
    <n v="51"/>
    <x v="1"/>
    <x v="0"/>
    <n v="3"/>
    <x v="0"/>
    <n v="50"/>
    <n v="150"/>
  </r>
  <r>
    <n v="983"/>
    <d v="2023-12-24T00:00:00"/>
    <x v="11"/>
    <n v="12"/>
    <x v="0"/>
    <s v="CUST916"/>
    <x v="1"/>
    <n v="32"/>
    <x v="3"/>
    <x v="2"/>
    <n v="1"/>
    <x v="2"/>
    <n v="50"/>
    <n v="50"/>
  </r>
  <r>
    <n v="984"/>
    <d v="2023-12-25T00:00:00"/>
    <x v="11"/>
    <n v="12"/>
    <x v="0"/>
    <s v="CUST757"/>
    <x v="1"/>
    <n v="43"/>
    <x v="0"/>
    <x v="2"/>
    <n v="4"/>
    <x v="1"/>
    <n v="300"/>
    <n v="1200"/>
  </r>
  <r>
    <n v="985"/>
    <d v="2023-12-26T00:00:00"/>
    <x v="11"/>
    <n v="12"/>
    <x v="0"/>
    <s v="CUST025"/>
    <x v="1"/>
    <n v="64"/>
    <x v="2"/>
    <x v="1"/>
    <n v="1"/>
    <x v="2"/>
    <n v="50"/>
    <n v="50"/>
  </r>
  <r>
    <n v="986"/>
    <d v="2023-12-26T00:00:00"/>
    <x v="11"/>
    <n v="12"/>
    <x v="0"/>
    <s v="CUST082"/>
    <x v="1"/>
    <n v="32"/>
    <x v="3"/>
    <x v="1"/>
    <n v="4"/>
    <x v="1"/>
    <n v="50"/>
    <n v="200"/>
  </r>
  <r>
    <n v="987"/>
    <d v="2023-12-26T00:00:00"/>
    <x v="11"/>
    <n v="12"/>
    <x v="0"/>
    <s v="CUST472"/>
    <x v="1"/>
    <n v="38"/>
    <x v="0"/>
    <x v="1"/>
    <n v="3"/>
    <x v="0"/>
    <n v="300"/>
    <n v="900"/>
  </r>
  <r>
    <n v="988"/>
    <d v="2023-12-26T00:00:00"/>
    <x v="11"/>
    <n v="12"/>
    <x v="0"/>
    <s v="CUST842"/>
    <x v="1"/>
    <n v="47"/>
    <x v="1"/>
    <x v="0"/>
    <n v="2"/>
    <x v="3"/>
    <n v="300"/>
    <n v="600"/>
  </r>
  <r>
    <n v="989"/>
    <d v="2023-12-26T00:00:00"/>
    <x v="11"/>
    <n v="12"/>
    <x v="0"/>
    <s v="CUST879"/>
    <x v="0"/>
    <n v="23"/>
    <x v="3"/>
    <x v="0"/>
    <n v="1"/>
    <x v="2"/>
    <n v="30"/>
    <n v="30"/>
  </r>
  <r>
    <n v="990"/>
    <d v="2023-12-26T00:00:00"/>
    <x v="11"/>
    <n v="12"/>
    <x v="0"/>
    <s v="CUST991"/>
    <x v="1"/>
    <n v="34"/>
    <x v="3"/>
    <x v="0"/>
    <n v="2"/>
    <x v="3"/>
    <n v="50"/>
    <n v="100"/>
  </r>
  <r>
    <n v="991"/>
    <d v="2023-12-27T00:00:00"/>
    <x v="11"/>
    <n v="12"/>
    <x v="0"/>
    <s v="CUST062"/>
    <x v="0"/>
    <n v="18"/>
    <x v="4"/>
    <x v="1"/>
    <n v="2"/>
    <x v="3"/>
    <n v="50"/>
    <n v="100"/>
  </r>
  <r>
    <n v="992"/>
    <d v="2023-12-27T00:00:00"/>
    <x v="11"/>
    <n v="12"/>
    <x v="0"/>
    <s v="CUST386"/>
    <x v="1"/>
    <n v="54"/>
    <x v="1"/>
    <x v="2"/>
    <n v="2"/>
    <x v="3"/>
    <n v="300"/>
    <n v="600"/>
  </r>
  <r>
    <n v="993"/>
    <d v="2023-12-28T00:00:00"/>
    <x v="11"/>
    <n v="12"/>
    <x v="0"/>
    <s v="CUST429"/>
    <x v="0"/>
    <n v="64"/>
    <x v="2"/>
    <x v="2"/>
    <n v="2"/>
    <x v="3"/>
    <n v="25"/>
    <n v="50"/>
  </r>
  <r>
    <n v="994"/>
    <d v="2023-12-28T00:00:00"/>
    <x v="11"/>
    <n v="12"/>
    <x v="0"/>
    <s v="CUST664"/>
    <x v="1"/>
    <n v="44"/>
    <x v="0"/>
    <x v="0"/>
    <n v="4"/>
    <x v="1"/>
    <n v="500"/>
    <n v="2000"/>
  </r>
  <r>
    <n v="995"/>
    <d v="2023-12-28T00:00:00"/>
    <x v="11"/>
    <n v="12"/>
    <x v="0"/>
    <s v="CUST989"/>
    <x v="1"/>
    <n v="44"/>
    <x v="0"/>
    <x v="2"/>
    <n v="1"/>
    <x v="2"/>
    <n v="25"/>
    <n v="25"/>
  </r>
  <r>
    <n v="996"/>
    <d v="2023-12-29T00:00:00"/>
    <x v="11"/>
    <n v="12"/>
    <x v="0"/>
    <s v="CUST233"/>
    <x v="1"/>
    <n v="51"/>
    <x v="1"/>
    <x v="1"/>
    <n v="2"/>
    <x v="3"/>
    <n v="300"/>
    <n v="600"/>
  </r>
  <r>
    <n v="997"/>
    <d v="2023-12-29T00:00:00"/>
    <x v="11"/>
    <n v="12"/>
    <x v="0"/>
    <s v="CUST520"/>
    <x v="1"/>
    <n v="49"/>
    <x v="1"/>
    <x v="2"/>
    <n v="4"/>
    <x v="1"/>
    <n v="25"/>
    <n v="100"/>
  </r>
  <r>
    <n v="998"/>
    <d v="2023-12-29T00:00:00"/>
    <x v="11"/>
    <n v="12"/>
    <x v="0"/>
    <s v="CUST805"/>
    <x v="1"/>
    <n v="30"/>
    <x v="3"/>
    <x v="1"/>
    <n v="3"/>
    <x v="0"/>
    <n v="500"/>
    <n v="1500"/>
  </r>
  <r>
    <n v="999"/>
    <d v="2023-12-29T00:00:00"/>
    <x v="11"/>
    <n v="12"/>
    <x v="0"/>
    <s v="CUST908"/>
    <x v="0"/>
    <n v="46"/>
    <x v="1"/>
    <x v="1"/>
    <n v="4"/>
    <x v="1"/>
    <n v="300"/>
    <n v="1200"/>
  </r>
  <r>
    <n v="1000"/>
    <d v="2023-12-31T00:00:00"/>
    <x v="11"/>
    <n v="12"/>
    <x v="0"/>
    <s v="CUST857"/>
    <x v="0"/>
    <n v="60"/>
    <x v="2"/>
    <x v="2"/>
    <n v="2"/>
    <x v="3"/>
    <n v="25"/>
    <n v="5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C623B-B1A2-470F-A0F2-9D5868CEE94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Product_Category">
  <location ref="AV2:AZ6" firstHeaderRow="1" firstDataRow="2"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axis="axisCol" showAll="0">
      <items count="4">
        <item x="1"/>
        <item x="0"/>
        <item x="2"/>
        <item t="default"/>
      </items>
    </pivotField>
    <pivotField dataField="1" numFmtId="1" showAll="0"/>
    <pivotField showAll="0">
      <items count="5">
        <item x="1"/>
        <item x="0"/>
        <item x="2"/>
        <item x="3"/>
        <item t="default"/>
      </items>
    </pivotField>
    <pivotField numFmtId="44" showAll="0"/>
    <pivotField numFmtId="44" showAll="0"/>
  </pivotFields>
  <rowFields count="1">
    <field x="6"/>
  </rowFields>
  <rowItems count="3">
    <i>
      <x/>
    </i>
    <i>
      <x v="1"/>
    </i>
    <i t="grand">
      <x/>
    </i>
  </rowItems>
  <colFields count="1">
    <field x="9"/>
  </colFields>
  <colItems count="4">
    <i>
      <x/>
    </i>
    <i>
      <x v="1"/>
    </i>
    <i>
      <x v="2"/>
    </i>
    <i t="grand">
      <x/>
    </i>
  </colItems>
  <dataFields count="1">
    <dataField name="Sum of Quantity" fld="10" baseField="0" baseItem="0" numFmtId="1"/>
  </dataFields>
  <chartFormats count="9">
    <chartFormat chart="12" format="12" series="1">
      <pivotArea type="data" outline="0" fieldPosition="0">
        <references count="2">
          <reference field="4294967294" count="1" selected="0">
            <x v="0"/>
          </reference>
          <reference field="9" count="1" selected="0">
            <x v="0"/>
          </reference>
        </references>
      </pivotArea>
    </chartFormat>
    <chartFormat chart="12" format="13" series="1">
      <pivotArea type="data" outline="0" fieldPosition="0">
        <references count="2">
          <reference field="4294967294" count="1" selected="0">
            <x v="0"/>
          </reference>
          <reference field="9" count="1" selected="0">
            <x v="1"/>
          </reference>
        </references>
      </pivotArea>
    </chartFormat>
    <chartFormat chart="12" format="14" series="1">
      <pivotArea type="data" outline="0" fieldPosition="0">
        <references count="2">
          <reference field="4294967294" count="1" selected="0">
            <x v="0"/>
          </reference>
          <reference field="9" count="1" selected="0">
            <x v="2"/>
          </reference>
        </references>
      </pivotArea>
    </chartFormat>
    <chartFormat chart="15" format="6" series="1">
      <pivotArea type="data" outline="0" fieldPosition="0">
        <references count="2">
          <reference field="4294967294" count="1" selected="0">
            <x v="0"/>
          </reference>
          <reference field="9" count="1" selected="0">
            <x v="0"/>
          </reference>
        </references>
      </pivotArea>
    </chartFormat>
    <chartFormat chart="15" format="7" series="1">
      <pivotArea type="data" outline="0" fieldPosition="0">
        <references count="2">
          <reference field="4294967294" count="1" selected="0">
            <x v="0"/>
          </reference>
          <reference field="9" count="1" selected="0">
            <x v="1"/>
          </reference>
        </references>
      </pivotArea>
    </chartFormat>
    <chartFormat chart="15" format="8" series="1">
      <pivotArea type="data" outline="0" fieldPosition="0">
        <references count="2">
          <reference field="4294967294" count="1" selected="0">
            <x v="0"/>
          </reference>
          <reference field="9" count="1" selected="0">
            <x v="2"/>
          </reference>
        </references>
      </pivotArea>
    </chartFormat>
    <chartFormat chart="17" format="12" series="1">
      <pivotArea type="data" outline="0" fieldPosition="0">
        <references count="2">
          <reference field="4294967294" count="1" selected="0">
            <x v="0"/>
          </reference>
          <reference field="9" count="1" selected="0">
            <x v="0"/>
          </reference>
        </references>
      </pivotArea>
    </chartFormat>
    <chartFormat chart="17" format="13" series="1">
      <pivotArea type="data" outline="0" fieldPosition="0">
        <references count="2">
          <reference field="4294967294" count="1" selected="0">
            <x v="0"/>
          </reference>
          <reference field="9" count="1" selected="0">
            <x v="1"/>
          </reference>
        </references>
      </pivotArea>
    </chartFormat>
    <chartFormat chart="17" format="14"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416924-88D2-4BE4-B229-9468C3703CFE}"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Gender">
  <location ref="AB2:AC5" firstHeaderRow="1" firstDataRow="1" firstDataCol="1"/>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numFmtId="44" showAll="0"/>
  </pivotFields>
  <rowFields count="1">
    <field x="6"/>
  </rowFields>
  <rowItems count="3">
    <i>
      <x/>
    </i>
    <i>
      <x v="1"/>
    </i>
    <i t="grand">
      <x/>
    </i>
  </rowItems>
  <colItems count="1">
    <i/>
  </colItems>
  <dataFields count="1">
    <dataField name="Count of Transaction ID" fld="0" subtotal="count" baseField="6" baseItem="0" numFmtId="1"/>
  </dataFields>
  <formats count="1">
    <format dxfId="0">
      <pivotArea outline="0" collapsedLevelsAreSubtotals="1" fieldPosition="0"/>
    </format>
  </formats>
  <chartFormats count="9">
    <chartFormat chart="22" format="3" series="1">
      <pivotArea type="data" outline="0" fieldPosition="0">
        <references count="1">
          <reference field="4294967294" count="1" selected="0">
            <x v="0"/>
          </reference>
        </references>
      </pivotArea>
    </chartFormat>
    <chartFormat chart="22" format="4">
      <pivotArea type="data" outline="0" fieldPosition="0">
        <references count="2">
          <reference field="4294967294" count="1" selected="0">
            <x v="0"/>
          </reference>
          <reference field="6" count="1" selected="0">
            <x v="0"/>
          </reference>
        </references>
      </pivotArea>
    </chartFormat>
    <chartFormat chart="22" format="5">
      <pivotArea type="data" outline="0" fieldPosition="0">
        <references count="2">
          <reference field="4294967294" count="1" selected="0">
            <x v="0"/>
          </reference>
          <reference field="6" count="1" selected="0">
            <x v="1"/>
          </reference>
        </references>
      </pivotArea>
    </chartFormat>
    <chartFormat chart="26" format="12" series="1">
      <pivotArea type="data" outline="0" fieldPosition="0">
        <references count="1">
          <reference field="4294967294" count="1" selected="0">
            <x v="0"/>
          </reference>
        </references>
      </pivotArea>
    </chartFormat>
    <chartFormat chart="26" format="13">
      <pivotArea type="data" outline="0" fieldPosition="0">
        <references count="2">
          <reference field="4294967294" count="1" selected="0">
            <x v="0"/>
          </reference>
          <reference field="6" count="1" selected="0">
            <x v="0"/>
          </reference>
        </references>
      </pivotArea>
    </chartFormat>
    <chartFormat chart="26" format="14">
      <pivotArea type="data" outline="0" fieldPosition="0">
        <references count="2">
          <reference field="4294967294" count="1" selected="0">
            <x v="0"/>
          </reference>
          <reference field="6" count="1" selected="0">
            <x v="1"/>
          </reference>
        </references>
      </pivotArea>
    </chartFormat>
    <chartFormat chart="30" format="6" series="1">
      <pivotArea type="data" outline="0" fieldPosition="0">
        <references count="1">
          <reference field="4294967294" count="1" selected="0">
            <x v="0"/>
          </reference>
        </references>
      </pivotArea>
    </chartFormat>
    <chartFormat chart="30" format="7">
      <pivotArea type="data" outline="0" fieldPosition="0">
        <references count="2">
          <reference field="4294967294" count="1" selected="0">
            <x v="0"/>
          </reference>
          <reference field="6" count="1" selected="0">
            <x v="0"/>
          </reference>
        </references>
      </pivotArea>
    </chartFormat>
    <chartFormat chart="30" format="8">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480E04-814B-4759-B4BF-FC673301D08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Age_Group">
  <location ref="P2:Q8"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axis="axisRow" showAll="0" sortType="ascending">
      <items count="6">
        <item x="0"/>
        <item x="2"/>
        <item x="1"/>
        <item x="4"/>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8"/>
  </rowFields>
  <rowItems count="6">
    <i>
      <x v="3"/>
    </i>
    <i>
      <x v="1"/>
    </i>
    <i>
      <x v="2"/>
    </i>
    <i>
      <x/>
    </i>
    <i>
      <x v="4"/>
    </i>
    <i t="grand">
      <x/>
    </i>
  </rowItems>
  <colItems count="1">
    <i/>
  </colItems>
  <dataFields count="1">
    <dataField name="Sum of Total_Amount" fld="13" baseField="5" baseItem="3" numFmtId="165"/>
  </dataFields>
  <formats count="1">
    <format dxfId="1">
      <pivotArea outline="0" collapsedLevelsAreSubtotals="1" fieldPosition="0"/>
    </format>
  </formats>
  <chartFormats count="2">
    <chartFormat chart="11"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2104DE-D71E-47C9-9739-939A8743D09E}"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Gender">
  <location ref="T2:U5"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6"/>
  </rowFields>
  <rowItems count="3">
    <i>
      <x/>
    </i>
    <i>
      <x v="1"/>
    </i>
    <i t="grand">
      <x/>
    </i>
  </rowItems>
  <colItems count="1">
    <i/>
  </colItems>
  <dataFields count="1">
    <dataField name="Sum of Total_Amount" fld="13" baseField="0" baseItem="0" numFmtId="165"/>
  </dataFields>
  <formats count="1">
    <format dxfId="2">
      <pivotArea outline="0" collapsedLevelsAreSubtotals="1" fieldPosition="0"/>
    </format>
  </formats>
  <chartFormats count="6">
    <chartFormat chart="20" format="10" series="1">
      <pivotArea type="data" outline="0" fieldPosition="0">
        <references count="1">
          <reference field="4294967294" count="1" selected="0">
            <x v="0"/>
          </reference>
        </references>
      </pivotArea>
    </chartFormat>
    <chartFormat chart="20" format="11">
      <pivotArea type="data" outline="0" fieldPosition="0">
        <references count="2">
          <reference field="4294967294" count="1" selected="0">
            <x v="0"/>
          </reference>
          <reference field="6" count="1" selected="0">
            <x v="0"/>
          </reference>
        </references>
      </pivotArea>
    </chartFormat>
    <chartFormat chart="20" format="12">
      <pivotArea type="data" outline="0" fieldPosition="0">
        <references count="2">
          <reference field="4294967294" count="1" selected="0">
            <x v="0"/>
          </reference>
          <reference field="6" count="1" selected="0">
            <x v="1"/>
          </reference>
        </references>
      </pivotArea>
    </chartFormat>
    <chartFormat chart="22" format="6" series="1">
      <pivotArea type="data" outline="0" fieldPosition="0">
        <references count="1">
          <reference field="4294967294" count="1" selected="0">
            <x v="0"/>
          </reference>
        </references>
      </pivotArea>
    </chartFormat>
    <chartFormat chart="22" format="7">
      <pivotArea type="data" outline="0" fieldPosition="0">
        <references count="2">
          <reference field="4294967294" count="1" selected="0">
            <x v="0"/>
          </reference>
          <reference field="6" count="1" selected="0">
            <x v="0"/>
          </reference>
        </references>
      </pivotArea>
    </chartFormat>
    <chartFormat chart="22" format="8">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3BB78A-199A-456E-82DB-9D7D7ACC4FC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Product_Category">
  <location ref="L2:M6"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9"/>
  </rowFields>
  <rowItems count="4">
    <i>
      <x/>
    </i>
    <i>
      <x v="1"/>
    </i>
    <i>
      <x v="2"/>
    </i>
    <i t="grand">
      <x/>
    </i>
  </rowItems>
  <colItems count="1">
    <i/>
  </colItems>
  <dataFields count="1">
    <dataField name="Sum of Total_Amount" fld="13" baseField="0" baseItem="0" numFmtId="165"/>
  </dataFields>
  <formats count="1">
    <format dxfId="3">
      <pivotArea outline="0" collapsedLevelsAreSubtotals="1" fieldPosition="0"/>
    </format>
  </formats>
  <chartFormats count="8">
    <chartFormat chart="16" format="16" series="1">
      <pivotArea type="data" outline="0" fieldPosition="0">
        <references count="1">
          <reference field="4294967294" count="1" selected="0">
            <x v="0"/>
          </reference>
        </references>
      </pivotArea>
    </chartFormat>
    <chartFormat chart="16" format="17">
      <pivotArea type="data" outline="0" fieldPosition="0">
        <references count="2">
          <reference field="4294967294" count="1" selected="0">
            <x v="0"/>
          </reference>
          <reference field="9" count="1" selected="0">
            <x v="0"/>
          </reference>
        </references>
      </pivotArea>
    </chartFormat>
    <chartFormat chart="16" format="18">
      <pivotArea type="data" outline="0" fieldPosition="0">
        <references count="2">
          <reference field="4294967294" count="1" selected="0">
            <x v="0"/>
          </reference>
          <reference field="9" count="1" selected="0">
            <x v="1"/>
          </reference>
        </references>
      </pivotArea>
    </chartFormat>
    <chartFormat chart="16" format="19">
      <pivotArea type="data" outline="0" fieldPosition="0">
        <references count="2">
          <reference field="4294967294" count="1" selected="0">
            <x v="0"/>
          </reference>
          <reference field="9" count="1" selected="0">
            <x v="2"/>
          </reference>
        </references>
      </pivotArea>
    </chartFormat>
    <chartFormat chart="21" format="8" series="1">
      <pivotArea type="data" outline="0" fieldPosition="0">
        <references count="1">
          <reference field="4294967294" count="1" selected="0">
            <x v="0"/>
          </reference>
        </references>
      </pivotArea>
    </chartFormat>
    <chartFormat chart="21" format="9">
      <pivotArea type="data" outline="0" fieldPosition="0">
        <references count="2">
          <reference field="4294967294" count="1" selected="0">
            <x v="0"/>
          </reference>
          <reference field="9" count="1" selected="0">
            <x v="0"/>
          </reference>
        </references>
      </pivotArea>
    </chartFormat>
    <chartFormat chart="21" format="10">
      <pivotArea type="data" outline="0" fieldPosition="0">
        <references count="2">
          <reference field="4294967294" count="1" selected="0">
            <x v="0"/>
          </reference>
          <reference field="9" count="1" selected="0">
            <x v="1"/>
          </reference>
        </references>
      </pivotArea>
    </chartFormat>
    <chartFormat chart="21" format="1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486247-27BB-4A2F-88A8-7EFBBF9F6D5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_Category">
  <location ref="BC2:BD6" firstHeaderRow="1" firstDataRow="1" firstDataCol="1"/>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items count="4">
        <item x="2"/>
        <item x="0"/>
        <item x="1"/>
        <item t="default"/>
      </items>
    </pivotField>
    <pivotField numFmtId="1" showAll="0"/>
    <pivotField showAll="0">
      <items count="5">
        <item x="1"/>
        <item x="0"/>
        <item x="2"/>
        <item x="3"/>
        <item t="default"/>
      </items>
    </pivotField>
    <pivotField numFmtId="44" showAll="0"/>
    <pivotField numFmtId="44" showAll="0"/>
  </pivotFields>
  <rowFields count="1">
    <field x="9"/>
  </rowFields>
  <rowItems count="4">
    <i>
      <x/>
    </i>
    <i>
      <x v="1"/>
    </i>
    <i>
      <x v="2"/>
    </i>
    <i t="grand">
      <x/>
    </i>
  </rowItems>
  <colItems count="1">
    <i/>
  </colItems>
  <dataFields count="1">
    <dataField name="Count of Transaction ID" fld="0" subtotal="count" baseField="9" baseItem="0"/>
  </dataFields>
  <chartFormats count="1">
    <chartFormat chart="1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551496-96AC-4C84-A3B8-91709B12240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Gender">
  <location ref="X2:Y5"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axis="axisRow"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6"/>
  </rowFields>
  <rowItems count="3">
    <i>
      <x/>
    </i>
    <i>
      <x v="1"/>
    </i>
    <i t="grand">
      <x/>
    </i>
  </rowItems>
  <colItems count="1">
    <i/>
  </colItems>
  <dataFields count="1">
    <dataField name="Average of Total_Amount" fld="13" subtotal="average" baseField="6" baseItem="0" numFmtId="165"/>
  </dataFields>
  <formats count="1">
    <format dxfId="4">
      <pivotArea outline="0" collapsedLevelsAreSubtotals="1" fieldPosition="0"/>
    </format>
  </formats>
  <chartFormats count="6">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6" count="1" selected="0">
            <x v="0"/>
          </reference>
        </references>
      </pivotArea>
    </chartFormat>
    <chartFormat chart="2" format="11">
      <pivotArea type="data" outline="0" fieldPosition="0">
        <references count="2">
          <reference field="4294967294" count="1" selected="0">
            <x v="0"/>
          </reference>
          <reference field="6" count="1" selected="0">
            <x v="1"/>
          </reference>
        </references>
      </pivotArea>
    </chartFormat>
    <chartFormat chart="15" format="21" series="1">
      <pivotArea type="data" outline="0" fieldPosition="0">
        <references count="1">
          <reference field="4294967294" count="1" selected="0">
            <x v="0"/>
          </reference>
        </references>
      </pivotArea>
    </chartFormat>
    <chartFormat chart="15" format="22">
      <pivotArea type="data" outline="0" fieldPosition="0">
        <references count="2">
          <reference field="4294967294" count="1" selected="0">
            <x v="0"/>
          </reference>
          <reference field="6" count="1" selected="0">
            <x v="0"/>
          </reference>
        </references>
      </pivotArea>
    </chartFormat>
    <chartFormat chart="15" format="23">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B181764-F6DF-45D8-B285-D229BA7F419C}"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Quantity_Category">
  <location ref="AF2:AG8"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axis="axisRow" showAll="0" sortType="ascending">
      <items count="6">
        <item x="0"/>
        <item x="2"/>
        <item x="1"/>
        <item x="4"/>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8"/>
  </rowFields>
  <rowItems count="6">
    <i>
      <x v="1"/>
    </i>
    <i>
      <x v="2"/>
    </i>
    <i>
      <x/>
    </i>
    <i>
      <x v="4"/>
    </i>
    <i>
      <x v="3"/>
    </i>
    <i t="grand">
      <x/>
    </i>
  </rowItems>
  <colItems count="1">
    <i/>
  </colItems>
  <dataFields count="1">
    <dataField name="Average of Total_Amount" fld="13" subtotal="average" baseField="8" baseItem="0" numFmtId="165"/>
  </dataFields>
  <formats count="1">
    <format dxfId="5">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0BC5279-6C1F-4D9B-9D87-A198F567751D}"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rowHeaderCaption="Age_Group">
  <location ref="AJ2:AK8" firstHeaderRow="1" firstDataRow="1" firstDataCol="1"/>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axis="axisRow" showAll="0" sortType="ascending">
      <items count="6">
        <item x="0"/>
        <item x="2"/>
        <item x="1"/>
        <item x="4"/>
        <item x="3"/>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numFmtId="1" showAll="0"/>
    <pivotField showAll="0">
      <items count="5">
        <item x="1"/>
        <item x="0"/>
        <item x="2"/>
        <item x="3"/>
        <item t="default"/>
      </items>
    </pivotField>
    <pivotField numFmtId="44" showAll="0"/>
    <pivotField numFmtId="44" showAll="0"/>
  </pivotFields>
  <rowFields count="1">
    <field x="8"/>
  </rowFields>
  <rowItems count="6">
    <i>
      <x v="3"/>
    </i>
    <i>
      <x v="1"/>
    </i>
    <i>
      <x/>
    </i>
    <i>
      <x v="2"/>
    </i>
    <i>
      <x v="4"/>
    </i>
    <i t="grand">
      <x/>
    </i>
  </rowItems>
  <colItems count="1">
    <i/>
  </colItems>
  <dataFields count="1">
    <dataField name="Count of Transaction ID" fld="0" subtotal="count" baseField="8" baseItem="0"/>
  </dataFields>
  <formats count="1">
    <format dxfId="6">
      <pivotArea outline="0" collapsedLevelsAreSubtotals="1" fieldPosition="0"/>
    </format>
  </formats>
  <chartFormats count="3">
    <chartFormat chart="27" format="0" series="1">
      <pivotArea type="data" outline="0" fieldPosition="0">
        <references count="1">
          <reference field="4294967294" count="1" selected="0">
            <x v="0"/>
          </reference>
        </references>
      </pivotArea>
    </chartFormat>
    <chartFormat chart="31" format="4"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34EFE30-EDC4-4026-AD37-E93775D0289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Product_Category">
  <location ref="AR2:AS6"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numFmtId="1" showAll="0"/>
    <pivotField showAll="0">
      <items count="5">
        <item x="1"/>
        <item x="0"/>
        <item x="2"/>
        <item x="3"/>
        <item t="default"/>
      </items>
    </pivotField>
    <pivotField dataField="1" numFmtId="44" showAll="0"/>
    <pivotField numFmtId="44" showAll="0"/>
  </pivotFields>
  <rowFields count="1">
    <field x="9"/>
  </rowFields>
  <rowItems count="4">
    <i>
      <x v="1"/>
    </i>
    <i>
      <x v="2"/>
    </i>
    <i>
      <x/>
    </i>
    <i t="grand">
      <x/>
    </i>
  </rowItems>
  <colItems count="1">
    <i/>
  </colItems>
  <dataFields count="1">
    <dataField name="Average of Price_Per_Unit" fld="12" subtotal="average" baseField="6" baseItem="0" numFmtId="165"/>
  </dataFields>
  <formats count="1">
    <format dxfId="7">
      <pivotArea outline="0" collapsedLevelsAreSubtotals="1" fieldPosition="0"/>
    </format>
  </formats>
  <chartFormats count="12">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9" count="1" selected="0">
            <x v="0"/>
          </reference>
        </references>
      </pivotArea>
    </chartFormat>
    <chartFormat chart="11" format="6">
      <pivotArea type="data" outline="0" fieldPosition="0">
        <references count="2">
          <reference field="4294967294" count="1" selected="0">
            <x v="0"/>
          </reference>
          <reference field="9" count="1" selected="0">
            <x v="1"/>
          </reference>
        </references>
      </pivotArea>
    </chartFormat>
    <chartFormat chart="11" format="7">
      <pivotArea type="data" outline="0" fieldPosition="0">
        <references count="2">
          <reference field="4294967294" count="1" selected="0">
            <x v="0"/>
          </reference>
          <reference field="9" count="1" selected="0">
            <x v="2"/>
          </reference>
        </references>
      </pivotArea>
    </chartFormat>
    <chartFormat chart="17" format="16" series="1">
      <pivotArea type="data" outline="0" fieldPosition="0">
        <references count="1">
          <reference field="4294967294" count="1" selected="0">
            <x v="0"/>
          </reference>
        </references>
      </pivotArea>
    </chartFormat>
    <chartFormat chart="17" format="17">
      <pivotArea type="data" outline="0" fieldPosition="0">
        <references count="2">
          <reference field="4294967294" count="1" selected="0">
            <x v="0"/>
          </reference>
          <reference field="9" count="1" selected="0">
            <x v="1"/>
          </reference>
        </references>
      </pivotArea>
    </chartFormat>
    <chartFormat chart="17" format="18">
      <pivotArea type="data" outline="0" fieldPosition="0">
        <references count="2">
          <reference field="4294967294" count="1" selected="0">
            <x v="0"/>
          </reference>
          <reference field="9" count="1" selected="0">
            <x v="2"/>
          </reference>
        </references>
      </pivotArea>
    </chartFormat>
    <chartFormat chart="17" format="19">
      <pivotArea type="data" outline="0" fieldPosition="0">
        <references count="2">
          <reference field="4294967294" count="1" selected="0">
            <x v="0"/>
          </reference>
          <reference field="9" count="1" selected="0">
            <x v="0"/>
          </reference>
        </references>
      </pivotArea>
    </chartFormat>
    <chartFormat chart="19" format="8" series="1">
      <pivotArea type="data" outline="0" fieldPosition="0">
        <references count="1">
          <reference field="4294967294" count="1" selected="0">
            <x v="0"/>
          </reference>
        </references>
      </pivotArea>
    </chartFormat>
    <chartFormat chart="19" format="9">
      <pivotArea type="data" outline="0" fieldPosition="0">
        <references count="2">
          <reference field="4294967294" count="1" selected="0">
            <x v="0"/>
          </reference>
          <reference field="9" count="1" selected="0">
            <x v="1"/>
          </reference>
        </references>
      </pivotArea>
    </chartFormat>
    <chartFormat chart="19" format="10">
      <pivotArea type="data" outline="0" fieldPosition="0">
        <references count="2">
          <reference field="4294967294" count="1" selected="0">
            <x v="0"/>
          </reference>
          <reference field="9" count="1" selected="0">
            <x v="2"/>
          </reference>
        </references>
      </pivotArea>
    </chartFormat>
    <chartFormat chart="19" format="11">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C818CE7-5C70-4B8F-B1C8-B68F90C991D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_Category">
  <location ref="AN2:AO6" firstHeaderRow="1" firstDataRow="1" firstDataCol="1"/>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axis="axisRow" showAll="0" sortType="ascending">
      <items count="4">
        <item x="2"/>
        <item x="0"/>
        <item x="1"/>
        <item t="default"/>
      </items>
      <autoSortScope>
        <pivotArea dataOnly="0" outline="0" fieldPosition="0">
          <references count="1">
            <reference field="4294967294" count="1" selected="0">
              <x v="0"/>
            </reference>
          </references>
        </pivotArea>
      </autoSortScope>
    </pivotField>
    <pivotField dataField="1" numFmtId="1" showAll="0"/>
    <pivotField showAll="0">
      <items count="5">
        <item x="1"/>
        <item x="0"/>
        <item x="2"/>
        <item x="3"/>
        <item t="default"/>
      </items>
    </pivotField>
    <pivotField numFmtId="44" showAll="0"/>
    <pivotField numFmtId="44" showAll="0"/>
  </pivotFields>
  <rowFields count="1">
    <field x="9"/>
  </rowFields>
  <rowItems count="4">
    <i>
      <x v="2"/>
    </i>
    <i>
      <x/>
    </i>
    <i>
      <x v="1"/>
    </i>
    <i t="grand">
      <x/>
    </i>
  </rowItems>
  <colItems count="1">
    <i/>
  </colItems>
  <dataFields count="1">
    <dataField name="Sum of Quantity" fld="10" baseField="0" baseItem="0" numFmtId="1"/>
  </dataFields>
  <chartFormats count="8">
    <chartFormat chart="9" format="13" series="1">
      <pivotArea type="data" outline="0" fieldPosition="0">
        <references count="1">
          <reference field="4294967294" count="1" selected="0">
            <x v="0"/>
          </reference>
        </references>
      </pivotArea>
    </chartFormat>
    <chartFormat chart="9" format="14">
      <pivotArea type="data" outline="0" fieldPosition="0">
        <references count="2">
          <reference field="4294967294" count="1" selected="0">
            <x v="0"/>
          </reference>
          <reference field="9" count="1" selected="0">
            <x v="2"/>
          </reference>
        </references>
      </pivotArea>
    </chartFormat>
    <chartFormat chart="9" format="15">
      <pivotArea type="data" outline="0" fieldPosition="0">
        <references count="2">
          <reference field="4294967294" count="1" selected="0">
            <x v="0"/>
          </reference>
          <reference field="9" count="1" selected="0">
            <x v="0"/>
          </reference>
        </references>
      </pivotArea>
    </chartFormat>
    <chartFormat chart="9" format="16">
      <pivotArea type="data" outline="0" fieldPosition="0">
        <references count="2">
          <reference field="4294967294" count="1" selected="0">
            <x v="0"/>
          </reference>
          <reference field="9" count="1" selected="0">
            <x v="1"/>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9" count="1" selected="0">
            <x v="2"/>
          </reference>
        </references>
      </pivotArea>
    </chartFormat>
    <chartFormat chart="12" format="13">
      <pivotArea type="data" outline="0" fieldPosition="0">
        <references count="2">
          <reference field="4294967294" count="1" selected="0">
            <x v="0"/>
          </reference>
          <reference field="9" count="1" selected="0">
            <x v="0"/>
          </reference>
        </references>
      </pivotArea>
    </chartFormat>
    <chartFormat chart="12" format="14">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9952288-DA24-4560-9F65-14F85281062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H2:I15" firstHeaderRow="1" firstDataRow="1" firstDataCol="1"/>
  <pivotFields count="14">
    <pivotField numFmtId="1" showAll="0"/>
    <pivotField numFmtId="14" showAll="0"/>
    <pivotField axis="axisRow"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Fields count="1">
    <field x="2"/>
  </rowFields>
  <rowItems count="13">
    <i>
      <x/>
    </i>
    <i>
      <x v="1"/>
    </i>
    <i>
      <x v="2"/>
    </i>
    <i>
      <x v="3"/>
    </i>
    <i>
      <x v="4"/>
    </i>
    <i>
      <x v="5"/>
    </i>
    <i>
      <x v="6"/>
    </i>
    <i>
      <x v="7"/>
    </i>
    <i>
      <x v="8"/>
    </i>
    <i>
      <x v="9"/>
    </i>
    <i>
      <x v="10"/>
    </i>
    <i>
      <x v="11"/>
    </i>
    <i t="grand">
      <x/>
    </i>
  </rowItems>
  <colItems count="1">
    <i/>
  </colItems>
  <dataFields count="1">
    <dataField name="Sum of Total_Amount" fld="13" baseField="1" baseItem="0" numFmtId="165"/>
  </dataFields>
  <formats count="1">
    <format dxfId="8">
      <pivotArea outline="0" collapsedLevelsAreSubtotals="1" fieldPosition="0"/>
    </format>
  </formats>
  <chartFormats count="8">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2" count="1" selected="0">
            <x v="0"/>
          </reference>
        </references>
      </pivotArea>
    </chartFormat>
    <chartFormat chart="13" format="6">
      <pivotArea type="data" outline="0" fieldPosition="0">
        <references count="2">
          <reference field="4294967294" count="1" selected="0">
            <x v="0"/>
          </reference>
          <reference field="2" count="1" selected="0">
            <x v="2"/>
          </reference>
        </references>
      </pivotArea>
    </chartFormat>
    <chartFormat chart="13" format="7">
      <pivotArea type="data" outline="0" fieldPosition="0">
        <references count="2">
          <reference field="4294967294" count="1" selected="0">
            <x v="0"/>
          </reference>
          <reference field="2" count="1" selected="0">
            <x v="4"/>
          </reference>
        </references>
      </pivotArea>
    </chartFormat>
    <chartFormat chart="13" format="8">
      <pivotArea type="data" outline="0" fieldPosition="0">
        <references count="2">
          <reference field="4294967294" count="1" selected="0">
            <x v="0"/>
          </reference>
          <reference field="2" count="1" selected="0">
            <x v="6"/>
          </reference>
        </references>
      </pivotArea>
    </chartFormat>
    <chartFormat chart="13" format="9">
      <pivotArea type="data" outline="0" fieldPosition="0">
        <references count="2">
          <reference field="4294967294" count="1" selected="0">
            <x v="0"/>
          </reference>
          <reference field="2" count="1" selected="0">
            <x v="8"/>
          </reference>
        </references>
      </pivotArea>
    </chartFormat>
    <chartFormat chart="13" format="10">
      <pivotArea type="data" outline="0" fieldPosition="0">
        <references count="2">
          <reference field="4294967294" count="1" selected="0">
            <x v="0"/>
          </reference>
          <reference field="2" count="1" selected="0">
            <x v="1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4A9660-C106-4C6F-91AA-B52A6076A69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Gender">
  <location ref="A2:A3" firstHeaderRow="1" firstDataRow="1" firstDataCol="0"/>
  <pivotFields count="14">
    <pivotField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dataField="1" numFmtId="44" showAll="0"/>
  </pivotFields>
  <rowItems count="1">
    <i/>
  </rowItems>
  <colItems count="1">
    <i/>
  </colItems>
  <dataFields count="1">
    <dataField name="Sum of Total_Amount" fld="13" baseField="0" baseItem="0" numFmtId="165"/>
  </dataFields>
  <formats count="1">
    <format dxfId="9">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0956461-A9DB-460F-A49A-49E38FC7DD6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Gender">
  <location ref="C2:C3" firstHeaderRow="1" firstDataRow="1" firstDataCol="0"/>
  <pivotFields count="14">
    <pivotField dataField="1" numFmtId="1" showAll="0"/>
    <pivotField numFmtId="14" showAll="0"/>
    <pivotField showAll="0">
      <items count="13">
        <item x="0"/>
        <item x="1"/>
        <item x="2"/>
        <item x="3"/>
        <item x="4"/>
        <item x="5"/>
        <item x="6"/>
        <item x="7"/>
        <item x="8"/>
        <item x="9"/>
        <item x="10"/>
        <item x="11"/>
        <item t="default"/>
      </items>
    </pivotField>
    <pivotField numFmtId="1" showAll="0"/>
    <pivotField numFmtId="1" showAll="0">
      <items count="3">
        <item x="0"/>
        <item x="1"/>
        <item t="default"/>
      </items>
    </pivotField>
    <pivotField showAll="0"/>
    <pivotField showAll="0">
      <items count="3">
        <item x="1"/>
        <item x="0"/>
        <item t="default"/>
      </items>
    </pivotField>
    <pivotField numFmtId="1" showAll="0"/>
    <pivotField showAll="0">
      <items count="6">
        <item x="0"/>
        <item x="2"/>
        <item x="1"/>
        <item x="4"/>
        <item x="3"/>
        <item t="default"/>
      </items>
    </pivotField>
    <pivotField showAll="0">
      <items count="4">
        <item x="1"/>
        <item x="0"/>
        <item x="2"/>
        <item t="default"/>
      </items>
    </pivotField>
    <pivotField numFmtId="1" showAll="0"/>
    <pivotField showAll="0">
      <items count="5">
        <item x="1"/>
        <item x="0"/>
        <item x="2"/>
        <item x="3"/>
        <item t="default"/>
      </items>
    </pivotField>
    <pivotField numFmtId="44" showAll="0"/>
    <pivotField numFmtId="44" showAll="0"/>
  </pivotFields>
  <rowItems count="1">
    <i/>
  </rowItems>
  <colItems count="1">
    <i/>
  </colItems>
  <dataFields count="1">
    <dataField name="Total Number of Transactions_x000a_Total Number of Transactions_x000a_" fld="0" subtotal="count" baseField="0" baseItem="0" numFmtId="1"/>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1A95745-9421-432A-BB7A-38ED449AFBC7}" sourceName="Gender">
  <pivotTables>
    <pivotTable tabId="9" name="PivotTable1"/>
    <pivotTable tabId="9" name="PivotTable10"/>
    <pivotTable tabId="9" name="PivotTable2"/>
    <pivotTable tabId="9" name="PivotTable5"/>
    <pivotTable tabId="9" name="PivotTable6"/>
    <pivotTable tabId="9" name="PivotTable7"/>
    <pivotTable tabId="9" name="PivotTable9"/>
    <pivotTable tabId="9" name="PivotTable12"/>
    <pivotTable tabId="9" name="PivotTable13"/>
    <pivotTable tabId="9" name="PivotTable4"/>
    <pivotTable tabId="9" name="PivotTable14"/>
    <pivotTable tabId="9" name="PivotTable16"/>
    <pivotTable tabId="9" name="PivotTable25"/>
    <pivotTable tabId="9" name="PivotTable3"/>
  </pivotTables>
  <data>
    <tabular pivotCacheId="543026531">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03C17DA-F05A-41E2-9A4D-2E8EA66ABFB5}" sourceName="Age_Group">
  <pivotTables>
    <pivotTable tabId="9" name="PivotTable1"/>
    <pivotTable tabId="9" name="PivotTable10"/>
    <pivotTable tabId="9" name="PivotTable2"/>
    <pivotTable tabId="9" name="PivotTable5"/>
    <pivotTable tabId="9" name="PivotTable6"/>
    <pivotTable tabId="9" name="PivotTable7"/>
    <pivotTable tabId="9" name="PivotTable9"/>
    <pivotTable tabId="9" name="PivotTable12"/>
    <pivotTable tabId="9" name="PivotTable13"/>
    <pivotTable tabId="9" name="PivotTable4"/>
    <pivotTable tabId="9" name="PivotTable14"/>
    <pivotTable tabId="9" name="PivotTable16"/>
    <pivotTable tabId="9" name="PivotTable25"/>
    <pivotTable tabId="9" name="PivotTable3"/>
  </pivotTables>
  <data>
    <tabular pivotCacheId="543026531">
      <items count="5">
        <i x="0" s="1"/>
        <i x="2" s="1"/>
        <i x="1"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EDDEFD6C-1CA8-45BF-B07D-FABAE75BE85E}" sourceName="Product_Category">
  <pivotTables>
    <pivotTable tabId="9" name="PivotTable1"/>
    <pivotTable tabId="9" name="PivotTable10"/>
    <pivotTable tabId="9" name="PivotTable2"/>
    <pivotTable tabId="9" name="PivotTable5"/>
    <pivotTable tabId="9" name="PivotTable6"/>
    <pivotTable tabId="9" name="PivotTable7"/>
    <pivotTable tabId="9" name="PivotTable9"/>
    <pivotTable tabId="9" name="PivotTable12"/>
    <pivotTable tabId="9" name="PivotTable13"/>
    <pivotTable tabId="9" name="PivotTable4"/>
    <pivotTable tabId="9" name="PivotTable14"/>
    <pivotTable tabId="9" name="PivotTable16"/>
    <pivotTable tabId="9" name="PivotTable25"/>
    <pivotTable tabId="9" name="PivotTable3"/>
  </pivotTables>
  <data>
    <tabular pivotCacheId="543026531">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E85D92A3-ADC0-4C91-A677-52BFA3E5E5CE}" sourceName="Month_Name">
  <pivotTables>
    <pivotTable tabId="9" name="PivotTable2"/>
    <pivotTable tabId="9" name="PivotTable1"/>
    <pivotTable tabId="9" name="PivotTable10"/>
    <pivotTable tabId="9" name="PivotTable12"/>
    <pivotTable tabId="9" name="PivotTable13"/>
    <pivotTable tabId="9" name="PivotTable5"/>
    <pivotTable tabId="9" name="PivotTable6"/>
    <pivotTable tabId="9" name="PivotTable7"/>
    <pivotTable tabId="9" name="PivotTable9"/>
    <pivotTable tabId="9" name="PivotTable4"/>
    <pivotTable tabId="9" name="PivotTable14"/>
    <pivotTable tabId="9" name="PivotTable16"/>
    <pivotTable tabId="9" name="PivotTable25"/>
    <pivotTable tabId="9" name="PivotTable3"/>
  </pivotTables>
  <data>
    <tabular pivotCacheId="543026531">
      <items count="12">
        <i x="0" s="1"/>
        <i x="1" s="1"/>
        <i x="2" s="1"/>
        <i x="3" s="1"/>
        <i x="4" s="1"/>
        <i x="5" s="1"/>
        <i x="6" s="1"/>
        <i x="7" s="1"/>
        <i x="8" s="1"/>
        <i x="9" s="1"/>
        <i x="10" s="1"/>
        <i x="1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BCC4CA0-BCD4-4C3E-ABFA-359B00C03F10}" sourceName="Year">
  <pivotTables>
    <pivotTable tabId="9" name="PivotTable2"/>
    <pivotTable tabId="9" name="PivotTable1"/>
    <pivotTable tabId="9" name="PivotTable10"/>
    <pivotTable tabId="9" name="PivotTable12"/>
    <pivotTable tabId="9" name="PivotTable13"/>
    <pivotTable tabId="9" name="PivotTable5"/>
    <pivotTable tabId="9" name="PivotTable6"/>
    <pivotTable tabId="9" name="PivotTable7"/>
    <pivotTable tabId="9" name="PivotTable9"/>
    <pivotTable tabId="9" name="PivotTable4"/>
    <pivotTable tabId="9" name="PivotTable14"/>
    <pivotTable tabId="9" name="PivotTable16"/>
    <pivotTable tabId="9" name="PivotTable25"/>
    <pivotTable tabId="9" name="PivotTable3"/>
  </pivotTables>
  <data>
    <tabular pivotCacheId="54302653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E24A8B20-C90C-41D6-828D-E2BB7EDE4091}" cache="Slicer_Gender" caption="Gender" style="SlicerStyleLight2" rowHeight="209550"/>
  <slicer name="Product_Category 1" xr10:uid="{1A7FD967-98C2-4E95-B280-CD34BC851728}" cache="Slicer_Product_Category" caption="Product_Category" style="SlicerStyleLight2" rowHeight="209550"/>
  <slicer name="Year 1" xr10:uid="{48779741-B894-4C17-A54E-D39CBB615BB3}" cache="Slicer_Year" caption="Year" style="SlicerStyleLight2"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1" xr10:uid="{4AA40CCD-96A2-443D-93CC-A2464A05882D}" cache="Slicer_Age_Group" caption="Age_Group" style="SlicerStyleLight2" rowHeight="209550"/>
  <slicer name="Product_Category 2" xr10:uid="{9AC417D0-219D-4A82-B267-0081FA2591F2}" cache="Slicer_Product_Category" caption="Product_Category" style="SlicerStyleLight2" rowHeight="209550"/>
  <slicer name="Month_Name 1" xr10:uid="{E9E960F7-3D5F-496C-B645-1F33276DAFB2}" cache="Slicer_Month_Name" caption="Month_Name" style="SlicerStyleLight2" rowHeight="209550"/>
  <slicer name="Year 2" xr10:uid="{5243653B-2F7E-4CC6-8850-6CE8CA60288E}" cache="Slicer_Year" caption="Year" style="SlicerStyleLigh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635BCC-FC5C-44CA-9609-8CBFD6EC7616}" name="Table2" displayName="Table2" ref="A1:N1001" totalsRowShown="0">
  <autoFilter ref="A1:N1001" xr:uid="{60635BCC-FC5C-44CA-9609-8CBFD6EC7616}"/>
  <sortState xmlns:xlrd2="http://schemas.microsoft.com/office/spreadsheetml/2017/richdata2" ref="A2:N1001">
    <sortCondition ref="D1:D1001"/>
  </sortState>
  <tableColumns count="14">
    <tableColumn id="1" xr3:uid="{5898FF02-3AEA-44E1-A2E8-27077DB12FAA}" name="Transaction ID"/>
    <tableColumn id="2" xr3:uid="{3E386A4F-FE72-43A9-B88E-487420DC2724}" name="Date" dataDxfId="37"/>
    <tableColumn id="15" xr3:uid="{9A249FA4-245F-48CD-BC2C-98E1AE39DE4C}" name="Month_Name" dataDxfId="36">
      <calculatedColumnFormula>TEXT(Table2[[#This Row],[Date]], "MMM")</calculatedColumnFormula>
    </tableColumn>
    <tableColumn id="10" xr3:uid="{D2D4618A-EADA-44CE-B982-1434C231DB0E}" name="Month_Number" dataDxfId="35">
      <calculatedColumnFormula>MONTH(Table2[[#This Row],[Date]])</calculatedColumnFormula>
    </tableColumn>
    <tableColumn id="11" xr3:uid="{C6E750D5-B669-4995-B51F-D2AB50AFA8B1}" name="Year" dataDxfId="34">
      <calculatedColumnFormula>YEAR(Table2[[#This Row],[Date]])</calculatedColumnFormula>
    </tableColumn>
    <tableColumn id="3" xr3:uid="{9C5F0C24-B1A3-4B52-B0C0-CAA74C97C1F2}" name="Customer_ID" dataDxfId="33"/>
    <tableColumn id="4" xr3:uid="{46AE8FB9-8B5F-48CD-B1E9-3DCDCBBCB2EA}" name="Gender" dataDxfId="32"/>
    <tableColumn id="5" xr3:uid="{1A1A5D01-69B0-449A-B0D4-47C94B93125E}" name="Age" dataDxfId="31"/>
    <tableColumn id="13" xr3:uid="{7867A4B7-8B73-493B-878E-018E35E2F4AC}" name="Age_Group" dataDxfId="30">
      <calculatedColumnFormula>IF(Table2[[#This Row],[Age]] &lt; 19, "Teenagers", IF(Table2[[#This Row],[Age]] &lt;= 34, "Young Adults", IF(Table2[[#This Row],[Age]] &lt;= 45, "Adults", IF(Table2[[#This Row],[Age]] &lt;= 55, "Seniors", "Elderly")) ))</calculatedColumnFormula>
    </tableColumn>
    <tableColumn id="6" xr3:uid="{E30529D5-6938-4FAE-AA38-78559E1D31D7}" name="Product_Category" dataDxfId="29"/>
    <tableColumn id="7" xr3:uid="{DA41EA1F-6B79-435E-A7CD-726048EFDAF8}" name="Quantity" dataDxfId="28"/>
    <tableColumn id="14" xr3:uid="{24F91DF2-3EB1-49AF-A67F-56DD0CC776B9}" name="Quantity_Category" dataDxfId="27">
      <calculatedColumnFormula>IF(Table2[[#This Row],[Quantity]]=1, "Single Order", IF(Table2[[#This Row],[Quantity]]=2, "Small Order", IF(Table2[[#This Row],[Quantity]]=3, "Medium Order", "Bulk Order")))</calculatedColumnFormula>
    </tableColumn>
    <tableColumn id="8" xr3:uid="{71B9EB0B-50F6-42A1-85DF-F210EF09E482}" name="Price_Per_Unit" dataDxfId="26"/>
    <tableColumn id="9" xr3:uid="{21BDB342-8C70-4087-8B37-1C1046717B79}" name="Total_Amount"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B9BAE32-D79A-4A4F-9ACC-EA2CA3B0F72D}" name="Table3" displayName="Table3" ref="A1:N1001" totalsRowShown="0">
  <autoFilter ref="A1:N1001" xr:uid="{FB9BAE32-D79A-4A4F-9ACC-EA2CA3B0F72D}"/>
  <sortState xmlns:xlrd2="http://schemas.microsoft.com/office/spreadsheetml/2017/richdata2" ref="B2:N1001">
    <sortCondition ref="B1:B1001"/>
  </sortState>
  <tableColumns count="14">
    <tableColumn id="12" xr3:uid="{008F3FE6-6D17-47A0-8040-87B15F324698}" name="Transaction ID" dataDxfId="24"/>
    <tableColumn id="1" xr3:uid="{ED1A0CF9-404B-4C12-AE88-17C0006294F0}" name="Date" dataDxfId="23"/>
    <tableColumn id="2" xr3:uid="{B51E9EA9-E881-489D-B044-69982EAF357D}" name="Month_Name" dataDxfId="22"/>
    <tableColumn id="13" xr3:uid="{91C3F4AB-7759-4BB1-9B14-9E4F29925664}" name="Month_Number" dataDxfId="21"/>
    <tableColumn id="14" xr3:uid="{5E1BE1BA-B769-446D-990E-3A5E3443D515}" name="Year" dataDxfId="20"/>
    <tableColumn id="3" xr3:uid="{862E5CEA-8B7D-4875-996C-232BE6BAB43D}" name="Customer_ID" dataDxfId="19"/>
    <tableColumn id="4" xr3:uid="{7910F25A-4EC5-4705-A2CB-CD8985600629}" name="Gender" dataDxfId="18"/>
    <tableColumn id="5" xr3:uid="{EEDA7962-22D7-4B92-9B21-296BD29E5E41}" name="Age" dataDxfId="17"/>
    <tableColumn id="6" xr3:uid="{ED7D94AF-8005-486E-8EB2-473BA31CCF60}" name="Age_Group" dataDxfId="16"/>
    <tableColumn id="7" xr3:uid="{5166DAF1-C26B-499F-BB39-00004D94AF74}" name="Product_Category" dataDxfId="15"/>
    <tableColumn id="8" xr3:uid="{F9DB6D82-9461-47F0-9D1D-E63D8CC11054}" name="Quantity" dataDxfId="14"/>
    <tableColumn id="9" xr3:uid="{93FB7D91-FA47-4B6D-8013-783A2333DA00}" name="Quantity_Category" dataDxfId="13"/>
    <tableColumn id="10" xr3:uid="{BEA7CBBB-BC11-4C19-B11A-1D49469DE730}" name="Price_Per_Unit" dataDxfId="12"/>
    <tableColumn id="11" xr3:uid="{42CB21F9-FEA7-47C0-94AD-6A9F933CAE1B}" name="Total_Amount"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04027-26DE-412C-8371-8EA6FDD909A0}">
  <sheetPr>
    <tabColor theme="5"/>
  </sheetPr>
  <dimension ref="A1:A91"/>
  <sheetViews>
    <sheetView showGridLines="0" workbookViewId="0">
      <selection activeCell="A94" sqref="A94"/>
    </sheetView>
  </sheetViews>
  <sheetFormatPr defaultRowHeight="15" x14ac:dyDescent="0.25"/>
  <cols>
    <col min="1" max="1" width="130" style="20" bestFit="1" customWidth="1"/>
  </cols>
  <sheetData>
    <row r="1" spans="1:1" ht="18.75" x14ac:dyDescent="0.3">
      <c r="A1" s="23" t="s">
        <v>1055</v>
      </c>
    </row>
    <row r="2" spans="1:1" ht="18.75" x14ac:dyDescent="0.3">
      <c r="A2" s="22"/>
    </row>
    <row r="3" spans="1:1" x14ac:dyDescent="0.25">
      <c r="A3" s="19"/>
    </row>
    <row r="4" spans="1:1" x14ac:dyDescent="0.25">
      <c r="A4" s="20" t="s">
        <v>1069</v>
      </c>
    </row>
    <row r="5" spans="1:1" x14ac:dyDescent="0.25">
      <c r="A5" s="19" t="s">
        <v>1070</v>
      </c>
    </row>
    <row r="7" spans="1:1" x14ac:dyDescent="0.25">
      <c r="A7" s="19" t="s">
        <v>1058</v>
      </c>
    </row>
    <row r="8" spans="1:1" x14ac:dyDescent="0.25">
      <c r="A8" s="20" t="s">
        <v>1108</v>
      </c>
    </row>
    <row r="9" spans="1:1" x14ac:dyDescent="0.25">
      <c r="A9" s="20" t="s">
        <v>1056</v>
      </c>
    </row>
    <row r="11" spans="1:1" x14ac:dyDescent="0.25">
      <c r="A11" s="19" t="s">
        <v>1057</v>
      </c>
    </row>
    <row r="12" spans="1:1" x14ac:dyDescent="0.25">
      <c r="A12" s="20" t="s">
        <v>1059</v>
      </c>
    </row>
    <row r="13" spans="1:1" x14ac:dyDescent="0.25">
      <c r="A13" s="21" t="s">
        <v>1109</v>
      </c>
    </row>
    <row r="14" spans="1:1" x14ac:dyDescent="0.25">
      <c r="A14" s="20" t="s">
        <v>1060</v>
      </c>
    </row>
    <row r="15" spans="1:1" x14ac:dyDescent="0.25">
      <c r="A15" s="20" t="s">
        <v>1061</v>
      </c>
    </row>
    <row r="16" spans="1:1" x14ac:dyDescent="0.25">
      <c r="A16" s="20" t="s">
        <v>1062</v>
      </c>
    </row>
    <row r="17" spans="1:1" x14ac:dyDescent="0.25">
      <c r="A17" s="20" t="s">
        <v>1063</v>
      </c>
    </row>
    <row r="18" spans="1:1" x14ac:dyDescent="0.25">
      <c r="A18" s="20" t="s">
        <v>1073</v>
      </c>
    </row>
    <row r="19" spans="1:1" x14ac:dyDescent="0.25">
      <c r="A19" s="20" t="s">
        <v>1064</v>
      </c>
    </row>
    <row r="21" spans="1:1" x14ac:dyDescent="0.25">
      <c r="A21" s="19" t="s">
        <v>1065</v>
      </c>
    </row>
    <row r="22" spans="1:1" x14ac:dyDescent="0.25">
      <c r="A22" s="20" t="s">
        <v>1066</v>
      </c>
    </row>
    <row r="23" spans="1:1" x14ac:dyDescent="0.25">
      <c r="A23" s="20" t="s">
        <v>1067</v>
      </c>
    </row>
    <row r="24" spans="1:1" x14ac:dyDescent="0.25">
      <c r="A24" s="20" t="s">
        <v>1068</v>
      </c>
    </row>
    <row r="25" spans="1:1" x14ac:dyDescent="0.25">
      <c r="A25" s="20" t="s">
        <v>1071</v>
      </c>
    </row>
    <row r="26" spans="1:1" x14ac:dyDescent="0.25">
      <c r="A26" s="20" t="s">
        <v>1072</v>
      </c>
    </row>
    <row r="28" spans="1:1" x14ac:dyDescent="0.25">
      <c r="A28" s="19" t="s">
        <v>1074</v>
      </c>
    </row>
    <row r="29" spans="1:1" x14ac:dyDescent="0.25">
      <c r="A29" s="20" t="s">
        <v>1075</v>
      </c>
    </row>
    <row r="30" spans="1:1" x14ac:dyDescent="0.25">
      <c r="A30" s="20" t="s">
        <v>1076</v>
      </c>
    </row>
    <row r="31" spans="1:1" x14ac:dyDescent="0.25">
      <c r="A31" s="20" t="s">
        <v>1077</v>
      </c>
    </row>
    <row r="32" spans="1:1" x14ac:dyDescent="0.25">
      <c r="A32" s="20" t="s">
        <v>1078</v>
      </c>
    </row>
    <row r="33" spans="1:1" x14ac:dyDescent="0.25">
      <c r="A33" s="20" t="s">
        <v>1079</v>
      </c>
    </row>
    <row r="34" spans="1:1" x14ac:dyDescent="0.25">
      <c r="A34" s="20" t="s">
        <v>1080</v>
      </c>
    </row>
    <row r="35" spans="1:1" x14ac:dyDescent="0.25">
      <c r="A35" s="20" t="s">
        <v>1110</v>
      </c>
    </row>
    <row r="36" spans="1:1" x14ac:dyDescent="0.25">
      <c r="A36" s="20" t="s">
        <v>1081</v>
      </c>
    </row>
    <row r="37" spans="1:1" x14ac:dyDescent="0.25">
      <c r="A37" s="20" t="s">
        <v>1082</v>
      </c>
    </row>
    <row r="39" spans="1:1" x14ac:dyDescent="0.25">
      <c r="A39" s="19" t="s">
        <v>1083</v>
      </c>
    </row>
    <row r="40" spans="1:1" x14ac:dyDescent="0.25">
      <c r="A40" s="19" t="s">
        <v>1084</v>
      </c>
    </row>
    <row r="41" spans="1:1" x14ac:dyDescent="0.25">
      <c r="A41" s="20" t="s">
        <v>1085</v>
      </c>
    </row>
    <row r="42" spans="1:1" x14ac:dyDescent="0.25">
      <c r="A42" s="20" t="s">
        <v>1086</v>
      </c>
    </row>
    <row r="43" spans="1:1" x14ac:dyDescent="0.25">
      <c r="A43" s="20" t="s">
        <v>1087</v>
      </c>
    </row>
    <row r="44" spans="1:1" x14ac:dyDescent="0.25">
      <c r="A44" s="20" t="s">
        <v>1114</v>
      </c>
    </row>
    <row r="45" spans="1:1" x14ac:dyDescent="0.25">
      <c r="A45" s="20" t="s">
        <v>1088</v>
      </c>
    </row>
    <row r="46" spans="1:1" x14ac:dyDescent="0.25">
      <c r="A46" s="20" t="s">
        <v>1089</v>
      </c>
    </row>
    <row r="47" spans="1:1" x14ac:dyDescent="0.25">
      <c r="A47" s="20" t="s">
        <v>1111</v>
      </c>
    </row>
    <row r="48" spans="1:1" x14ac:dyDescent="0.25">
      <c r="A48" s="20" t="s">
        <v>1090</v>
      </c>
    </row>
    <row r="50" spans="1:1" x14ac:dyDescent="0.25">
      <c r="A50" s="19" t="s">
        <v>1091</v>
      </c>
    </row>
    <row r="51" spans="1:1" x14ac:dyDescent="0.25">
      <c r="A51" s="20" t="s">
        <v>1092</v>
      </c>
    </row>
    <row r="52" spans="1:1" x14ac:dyDescent="0.25">
      <c r="A52" s="20" t="s">
        <v>1093</v>
      </c>
    </row>
    <row r="53" spans="1:1" x14ac:dyDescent="0.25">
      <c r="A53" s="20" t="s">
        <v>1094</v>
      </c>
    </row>
    <row r="54" spans="1:1" x14ac:dyDescent="0.25">
      <c r="A54" s="20" t="s">
        <v>1095</v>
      </c>
    </row>
    <row r="55" spans="1:1" x14ac:dyDescent="0.25">
      <c r="A55" s="20" t="s">
        <v>1113</v>
      </c>
    </row>
    <row r="56" spans="1:1" x14ac:dyDescent="0.25">
      <c r="A56" s="20" t="s">
        <v>1112</v>
      </c>
    </row>
    <row r="57" spans="1:1" x14ac:dyDescent="0.25">
      <c r="A57" s="20" t="s">
        <v>1115</v>
      </c>
    </row>
    <row r="59" spans="1:1" x14ac:dyDescent="0.25">
      <c r="A59" s="19" t="s">
        <v>1096</v>
      </c>
    </row>
    <row r="60" spans="1:1" x14ac:dyDescent="0.25">
      <c r="A60" s="20" t="s">
        <v>1116</v>
      </c>
    </row>
    <row r="61" spans="1:1" x14ac:dyDescent="0.25">
      <c r="A61" s="20" t="s">
        <v>1127</v>
      </c>
    </row>
    <row r="62" spans="1:1" x14ac:dyDescent="0.25">
      <c r="A62" s="20" t="s">
        <v>1097</v>
      </c>
    </row>
    <row r="63" spans="1:1" x14ac:dyDescent="0.25">
      <c r="A63" s="20" t="s">
        <v>1098</v>
      </c>
    </row>
    <row r="64" spans="1:1" x14ac:dyDescent="0.25">
      <c r="A64" s="20" t="s">
        <v>1124</v>
      </c>
    </row>
    <row r="65" spans="1:1" x14ac:dyDescent="0.25">
      <c r="A65" s="20" t="s">
        <v>1099</v>
      </c>
    </row>
    <row r="67" spans="1:1" x14ac:dyDescent="0.25">
      <c r="A67" s="19" t="s">
        <v>1100</v>
      </c>
    </row>
    <row r="68" spans="1:1" x14ac:dyDescent="0.25">
      <c r="A68" s="20" t="s">
        <v>1101</v>
      </c>
    </row>
    <row r="69" spans="1:1" x14ac:dyDescent="0.25">
      <c r="A69" s="20" t="s">
        <v>1102</v>
      </c>
    </row>
    <row r="70" spans="1:1" x14ac:dyDescent="0.25">
      <c r="A70" s="20" t="s">
        <v>1103</v>
      </c>
    </row>
    <row r="71" spans="1:1" x14ac:dyDescent="0.25">
      <c r="A71" s="20" t="s">
        <v>1126</v>
      </c>
    </row>
    <row r="72" spans="1:1" x14ac:dyDescent="0.25">
      <c r="A72" s="20" t="s">
        <v>1125</v>
      </c>
    </row>
    <row r="74" spans="1:1" x14ac:dyDescent="0.25">
      <c r="A74" s="19" t="s">
        <v>1104</v>
      </c>
    </row>
    <row r="75" spans="1:1" x14ac:dyDescent="0.25">
      <c r="A75" s="20" t="s">
        <v>1117</v>
      </c>
    </row>
    <row r="76" spans="1:1" x14ac:dyDescent="0.25">
      <c r="A76" s="20" t="s">
        <v>1118</v>
      </c>
    </row>
    <row r="77" spans="1:1" x14ac:dyDescent="0.25">
      <c r="A77" s="20" t="s">
        <v>1119</v>
      </c>
    </row>
    <row r="78" spans="1:1" x14ac:dyDescent="0.25">
      <c r="A78" s="20" t="s">
        <v>1120</v>
      </c>
    </row>
    <row r="79" spans="1:1" x14ac:dyDescent="0.25">
      <c r="A79" s="20" t="s">
        <v>1121</v>
      </c>
    </row>
    <row r="80" spans="1:1" x14ac:dyDescent="0.25">
      <c r="A80" s="20" t="s">
        <v>1122</v>
      </c>
    </row>
    <row r="81" spans="1:1" x14ac:dyDescent="0.25">
      <c r="A81" s="20" t="s">
        <v>1123</v>
      </c>
    </row>
    <row r="83" spans="1:1" x14ac:dyDescent="0.25">
      <c r="A83" s="19" t="s">
        <v>1129</v>
      </c>
    </row>
    <row r="84" spans="1:1" x14ac:dyDescent="0.25">
      <c r="A84" s="20" t="s">
        <v>1128</v>
      </c>
    </row>
    <row r="85" spans="1:1" x14ac:dyDescent="0.25">
      <c r="A85" s="20" t="s">
        <v>1130</v>
      </c>
    </row>
    <row r="87" spans="1:1" x14ac:dyDescent="0.25">
      <c r="A87" s="19" t="s">
        <v>1105</v>
      </c>
    </row>
    <row r="88" spans="1:1" x14ac:dyDescent="0.25">
      <c r="A88" s="20" t="s">
        <v>1106</v>
      </c>
    </row>
    <row r="89" spans="1:1" x14ac:dyDescent="0.25">
      <c r="A89" s="20" t="s">
        <v>1107</v>
      </c>
    </row>
    <row r="91" spans="1:1" x14ac:dyDescent="0.25">
      <c r="A91" s="19"/>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outlinePr summaryBelow="0" summaryRight="0"/>
  </sheetPr>
  <dimension ref="A1:I1001"/>
  <sheetViews>
    <sheetView workbookViewId="0">
      <selection activeCell="G11" sqref="G11"/>
    </sheetView>
  </sheetViews>
  <sheetFormatPr defaultColWidth="16.85546875" defaultRowHeight="15.75" customHeight="1" x14ac:dyDescent="0.2"/>
  <sheetData>
    <row r="1" spans="1:9" ht="15.75" customHeight="1" x14ac:dyDescent="0.2">
      <c r="A1" s="1" t="s">
        <v>0</v>
      </c>
      <c r="B1" s="1" t="s">
        <v>1</v>
      </c>
      <c r="C1" s="1" t="s">
        <v>2</v>
      </c>
      <c r="D1" s="1" t="s">
        <v>3</v>
      </c>
      <c r="E1" s="1" t="s">
        <v>4</v>
      </c>
      <c r="F1" s="1" t="s">
        <v>5</v>
      </c>
      <c r="G1" s="1" t="s">
        <v>6</v>
      </c>
      <c r="H1" s="1" t="s">
        <v>7</v>
      </c>
      <c r="I1" s="1" t="s">
        <v>8</v>
      </c>
    </row>
    <row r="2" spans="1:9" ht="15.75" customHeight="1" x14ac:dyDescent="0.2">
      <c r="A2" s="1">
        <v>1</v>
      </c>
      <c r="B2" s="2">
        <v>45254</v>
      </c>
      <c r="C2" s="1" t="s">
        <v>9</v>
      </c>
      <c r="D2" s="1" t="s">
        <v>10</v>
      </c>
      <c r="E2" s="1">
        <v>34</v>
      </c>
      <c r="F2" s="1" t="s">
        <v>11</v>
      </c>
      <c r="G2" s="1">
        <v>3</v>
      </c>
      <c r="H2" s="1">
        <v>50</v>
      </c>
      <c r="I2" s="1">
        <v>150</v>
      </c>
    </row>
    <row r="3" spans="1:9" ht="15.75" customHeight="1" x14ac:dyDescent="0.2">
      <c r="A3" s="1">
        <v>2</v>
      </c>
      <c r="B3" s="2">
        <v>44984</v>
      </c>
      <c r="C3" s="1" t="s">
        <v>12</v>
      </c>
      <c r="D3" s="1" t="s">
        <v>13</v>
      </c>
      <c r="E3" s="1">
        <v>26</v>
      </c>
      <c r="F3" s="1" t="s">
        <v>14</v>
      </c>
      <c r="G3" s="1">
        <v>2</v>
      </c>
      <c r="H3" s="1">
        <v>500</v>
      </c>
      <c r="I3" s="1">
        <v>1000</v>
      </c>
    </row>
    <row r="4" spans="1:9" ht="15.75" customHeight="1" x14ac:dyDescent="0.2">
      <c r="A4" s="1">
        <v>3</v>
      </c>
      <c r="B4" s="2">
        <v>44939</v>
      </c>
      <c r="C4" s="1" t="s">
        <v>15</v>
      </c>
      <c r="D4" s="1" t="s">
        <v>10</v>
      </c>
      <c r="E4" s="1">
        <v>50</v>
      </c>
      <c r="F4" s="1" t="s">
        <v>16</v>
      </c>
      <c r="G4" s="1">
        <v>1</v>
      </c>
      <c r="H4" s="1">
        <v>30</v>
      </c>
      <c r="I4" s="1">
        <v>30</v>
      </c>
    </row>
    <row r="5" spans="1:9" ht="15.75" customHeight="1" x14ac:dyDescent="0.2">
      <c r="A5" s="1">
        <v>4</v>
      </c>
      <c r="B5" s="2">
        <v>45067</v>
      </c>
      <c r="C5" s="1" t="s">
        <v>17</v>
      </c>
      <c r="D5" s="1" t="s">
        <v>10</v>
      </c>
      <c r="E5" s="1">
        <v>37</v>
      </c>
      <c r="F5" s="1" t="s">
        <v>14</v>
      </c>
      <c r="G5" s="1">
        <v>1</v>
      </c>
      <c r="H5" s="1">
        <v>500</v>
      </c>
      <c r="I5" s="1">
        <v>500</v>
      </c>
    </row>
    <row r="6" spans="1:9" ht="15.75" customHeight="1" x14ac:dyDescent="0.2">
      <c r="A6" s="1">
        <v>5</v>
      </c>
      <c r="B6" s="2">
        <v>45052</v>
      </c>
      <c r="C6" s="1" t="s">
        <v>18</v>
      </c>
      <c r="D6" s="1" t="s">
        <v>10</v>
      </c>
      <c r="E6" s="1">
        <v>30</v>
      </c>
      <c r="F6" s="1" t="s">
        <v>11</v>
      </c>
      <c r="G6" s="1">
        <v>2</v>
      </c>
      <c r="H6" s="1">
        <v>50</v>
      </c>
      <c r="I6" s="1">
        <v>100</v>
      </c>
    </row>
    <row r="7" spans="1:9" ht="15.75" customHeight="1" x14ac:dyDescent="0.2">
      <c r="A7" s="1">
        <v>6</v>
      </c>
      <c r="B7" s="2">
        <v>45041</v>
      </c>
      <c r="C7" s="1" t="s">
        <v>19</v>
      </c>
      <c r="D7" s="1" t="s">
        <v>13</v>
      </c>
      <c r="E7" s="1">
        <v>45</v>
      </c>
      <c r="F7" s="1" t="s">
        <v>11</v>
      </c>
      <c r="G7" s="1">
        <v>1</v>
      </c>
      <c r="H7" s="1">
        <v>30</v>
      </c>
      <c r="I7" s="1">
        <v>30</v>
      </c>
    </row>
    <row r="8" spans="1:9" ht="15.75" customHeight="1" x14ac:dyDescent="0.2">
      <c r="A8" s="1">
        <v>7</v>
      </c>
      <c r="B8" s="2">
        <v>44998</v>
      </c>
      <c r="C8" s="1" t="s">
        <v>20</v>
      </c>
      <c r="D8" s="1" t="s">
        <v>10</v>
      </c>
      <c r="E8" s="1">
        <v>46</v>
      </c>
      <c r="F8" s="1" t="s">
        <v>14</v>
      </c>
      <c r="G8" s="1">
        <v>2</v>
      </c>
      <c r="H8" s="1">
        <v>25</v>
      </c>
      <c r="I8" s="1">
        <v>50</v>
      </c>
    </row>
    <row r="9" spans="1:9" ht="15.75" customHeight="1" x14ac:dyDescent="0.2">
      <c r="A9" s="1">
        <v>8</v>
      </c>
      <c r="B9" s="2">
        <v>44979</v>
      </c>
      <c r="C9" s="1" t="s">
        <v>21</v>
      </c>
      <c r="D9" s="1" t="s">
        <v>10</v>
      </c>
      <c r="E9" s="1">
        <v>30</v>
      </c>
      <c r="F9" s="1" t="s">
        <v>16</v>
      </c>
      <c r="G9" s="1">
        <v>4</v>
      </c>
      <c r="H9" s="1">
        <v>25</v>
      </c>
      <c r="I9" s="1">
        <v>100</v>
      </c>
    </row>
    <row r="10" spans="1:9" ht="15.75" customHeight="1" x14ac:dyDescent="0.2">
      <c r="A10" s="1">
        <v>9</v>
      </c>
      <c r="B10" s="2">
        <v>45273</v>
      </c>
      <c r="C10" s="1" t="s">
        <v>22</v>
      </c>
      <c r="D10" s="1" t="s">
        <v>10</v>
      </c>
      <c r="E10" s="1">
        <v>63</v>
      </c>
      <c r="F10" s="1" t="s">
        <v>16</v>
      </c>
      <c r="G10" s="1">
        <v>2</v>
      </c>
      <c r="H10" s="1">
        <v>300</v>
      </c>
      <c r="I10" s="1">
        <v>600</v>
      </c>
    </row>
    <row r="11" spans="1:9" ht="15.75" customHeight="1" x14ac:dyDescent="0.2">
      <c r="A11" s="1">
        <v>10</v>
      </c>
      <c r="B11" s="2">
        <v>45206</v>
      </c>
      <c r="C11" s="1" t="s">
        <v>23</v>
      </c>
      <c r="D11" s="1" t="s">
        <v>13</v>
      </c>
      <c r="E11" s="1">
        <v>52</v>
      </c>
      <c r="F11" s="1" t="s">
        <v>14</v>
      </c>
      <c r="G11" s="1">
        <v>4</v>
      </c>
      <c r="H11" s="1">
        <v>50</v>
      </c>
      <c r="I11" s="1">
        <v>200</v>
      </c>
    </row>
    <row r="12" spans="1:9" ht="15.75" customHeight="1" x14ac:dyDescent="0.2">
      <c r="A12" s="1">
        <v>11</v>
      </c>
      <c r="B12" s="2">
        <v>44971</v>
      </c>
      <c r="C12" s="1" t="s">
        <v>24</v>
      </c>
      <c r="D12" s="1" t="s">
        <v>10</v>
      </c>
      <c r="E12" s="1">
        <v>23</v>
      </c>
      <c r="F12" s="1" t="s">
        <v>14</v>
      </c>
      <c r="G12" s="1">
        <v>2</v>
      </c>
      <c r="H12" s="1">
        <v>50</v>
      </c>
      <c r="I12" s="1">
        <v>100</v>
      </c>
    </row>
    <row r="13" spans="1:9" ht="15.75" customHeight="1" x14ac:dyDescent="0.2">
      <c r="A13" s="1">
        <v>12</v>
      </c>
      <c r="B13" s="2">
        <v>45229</v>
      </c>
      <c r="C13" s="1" t="s">
        <v>25</v>
      </c>
      <c r="D13" s="1" t="s">
        <v>10</v>
      </c>
      <c r="E13" s="1">
        <v>35</v>
      </c>
      <c r="F13" s="1" t="s">
        <v>11</v>
      </c>
      <c r="G13" s="1">
        <v>3</v>
      </c>
      <c r="H13" s="1">
        <v>25</v>
      </c>
      <c r="I13" s="1">
        <v>75</v>
      </c>
    </row>
    <row r="14" spans="1:9" ht="15.75" customHeight="1" x14ac:dyDescent="0.2">
      <c r="A14" s="1">
        <v>13</v>
      </c>
      <c r="B14" s="2">
        <v>45143</v>
      </c>
      <c r="C14" s="1" t="s">
        <v>26</v>
      </c>
      <c r="D14" s="1" t="s">
        <v>10</v>
      </c>
      <c r="E14" s="1">
        <v>22</v>
      </c>
      <c r="F14" s="1" t="s">
        <v>16</v>
      </c>
      <c r="G14" s="1">
        <v>3</v>
      </c>
      <c r="H14" s="1">
        <v>500</v>
      </c>
      <c r="I14" s="1">
        <v>1500</v>
      </c>
    </row>
    <row r="15" spans="1:9" ht="15.75" customHeight="1" x14ac:dyDescent="0.2">
      <c r="A15" s="1">
        <v>14</v>
      </c>
      <c r="B15" s="2">
        <v>44943</v>
      </c>
      <c r="C15" s="1" t="s">
        <v>27</v>
      </c>
      <c r="D15" s="1" t="s">
        <v>10</v>
      </c>
      <c r="E15" s="1">
        <v>64</v>
      </c>
      <c r="F15" s="1" t="s">
        <v>14</v>
      </c>
      <c r="G15" s="1">
        <v>4</v>
      </c>
      <c r="H15" s="1">
        <v>30</v>
      </c>
      <c r="I15" s="1">
        <v>120</v>
      </c>
    </row>
    <row r="16" spans="1:9" ht="15.75" customHeight="1" x14ac:dyDescent="0.2">
      <c r="A16" s="1">
        <v>15</v>
      </c>
      <c r="B16" s="2">
        <v>44942</v>
      </c>
      <c r="C16" s="1" t="s">
        <v>28</v>
      </c>
      <c r="D16" s="1" t="s">
        <v>13</v>
      </c>
      <c r="E16" s="1">
        <v>42</v>
      </c>
      <c r="F16" s="1" t="s">
        <v>16</v>
      </c>
      <c r="G16" s="1">
        <v>4</v>
      </c>
      <c r="H16" s="1">
        <v>500</v>
      </c>
      <c r="I16" s="1">
        <v>2000</v>
      </c>
    </row>
    <row r="17" spans="1:9" ht="15.75" customHeight="1" x14ac:dyDescent="0.2">
      <c r="A17" s="1">
        <v>16</v>
      </c>
      <c r="B17" s="2">
        <v>44974</v>
      </c>
      <c r="C17" s="1" t="s">
        <v>29</v>
      </c>
      <c r="D17" s="1" t="s">
        <v>10</v>
      </c>
      <c r="E17" s="1">
        <v>19</v>
      </c>
      <c r="F17" s="1" t="s">
        <v>14</v>
      </c>
      <c r="G17" s="1">
        <v>3</v>
      </c>
      <c r="H17" s="1">
        <v>500</v>
      </c>
      <c r="I17" s="1">
        <v>1500</v>
      </c>
    </row>
    <row r="18" spans="1:9" ht="15.75" customHeight="1" x14ac:dyDescent="0.2">
      <c r="A18" s="1">
        <v>17</v>
      </c>
      <c r="B18" s="2">
        <v>45038</v>
      </c>
      <c r="C18" s="1" t="s">
        <v>30</v>
      </c>
      <c r="D18" s="1" t="s">
        <v>13</v>
      </c>
      <c r="E18" s="1">
        <v>27</v>
      </c>
      <c r="F18" s="1" t="s">
        <v>14</v>
      </c>
      <c r="G18" s="1">
        <v>4</v>
      </c>
      <c r="H18" s="1">
        <v>25</v>
      </c>
      <c r="I18" s="1">
        <v>100</v>
      </c>
    </row>
    <row r="19" spans="1:9" ht="12.75" x14ac:dyDescent="0.2">
      <c r="A19" s="1">
        <v>18</v>
      </c>
      <c r="B19" s="2">
        <v>45046</v>
      </c>
      <c r="C19" s="1" t="s">
        <v>31</v>
      </c>
      <c r="D19" s="1" t="s">
        <v>13</v>
      </c>
      <c r="E19" s="1">
        <v>47</v>
      </c>
      <c r="F19" s="1" t="s">
        <v>16</v>
      </c>
      <c r="G19" s="1">
        <v>2</v>
      </c>
      <c r="H19" s="1">
        <v>25</v>
      </c>
      <c r="I19" s="1">
        <v>50</v>
      </c>
    </row>
    <row r="20" spans="1:9" ht="12.75" x14ac:dyDescent="0.2">
      <c r="A20" s="1">
        <v>19</v>
      </c>
      <c r="B20" s="2">
        <v>45185</v>
      </c>
      <c r="C20" s="1" t="s">
        <v>32</v>
      </c>
      <c r="D20" s="1" t="s">
        <v>13</v>
      </c>
      <c r="E20" s="1">
        <v>62</v>
      </c>
      <c r="F20" s="1" t="s">
        <v>14</v>
      </c>
      <c r="G20" s="1">
        <v>2</v>
      </c>
      <c r="H20" s="1">
        <v>25</v>
      </c>
      <c r="I20" s="1">
        <v>50</v>
      </c>
    </row>
    <row r="21" spans="1:9" ht="12.75" x14ac:dyDescent="0.2">
      <c r="A21" s="1">
        <v>20</v>
      </c>
      <c r="B21" s="2">
        <v>45235</v>
      </c>
      <c r="C21" s="1" t="s">
        <v>33</v>
      </c>
      <c r="D21" s="1" t="s">
        <v>10</v>
      </c>
      <c r="E21" s="1">
        <v>22</v>
      </c>
      <c r="F21" s="1" t="s">
        <v>14</v>
      </c>
      <c r="G21" s="1">
        <v>3</v>
      </c>
      <c r="H21" s="1">
        <v>300</v>
      </c>
      <c r="I21" s="1">
        <v>900</v>
      </c>
    </row>
    <row r="22" spans="1:9" ht="12.75" x14ac:dyDescent="0.2">
      <c r="A22" s="1">
        <v>21</v>
      </c>
      <c r="B22" s="2">
        <v>44940</v>
      </c>
      <c r="C22" s="1" t="s">
        <v>34</v>
      </c>
      <c r="D22" s="1" t="s">
        <v>13</v>
      </c>
      <c r="E22" s="1">
        <v>50</v>
      </c>
      <c r="F22" s="1" t="s">
        <v>11</v>
      </c>
      <c r="G22" s="1">
        <v>1</v>
      </c>
      <c r="H22" s="1">
        <v>500</v>
      </c>
      <c r="I22" s="1">
        <v>500</v>
      </c>
    </row>
    <row r="23" spans="1:9" ht="12.75" x14ac:dyDescent="0.2">
      <c r="A23" s="1">
        <v>22</v>
      </c>
      <c r="B23" s="2">
        <v>45214</v>
      </c>
      <c r="C23" s="1" t="s">
        <v>35</v>
      </c>
      <c r="D23" s="1" t="s">
        <v>10</v>
      </c>
      <c r="E23" s="1">
        <v>18</v>
      </c>
      <c r="F23" s="1" t="s">
        <v>14</v>
      </c>
      <c r="G23" s="1">
        <v>2</v>
      </c>
      <c r="H23" s="1">
        <v>50</v>
      </c>
      <c r="I23" s="1">
        <v>100</v>
      </c>
    </row>
    <row r="24" spans="1:9" ht="12.75" x14ac:dyDescent="0.2">
      <c r="A24" s="1">
        <v>23</v>
      </c>
      <c r="B24" s="2">
        <v>45028</v>
      </c>
      <c r="C24" s="1" t="s">
        <v>36</v>
      </c>
      <c r="D24" s="1" t="s">
        <v>13</v>
      </c>
      <c r="E24" s="1">
        <v>35</v>
      </c>
      <c r="F24" s="1" t="s">
        <v>14</v>
      </c>
      <c r="G24" s="1">
        <v>4</v>
      </c>
      <c r="H24" s="1">
        <v>30</v>
      </c>
      <c r="I24" s="1">
        <v>120</v>
      </c>
    </row>
    <row r="25" spans="1:9" ht="12.75" x14ac:dyDescent="0.2">
      <c r="A25" s="1">
        <v>24</v>
      </c>
      <c r="B25" s="2">
        <v>45259</v>
      </c>
      <c r="C25" s="1" t="s">
        <v>37</v>
      </c>
      <c r="D25" s="1" t="s">
        <v>13</v>
      </c>
      <c r="E25" s="1">
        <v>49</v>
      </c>
      <c r="F25" s="1" t="s">
        <v>14</v>
      </c>
      <c r="G25" s="1">
        <v>1</v>
      </c>
      <c r="H25" s="1">
        <v>300</v>
      </c>
      <c r="I25" s="1">
        <v>300</v>
      </c>
    </row>
    <row r="26" spans="1:9" ht="12.75" x14ac:dyDescent="0.2">
      <c r="A26" s="1">
        <v>25</v>
      </c>
      <c r="B26" s="2">
        <v>45286</v>
      </c>
      <c r="C26" s="1" t="s">
        <v>38</v>
      </c>
      <c r="D26" s="1" t="s">
        <v>13</v>
      </c>
      <c r="E26" s="1">
        <v>64</v>
      </c>
      <c r="F26" s="1" t="s">
        <v>11</v>
      </c>
      <c r="G26" s="1">
        <v>1</v>
      </c>
      <c r="H26" s="1">
        <v>50</v>
      </c>
      <c r="I26" s="1">
        <v>50</v>
      </c>
    </row>
    <row r="27" spans="1:9" ht="12.75" x14ac:dyDescent="0.2">
      <c r="A27" s="1">
        <v>26</v>
      </c>
      <c r="B27" s="2">
        <v>45206</v>
      </c>
      <c r="C27" s="1" t="s">
        <v>39</v>
      </c>
      <c r="D27" s="1" t="s">
        <v>13</v>
      </c>
      <c r="E27" s="1">
        <v>28</v>
      </c>
      <c r="F27" s="1" t="s">
        <v>16</v>
      </c>
      <c r="G27" s="1">
        <v>2</v>
      </c>
      <c r="H27" s="1">
        <v>500</v>
      </c>
      <c r="I27" s="1">
        <v>1000</v>
      </c>
    </row>
    <row r="28" spans="1:9" ht="12.75" x14ac:dyDescent="0.2">
      <c r="A28" s="1">
        <v>27</v>
      </c>
      <c r="B28" s="2">
        <v>45141</v>
      </c>
      <c r="C28" s="1" t="s">
        <v>40</v>
      </c>
      <c r="D28" s="1" t="s">
        <v>13</v>
      </c>
      <c r="E28" s="1">
        <v>38</v>
      </c>
      <c r="F28" s="1" t="s">
        <v>11</v>
      </c>
      <c r="G28" s="1">
        <v>2</v>
      </c>
      <c r="H28" s="1">
        <v>25</v>
      </c>
      <c r="I28" s="1">
        <v>50</v>
      </c>
    </row>
    <row r="29" spans="1:9" ht="12.75" x14ac:dyDescent="0.2">
      <c r="A29" s="1">
        <v>28</v>
      </c>
      <c r="B29" s="2">
        <v>45039</v>
      </c>
      <c r="C29" s="1" t="s">
        <v>41</v>
      </c>
      <c r="D29" s="1" t="s">
        <v>13</v>
      </c>
      <c r="E29" s="1">
        <v>43</v>
      </c>
      <c r="F29" s="1" t="s">
        <v>11</v>
      </c>
      <c r="G29" s="1">
        <v>1</v>
      </c>
      <c r="H29" s="1">
        <v>500</v>
      </c>
      <c r="I29" s="1">
        <v>500</v>
      </c>
    </row>
    <row r="30" spans="1:9" ht="12.75" x14ac:dyDescent="0.2">
      <c r="A30" s="1">
        <v>29</v>
      </c>
      <c r="B30" s="2">
        <v>45156</v>
      </c>
      <c r="C30" s="1" t="s">
        <v>42</v>
      </c>
      <c r="D30" s="1" t="s">
        <v>13</v>
      </c>
      <c r="E30" s="1">
        <v>42</v>
      </c>
      <c r="F30" s="1" t="s">
        <v>16</v>
      </c>
      <c r="G30" s="1">
        <v>1</v>
      </c>
      <c r="H30" s="1">
        <v>30</v>
      </c>
      <c r="I30" s="1">
        <v>30</v>
      </c>
    </row>
    <row r="31" spans="1:9" ht="12.75" x14ac:dyDescent="0.2">
      <c r="A31" s="1">
        <v>30</v>
      </c>
      <c r="B31" s="2">
        <v>45228</v>
      </c>
      <c r="C31" s="1" t="s">
        <v>43</v>
      </c>
      <c r="D31" s="1" t="s">
        <v>13</v>
      </c>
      <c r="E31" s="1">
        <v>39</v>
      </c>
      <c r="F31" s="1" t="s">
        <v>11</v>
      </c>
      <c r="G31" s="1">
        <v>3</v>
      </c>
      <c r="H31" s="1">
        <v>300</v>
      </c>
      <c r="I31" s="1">
        <v>900</v>
      </c>
    </row>
    <row r="32" spans="1:9" ht="12.75" x14ac:dyDescent="0.2">
      <c r="A32" s="1">
        <v>31</v>
      </c>
      <c r="B32" s="2">
        <v>45069</v>
      </c>
      <c r="C32" s="1" t="s">
        <v>44</v>
      </c>
      <c r="D32" s="1" t="s">
        <v>10</v>
      </c>
      <c r="E32" s="1">
        <v>44</v>
      </c>
      <c r="F32" s="1" t="s">
        <v>16</v>
      </c>
      <c r="G32" s="1">
        <v>4</v>
      </c>
      <c r="H32" s="1">
        <v>300</v>
      </c>
      <c r="I32" s="1">
        <v>1200</v>
      </c>
    </row>
    <row r="33" spans="1:9" ht="12.75" x14ac:dyDescent="0.2">
      <c r="A33" s="1">
        <v>32</v>
      </c>
      <c r="B33" s="2">
        <v>44930</v>
      </c>
      <c r="C33" s="1" t="s">
        <v>45</v>
      </c>
      <c r="D33" s="1" t="s">
        <v>10</v>
      </c>
      <c r="E33" s="1">
        <v>30</v>
      </c>
      <c r="F33" s="1" t="s">
        <v>11</v>
      </c>
      <c r="G33" s="1">
        <v>3</v>
      </c>
      <c r="H33" s="1">
        <v>30</v>
      </c>
      <c r="I33" s="1">
        <v>90</v>
      </c>
    </row>
    <row r="34" spans="1:9" ht="12.75" x14ac:dyDescent="0.2">
      <c r="A34" s="1">
        <v>33</v>
      </c>
      <c r="B34" s="2">
        <v>45008</v>
      </c>
      <c r="C34" s="1" t="s">
        <v>46</v>
      </c>
      <c r="D34" s="1" t="s">
        <v>13</v>
      </c>
      <c r="E34" s="1">
        <v>50</v>
      </c>
      <c r="F34" s="1" t="s">
        <v>16</v>
      </c>
      <c r="G34" s="1">
        <v>2</v>
      </c>
      <c r="H34" s="1">
        <v>50</v>
      </c>
      <c r="I34" s="1">
        <v>100</v>
      </c>
    </row>
    <row r="35" spans="1:9" ht="12.75" x14ac:dyDescent="0.2">
      <c r="A35" s="1">
        <v>34</v>
      </c>
      <c r="B35" s="2">
        <v>45284</v>
      </c>
      <c r="C35" s="1" t="s">
        <v>47</v>
      </c>
      <c r="D35" s="1" t="s">
        <v>13</v>
      </c>
      <c r="E35" s="1">
        <v>51</v>
      </c>
      <c r="F35" s="1" t="s">
        <v>14</v>
      </c>
      <c r="G35" s="1">
        <v>3</v>
      </c>
      <c r="H35" s="1">
        <v>50</v>
      </c>
      <c r="I35" s="1">
        <v>150</v>
      </c>
    </row>
    <row r="36" spans="1:9" ht="12.75" x14ac:dyDescent="0.2">
      <c r="A36" s="1">
        <v>35</v>
      </c>
      <c r="B36" s="2">
        <v>45143</v>
      </c>
      <c r="C36" s="1" t="s">
        <v>48</v>
      </c>
      <c r="D36" s="1" t="s">
        <v>13</v>
      </c>
      <c r="E36" s="1">
        <v>58</v>
      </c>
      <c r="F36" s="1" t="s">
        <v>11</v>
      </c>
      <c r="G36" s="1">
        <v>3</v>
      </c>
      <c r="H36" s="1">
        <v>300</v>
      </c>
      <c r="I36" s="1">
        <v>900</v>
      </c>
    </row>
    <row r="37" spans="1:9" ht="12.75" x14ac:dyDescent="0.2">
      <c r="A37" s="1">
        <v>36</v>
      </c>
      <c r="B37" s="2">
        <v>45101</v>
      </c>
      <c r="C37" s="1" t="s">
        <v>49</v>
      </c>
      <c r="D37" s="1" t="s">
        <v>10</v>
      </c>
      <c r="E37" s="1">
        <v>52</v>
      </c>
      <c r="F37" s="1" t="s">
        <v>11</v>
      </c>
      <c r="G37" s="1">
        <v>3</v>
      </c>
      <c r="H37" s="1">
        <v>300</v>
      </c>
      <c r="I37" s="1">
        <v>900</v>
      </c>
    </row>
    <row r="38" spans="1:9" ht="12.75" x14ac:dyDescent="0.2">
      <c r="A38" s="1">
        <v>37</v>
      </c>
      <c r="B38" s="2">
        <v>45069</v>
      </c>
      <c r="C38" s="1" t="s">
        <v>50</v>
      </c>
      <c r="D38" s="1" t="s">
        <v>13</v>
      </c>
      <c r="E38" s="1">
        <v>18</v>
      </c>
      <c r="F38" s="1" t="s">
        <v>11</v>
      </c>
      <c r="G38" s="1">
        <v>3</v>
      </c>
      <c r="H38" s="1">
        <v>25</v>
      </c>
      <c r="I38" s="1">
        <v>75</v>
      </c>
    </row>
    <row r="39" spans="1:9" ht="12.75" x14ac:dyDescent="0.2">
      <c r="A39" s="1">
        <v>38</v>
      </c>
      <c r="B39" s="2">
        <v>45006</v>
      </c>
      <c r="C39" s="1" t="s">
        <v>51</v>
      </c>
      <c r="D39" s="1" t="s">
        <v>10</v>
      </c>
      <c r="E39" s="1">
        <v>38</v>
      </c>
      <c r="F39" s="1" t="s">
        <v>11</v>
      </c>
      <c r="G39" s="1">
        <v>4</v>
      </c>
      <c r="H39" s="1">
        <v>50</v>
      </c>
      <c r="I39" s="1">
        <v>200</v>
      </c>
    </row>
    <row r="40" spans="1:9" ht="12.75" x14ac:dyDescent="0.2">
      <c r="A40" s="1">
        <v>39</v>
      </c>
      <c r="B40" s="2">
        <v>45037</v>
      </c>
      <c r="C40" s="1" t="s">
        <v>52</v>
      </c>
      <c r="D40" s="1" t="s">
        <v>10</v>
      </c>
      <c r="E40" s="1">
        <v>23</v>
      </c>
      <c r="F40" s="1" t="s">
        <v>14</v>
      </c>
      <c r="G40" s="1">
        <v>4</v>
      </c>
      <c r="H40" s="1">
        <v>30</v>
      </c>
      <c r="I40" s="1">
        <v>120</v>
      </c>
    </row>
    <row r="41" spans="1:9" ht="12.75" x14ac:dyDescent="0.2">
      <c r="A41" s="1">
        <v>40</v>
      </c>
      <c r="B41" s="2">
        <v>45099</v>
      </c>
      <c r="C41" s="1" t="s">
        <v>53</v>
      </c>
      <c r="D41" s="1" t="s">
        <v>10</v>
      </c>
      <c r="E41" s="1">
        <v>45</v>
      </c>
      <c r="F41" s="1" t="s">
        <v>11</v>
      </c>
      <c r="G41" s="1">
        <v>1</v>
      </c>
      <c r="H41" s="1">
        <v>50</v>
      </c>
      <c r="I41" s="1">
        <v>50</v>
      </c>
    </row>
    <row r="42" spans="1:9" ht="12.75" x14ac:dyDescent="0.2">
      <c r="A42" s="1">
        <v>41</v>
      </c>
      <c r="B42" s="2">
        <v>44979</v>
      </c>
      <c r="C42" s="1" t="s">
        <v>54</v>
      </c>
      <c r="D42" s="1" t="s">
        <v>10</v>
      </c>
      <c r="E42" s="1">
        <v>34</v>
      </c>
      <c r="F42" s="1" t="s">
        <v>14</v>
      </c>
      <c r="G42" s="1">
        <v>2</v>
      </c>
      <c r="H42" s="1">
        <v>25</v>
      </c>
      <c r="I42" s="1">
        <v>50</v>
      </c>
    </row>
    <row r="43" spans="1:9" ht="12.75" x14ac:dyDescent="0.2">
      <c r="A43" s="1">
        <v>42</v>
      </c>
      <c r="B43" s="2">
        <v>44974</v>
      </c>
      <c r="C43" s="1" t="s">
        <v>55</v>
      </c>
      <c r="D43" s="1" t="s">
        <v>10</v>
      </c>
      <c r="E43" s="1">
        <v>22</v>
      </c>
      <c r="F43" s="1" t="s">
        <v>14</v>
      </c>
      <c r="G43" s="1">
        <v>3</v>
      </c>
      <c r="H43" s="1">
        <v>300</v>
      </c>
      <c r="I43" s="1">
        <v>900</v>
      </c>
    </row>
    <row r="44" spans="1:9" ht="12.75" x14ac:dyDescent="0.2">
      <c r="A44" s="1">
        <v>43</v>
      </c>
      <c r="B44" s="2">
        <v>45121</v>
      </c>
      <c r="C44" s="1" t="s">
        <v>56</v>
      </c>
      <c r="D44" s="1" t="s">
        <v>13</v>
      </c>
      <c r="E44" s="1">
        <v>48</v>
      </c>
      <c r="F44" s="1" t="s">
        <v>14</v>
      </c>
      <c r="G44" s="1">
        <v>1</v>
      </c>
      <c r="H44" s="1">
        <v>300</v>
      </c>
      <c r="I44" s="1">
        <v>300</v>
      </c>
    </row>
    <row r="45" spans="1:9" ht="12.75" x14ac:dyDescent="0.2">
      <c r="A45" s="1">
        <v>44</v>
      </c>
      <c r="B45" s="2">
        <v>44976</v>
      </c>
      <c r="C45" s="1" t="s">
        <v>57</v>
      </c>
      <c r="D45" s="1" t="s">
        <v>13</v>
      </c>
      <c r="E45" s="1">
        <v>22</v>
      </c>
      <c r="F45" s="1" t="s">
        <v>14</v>
      </c>
      <c r="G45" s="1">
        <v>1</v>
      </c>
      <c r="H45" s="1">
        <v>25</v>
      </c>
      <c r="I45" s="1">
        <v>25</v>
      </c>
    </row>
    <row r="46" spans="1:9" ht="12.75" x14ac:dyDescent="0.2">
      <c r="A46" s="1">
        <v>45</v>
      </c>
      <c r="B46" s="2">
        <v>45110</v>
      </c>
      <c r="C46" s="1" t="s">
        <v>58</v>
      </c>
      <c r="D46" s="1" t="s">
        <v>13</v>
      </c>
      <c r="E46" s="1">
        <v>55</v>
      </c>
      <c r="F46" s="1" t="s">
        <v>16</v>
      </c>
      <c r="G46" s="1">
        <v>1</v>
      </c>
      <c r="H46" s="1">
        <v>30</v>
      </c>
      <c r="I46" s="1">
        <v>30</v>
      </c>
    </row>
    <row r="47" spans="1:9" ht="12.75" x14ac:dyDescent="0.2">
      <c r="A47" s="1">
        <v>46</v>
      </c>
      <c r="B47" s="2">
        <v>45103</v>
      </c>
      <c r="C47" s="1" t="s">
        <v>59</v>
      </c>
      <c r="D47" s="1" t="s">
        <v>13</v>
      </c>
      <c r="E47" s="1">
        <v>20</v>
      </c>
      <c r="F47" s="1" t="s">
        <v>16</v>
      </c>
      <c r="G47" s="1">
        <v>4</v>
      </c>
      <c r="H47" s="1">
        <v>300</v>
      </c>
      <c r="I47" s="1">
        <v>1200</v>
      </c>
    </row>
    <row r="48" spans="1:9" ht="12.75" x14ac:dyDescent="0.2">
      <c r="A48" s="1">
        <v>47</v>
      </c>
      <c r="B48" s="2">
        <v>45236</v>
      </c>
      <c r="C48" s="1" t="s">
        <v>60</v>
      </c>
      <c r="D48" s="1" t="s">
        <v>13</v>
      </c>
      <c r="E48" s="1">
        <v>40</v>
      </c>
      <c r="F48" s="1" t="s">
        <v>11</v>
      </c>
      <c r="G48" s="1">
        <v>3</v>
      </c>
      <c r="H48" s="1">
        <v>500</v>
      </c>
      <c r="I48" s="1">
        <v>1500</v>
      </c>
    </row>
    <row r="49" spans="1:9" ht="12.75" x14ac:dyDescent="0.2">
      <c r="A49" s="1">
        <v>48</v>
      </c>
      <c r="B49" s="2">
        <v>45062</v>
      </c>
      <c r="C49" s="1" t="s">
        <v>61</v>
      </c>
      <c r="D49" s="1" t="s">
        <v>10</v>
      </c>
      <c r="E49" s="1">
        <v>54</v>
      </c>
      <c r="F49" s="1" t="s">
        <v>16</v>
      </c>
      <c r="G49" s="1">
        <v>3</v>
      </c>
      <c r="H49" s="1">
        <v>300</v>
      </c>
      <c r="I49" s="1">
        <v>900</v>
      </c>
    </row>
    <row r="50" spans="1:9" ht="12.75" x14ac:dyDescent="0.2">
      <c r="A50" s="1">
        <v>49</v>
      </c>
      <c r="B50" s="2">
        <v>44949</v>
      </c>
      <c r="C50" s="1" t="s">
        <v>62</v>
      </c>
      <c r="D50" s="1" t="s">
        <v>13</v>
      </c>
      <c r="E50" s="1">
        <v>54</v>
      </c>
      <c r="F50" s="1" t="s">
        <v>16</v>
      </c>
      <c r="G50" s="1">
        <v>2</v>
      </c>
      <c r="H50" s="1">
        <v>500</v>
      </c>
      <c r="I50" s="1">
        <v>1000</v>
      </c>
    </row>
    <row r="51" spans="1:9" ht="12.75" x14ac:dyDescent="0.2">
      <c r="A51" s="1">
        <v>50</v>
      </c>
      <c r="B51" s="2">
        <v>45162</v>
      </c>
      <c r="C51" s="1" t="s">
        <v>63</v>
      </c>
      <c r="D51" s="1" t="s">
        <v>13</v>
      </c>
      <c r="E51" s="1">
        <v>27</v>
      </c>
      <c r="F51" s="1" t="s">
        <v>11</v>
      </c>
      <c r="G51" s="1">
        <v>3</v>
      </c>
      <c r="H51" s="1">
        <v>25</v>
      </c>
      <c r="I51" s="1">
        <v>75</v>
      </c>
    </row>
    <row r="52" spans="1:9" ht="12.75" x14ac:dyDescent="0.2">
      <c r="A52" s="1">
        <v>51</v>
      </c>
      <c r="B52" s="2">
        <v>45201</v>
      </c>
      <c r="C52" s="1" t="s">
        <v>64</v>
      </c>
      <c r="D52" s="1" t="s">
        <v>10</v>
      </c>
      <c r="E52" s="1">
        <v>27</v>
      </c>
      <c r="F52" s="1" t="s">
        <v>11</v>
      </c>
      <c r="G52" s="1">
        <v>3</v>
      </c>
      <c r="H52" s="1">
        <v>25</v>
      </c>
      <c r="I52" s="1">
        <v>75</v>
      </c>
    </row>
    <row r="53" spans="1:9" ht="12.75" x14ac:dyDescent="0.2">
      <c r="A53" s="1">
        <v>52</v>
      </c>
      <c r="B53" s="2">
        <v>44990</v>
      </c>
      <c r="C53" s="1" t="s">
        <v>65</v>
      </c>
      <c r="D53" s="1" t="s">
        <v>13</v>
      </c>
      <c r="E53" s="1">
        <v>36</v>
      </c>
      <c r="F53" s="1" t="s">
        <v>11</v>
      </c>
      <c r="G53" s="1">
        <v>1</v>
      </c>
      <c r="H53" s="1">
        <v>300</v>
      </c>
      <c r="I53" s="1">
        <v>300</v>
      </c>
    </row>
    <row r="54" spans="1:9" ht="12.75" x14ac:dyDescent="0.2">
      <c r="A54" s="1">
        <v>53</v>
      </c>
      <c r="B54" s="2">
        <v>45120</v>
      </c>
      <c r="C54" s="1" t="s">
        <v>66</v>
      </c>
      <c r="D54" s="1" t="s">
        <v>10</v>
      </c>
      <c r="E54" s="1">
        <v>34</v>
      </c>
      <c r="F54" s="1" t="s">
        <v>16</v>
      </c>
      <c r="G54" s="1">
        <v>2</v>
      </c>
      <c r="H54" s="1">
        <v>50</v>
      </c>
      <c r="I54" s="1">
        <v>100</v>
      </c>
    </row>
    <row r="55" spans="1:9" ht="12.75" x14ac:dyDescent="0.2">
      <c r="A55" s="1">
        <v>54</v>
      </c>
      <c r="B55" s="2">
        <v>44967</v>
      </c>
      <c r="C55" s="1" t="s">
        <v>67</v>
      </c>
      <c r="D55" s="1" t="s">
        <v>13</v>
      </c>
      <c r="E55" s="1">
        <v>38</v>
      </c>
      <c r="F55" s="1" t="s">
        <v>16</v>
      </c>
      <c r="G55" s="1">
        <v>3</v>
      </c>
      <c r="H55" s="1">
        <v>500</v>
      </c>
      <c r="I55" s="1">
        <v>1500</v>
      </c>
    </row>
    <row r="56" spans="1:9" ht="12.75" x14ac:dyDescent="0.2">
      <c r="A56" s="1">
        <v>55</v>
      </c>
      <c r="B56" s="2">
        <v>45209</v>
      </c>
      <c r="C56" s="1" t="s">
        <v>68</v>
      </c>
      <c r="D56" s="1" t="s">
        <v>10</v>
      </c>
      <c r="E56" s="1">
        <v>31</v>
      </c>
      <c r="F56" s="1" t="s">
        <v>11</v>
      </c>
      <c r="G56" s="1">
        <v>4</v>
      </c>
      <c r="H56" s="1">
        <v>30</v>
      </c>
      <c r="I56" s="1">
        <v>120</v>
      </c>
    </row>
    <row r="57" spans="1:9" ht="12.75" x14ac:dyDescent="0.2">
      <c r="A57" s="1">
        <v>56</v>
      </c>
      <c r="B57" s="2">
        <v>45077</v>
      </c>
      <c r="C57" s="1" t="s">
        <v>69</v>
      </c>
      <c r="D57" s="1" t="s">
        <v>13</v>
      </c>
      <c r="E57" s="1">
        <v>26</v>
      </c>
      <c r="F57" s="1" t="s">
        <v>14</v>
      </c>
      <c r="G57" s="1">
        <v>3</v>
      </c>
      <c r="H57" s="1">
        <v>300</v>
      </c>
      <c r="I57" s="1">
        <v>900</v>
      </c>
    </row>
    <row r="58" spans="1:9" ht="12.75" x14ac:dyDescent="0.2">
      <c r="A58" s="1">
        <v>57</v>
      </c>
      <c r="B58" s="2">
        <v>45248</v>
      </c>
      <c r="C58" s="1" t="s">
        <v>70</v>
      </c>
      <c r="D58" s="1" t="s">
        <v>13</v>
      </c>
      <c r="E58" s="1">
        <v>63</v>
      </c>
      <c r="F58" s="1" t="s">
        <v>11</v>
      </c>
      <c r="G58" s="1">
        <v>1</v>
      </c>
      <c r="H58" s="1">
        <v>30</v>
      </c>
      <c r="I58" s="1">
        <v>30</v>
      </c>
    </row>
    <row r="59" spans="1:9" ht="12.75" x14ac:dyDescent="0.2">
      <c r="A59" s="1">
        <v>58</v>
      </c>
      <c r="B59" s="2">
        <v>45243</v>
      </c>
      <c r="C59" s="1" t="s">
        <v>71</v>
      </c>
      <c r="D59" s="1" t="s">
        <v>10</v>
      </c>
      <c r="E59" s="1">
        <v>18</v>
      </c>
      <c r="F59" s="1" t="s">
        <v>14</v>
      </c>
      <c r="G59" s="1">
        <v>4</v>
      </c>
      <c r="H59" s="1">
        <v>300</v>
      </c>
      <c r="I59" s="1">
        <v>1200</v>
      </c>
    </row>
    <row r="60" spans="1:9" ht="12.75" x14ac:dyDescent="0.2">
      <c r="A60" s="1">
        <v>59</v>
      </c>
      <c r="B60" s="2">
        <v>45112</v>
      </c>
      <c r="C60" s="1" t="s">
        <v>72</v>
      </c>
      <c r="D60" s="1" t="s">
        <v>10</v>
      </c>
      <c r="E60" s="1">
        <v>62</v>
      </c>
      <c r="F60" s="1" t="s">
        <v>14</v>
      </c>
      <c r="G60" s="1">
        <v>1</v>
      </c>
      <c r="H60" s="1">
        <v>50</v>
      </c>
      <c r="I60" s="1">
        <v>50</v>
      </c>
    </row>
    <row r="61" spans="1:9" ht="12.75" x14ac:dyDescent="0.2">
      <c r="A61" s="1">
        <v>60</v>
      </c>
      <c r="B61" s="2">
        <v>45222</v>
      </c>
      <c r="C61" s="1" t="s">
        <v>73</v>
      </c>
      <c r="D61" s="1" t="s">
        <v>10</v>
      </c>
      <c r="E61" s="1">
        <v>30</v>
      </c>
      <c r="F61" s="1" t="s">
        <v>11</v>
      </c>
      <c r="G61" s="1">
        <v>3</v>
      </c>
      <c r="H61" s="1">
        <v>50</v>
      </c>
      <c r="I61" s="1">
        <v>150</v>
      </c>
    </row>
    <row r="62" spans="1:9" ht="12.75" x14ac:dyDescent="0.2">
      <c r="A62" s="1">
        <v>61</v>
      </c>
      <c r="B62" s="2">
        <v>45025</v>
      </c>
      <c r="C62" s="1" t="s">
        <v>74</v>
      </c>
      <c r="D62" s="1" t="s">
        <v>10</v>
      </c>
      <c r="E62" s="1">
        <v>21</v>
      </c>
      <c r="F62" s="1" t="s">
        <v>11</v>
      </c>
      <c r="G62" s="1">
        <v>4</v>
      </c>
      <c r="H62" s="1">
        <v>50</v>
      </c>
      <c r="I62" s="1">
        <v>200</v>
      </c>
    </row>
    <row r="63" spans="1:9" ht="12.75" x14ac:dyDescent="0.2">
      <c r="A63" s="1">
        <v>62</v>
      </c>
      <c r="B63" s="2">
        <v>45287</v>
      </c>
      <c r="C63" s="1" t="s">
        <v>75</v>
      </c>
      <c r="D63" s="1" t="s">
        <v>10</v>
      </c>
      <c r="E63" s="1">
        <v>18</v>
      </c>
      <c r="F63" s="1" t="s">
        <v>11</v>
      </c>
      <c r="G63" s="1">
        <v>2</v>
      </c>
      <c r="H63" s="1">
        <v>50</v>
      </c>
      <c r="I63" s="1">
        <v>100</v>
      </c>
    </row>
    <row r="64" spans="1:9" ht="12.75" x14ac:dyDescent="0.2">
      <c r="A64" s="1">
        <v>63</v>
      </c>
      <c r="B64" s="2">
        <v>44962</v>
      </c>
      <c r="C64" s="1" t="s">
        <v>76</v>
      </c>
      <c r="D64" s="1" t="s">
        <v>10</v>
      </c>
      <c r="E64" s="1">
        <v>57</v>
      </c>
      <c r="F64" s="1" t="s">
        <v>16</v>
      </c>
      <c r="G64" s="1">
        <v>2</v>
      </c>
      <c r="H64" s="1">
        <v>25</v>
      </c>
      <c r="I64" s="1">
        <v>50</v>
      </c>
    </row>
    <row r="65" spans="1:9" ht="12.75" x14ac:dyDescent="0.2">
      <c r="A65" s="1">
        <v>64</v>
      </c>
      <c r="B65" s="2">
        <v>44950</v>
      </c>
      <c r="C65" s="1" t="s">
        <v>77</v>
      </c>
      <c r="D65" s="1" t="s">
        <v>10</v>
      </c>
      <c r="E65" s="1">
        <v>49</v>
      </c>
      <c r="F65" s="1" t="s">
        <v>14</v>
      </c>
      <c r="G65" s="1">
        <v>4</v>
      </c>
      <c r="H65" s="1">
        <v>25</v>
      </c>
      <c r="I65" s="1">
        <v>100</v>
      </c>
    </row>
    <row r="66" spans="1:9" ht="12.75" x14ac:dyDescent="0.2">
      <c r="A66" s="1">
        <v>65</v>
      </c>
      <c r="B66" s="2">
        <v>45265</v>
      </c>
      <c r="C66" s="1" t="s">
        <v>78</v>
      </c>
      <c r="D66" s="1" t="s">
        <v>10</v>
      </c>
      <c r="E66" s="1">
        <v>51</v>
      </c>
      <c r="F66" s="1" t="s">
        <v>16</v>
      </c>
      <c r="G66" s="1">
        <v>4</v>
      </c>
      <c r="H66" s="1">
        <v>500</v>
      </c>
      <c r="I66" s="1">
        <v>2000</v>
      </c>
    </row>
    <row r="67" spans="1:9" ht="12.75" x14ac:dyDescent="0.2">
      <c r="A67" s="1">
        <v>66</v>
      </c>
      <c r="B67" s="2">
        <v>45043</v>
      </c>
      <c r="C67" s="1" t="s">
        <v>79</v>
      </c>
      <c r="D67" s="1" t="s">
        <v>13</v>
      </c>
      <c r="E67" s="1">
        <v>45</v>
      </c>
      <c r="F67" s="1" t="s">
        <v>16</v>
      </c>
      <c r="G67" s="1">
        <v>1</v>
      </c>
      <c r="H67" s="1">
        <v>30</v>
      </c>
      <c r="I67" s="1">
        <v>30</v>
      </c>
    </row>
    <row r="68" spans="1:9" ht="12.75" x14ac:dyDescent="0.2">
      <c r="A68" s="1">
        <v>67</v>
      </c>
      <c r="B68" s="2">
        <v>45075</v>
      </c>
      <c r="C68" s="1" t="s">
        <v>80</v>
      </c>
      <c r="D68" s="1" t="s">
        <v>13</v>
      </c>
      <c r="E68" s="1">
        <v>48</v>
      </c>
      <c r="F68" s="1" t="s">
        <v>11</v>
      </c>
      <c r="G68" s="1">
        <v>4</v>
      </c>
      <c r="H68" s="1">
        <v>300</v>
      </c>
      <c r="I68" s="1">
        <v>1200</v>
      </c>
    </row>
    <row r="69" spans="1:9" ht="12.75" x14ac:dyDescent="0.2">
      <c r="A69" s="1">
        <v>68</v>
      </c>
      <c r="B69" s="2">
        <v>44967</v>
      </c>
      <c r="C69" s="1" t="s">
        <v>81</v>
      </c>
      <c r="D69" s="1" t="s">
        <v>10</v>
      </c>
      <c r="E69" s="1">
        <v>25</v>
      </c>
      <c r="F69" s="1" t="s">
        <v>16</v>
      </c>
      <c r="G69" s="1">
        <v>1</v>
      </c>
      <c r="H69" s="1">
        <v>300</v>
      </c>
      <c r="I69" s="1">
        <v>300</v>
      </c>
    </row>
    <row r="70" spans="1:9" ht="12.75" x14ac:dyDescent="0.2">
      <c r="A70" s="1">
        <v>69</v>
      </c>
      <c r="B70" s="2">
        <v>45046</v>
      </c>
      <c r="C70" s="1" t="s">
        <v>82</v>
      </c>
      <c r="D70" s="1" t="s">
        <v>13</v>
      </c>
      <c r="E70" s="1">
        <v>56</v>
      </c>
      <c r="F70" s="1" t="s">
        <v>11</v>
      </c>
      <c r="G70" s="1">
        <v>3</v>
      </c>
      <c r="H70" s="1">
        <v>25</v>
      </c>
      <c r="I70" s="1">
        <v>75</v>
      </c>
    </row>
    <row r="71" spans="1:9" ht="12.75" x14ac:dyDescent="0.2">
      <c r="A71" s="1">
        <v>70</v>
      </c>
      <c r="B71" s="2">
        <v>44978</v>
      </c>
      <c r="C71" s="1" t="s">
        <v>83</v>
      </c>
      <c r="D71" s="1" t="s">
        <v>13</v>
      </c>
      <c r="E71" s="1">
        <v>43</v>
      </c>
      <c r="F71" s="1" t="s">
        <v>14</v>
      </c>
      <c r="G71" s="1">
        <v>1</v>
      </c>
      <c r="H71" s="1">
        <v>300</v>
      </c>
      <c r="I71" s="1">
        <v>300</v>
      </c>
    </row>
    <row r="72" spans="1:9" ht="12.75" x14ac:dyDescent="0.2">
      <c r="A72" s="1">
        <v>71</v>
      </c>
      <c r="B72" s="2">
        <v>45121</v>
      </c>
      <c r="C72" s="1" t="s">
        <v>84</v>
      </c>
      <c r="D72" s="1" t="s">
        <v>13</v>
      </c>
      <c r="E72" s="1">
        <v>51</v>
      </c>
      <c r="F72" s="1" t="s">
        <v>11</v>
      </c>
      <c r="G72" s="1">
        <v>4</v>
      </c>
      <c r="H72" s="1">
        <v>25</v>
      </c>
      <c r="I72" s="1">
        <v>100</v>
      </c>
    </row>
    <row r="73" spans="1:9" ht="12.75" x14ac:dyDescent="0.2">
      <c r="A73" s="1">
        <v>72</v>
      </c>
      <c r="B73" s="2">
        <v>45069</v>
      </c>
      <c r="C73" s="1" t="s">
        <v>85</v>
      </c>
      <c r="D73" s="1" t="s">
        <v>13</v>
      </c>
      <c r="E73" s="1">
        <v>20</v>
      </c>
      <c r="F73" s="1" t="s">
        <v>16</v>
      </c>
      <c r="G73" s="1">
        <v>4</v>
      </c>
      <c r="H73" s="1">
        <v>500</v>
      </c>
      <c r="I73" s="1">
        <v>2000</v>
      </c>
    </row>
    <row r="74" spans="1:9" ht="12.75" x14ac:dyDescent="0.2">
      <c r="A74" s="1">
        <v>73</v>
      </c>
      <c r="B74" s="2">
        <v>45159</v>
      </c>
      <c r="C74" s="1" t="s">
        <v>86</v>
      </c>
      <c r="D74" s="1" t="s">
        <v>10</v>
      </c>
      <c r="E74" s="1">
        <v>29</v>
      </c>
      <c r="F74" s="1" t="s">
        <v>16</v>
      </c>
      <c r="G74" s="1">
        <v>3</v>
      </c>
      <c r="H74" s="1">
        <v>30</v>
      </c>
      <c r="I74" s="1">
        <v>90</v>
      </c>
    </row>
    <row r="75" spans="1:9" ht="12.75" x14ac:dyDescent="0.2">
      <c r="A75" s="1">
        <v>74</v>
      </c>
      <c r="B75" s="2">
        <v>45252</v>
      </c>
      <c r="C75" s="1" t="s">
        <v>87</v>
      </c>
      <c r="D75" s="1" t="s">
        <v>13</v>
      </c>
      <c r="E75" s="1">
        <v>18</v>
      </c>
      <c r="F75" s="1" t="s">
        <v>11</v>
      </c>
      <c r="G75" s="1">
        <v>4</v>
      </c>
      <c r="H75" s="1">
        <v>500</v>
      </c>
      <c r="I75" s="1">
        <v>2000</v>
      </c>
    </row>
    <row r="76" spans="1:9" ht="12.75" x14ac:dyDescent="0.2">
      <c r="A76" s="1">
        <v>75</v>
      </c>
      <c r="B76" s="2">
        <v>45113</v>
      </c>
      <c r="C76" s="1" t="s">
        <v>88</v>
      </c>
      <c r="D76" s="1" t="s">
        <v>10</v>
      </c>
      <c r="E76" s="1">
        <v>61</v>
      </c>
      <c r="F76" s="1" t="s">
        <v>11</v>
      </c>
      <c r="G76" s="1">
        <v>4</v>
      </c>
      <c r="H76" s="1">
        <v>50</v>
      </c>
      <c r="I76" s="1">
        <v>200</v>
      </c>
    </row>
    <row r="77" spans="1:9" ht="12.75" x14ac:dyDescent="0.2">
      <c r="A77" s="1">
        <v>76</v>
      </c>
      <c r="B77" s="2">
        <v>45010</v>
      </c>
      <c r="C77" s="1" t="s">
        <v>89</v>
      </c>
      <c r="D77" s="1" t="s">
        <v>13</v>
      </c>
      <c r="E77" s="1">
        <v>22</v>
      </c>
      <c r="F77" s="1" t="s">
        <v>16</v>
      </c>
      <c r="G77" s="1">
        <v>2</v>
      </c>
      <c r="H77" s="1">
        <v>50</v>
      </c>
      <c r="I77" s="1">
        <v>100</v>
      </c>
    </row>
    <row r="78" spans="1:9" ht="12.75" x14ac:dyDescent="0.2">
      <c r="A78" s="1">
        <v>77</v>
      </c>
      <c r="B78" s="2">
        <v>45116</v>
      </c>
      <c r="C78" s="1" t="s">
        <v>90</v>
      </c>
      <c r="D78" s="1" t="s">
        <v>13</v>
      </c>
      <c r="E78" s="1">
        <v>47</v>
      </c>
      <c r="F78" s="1" t="s">
        <v>14</v>
      </c>
      <c r="G78" s="1">
        <v>2</v>
      </c>
      <c r="H78" s="1">
        <v>50</v>
      </c>
      <c r="I78" s="1">
        <v>100</v>
      </c>
    </row>
    <row r="79" spans="1:9" ht="12.75" x14ac:dyDescent="0.2">
      <c r="A79" s="1">
        <v>78</v>
      </c>
      <c r="B79" s="2">
        <v>45108</v>
      </c>
      <c r="C79" s="1" t="s">
        <v>91</v>
      </c>
      <c r="D79" s="1" t="s">
        <v>13</v>
      </c>
      <c r="E79" s="1">
        <v>47</v>
      </c>
      <c r="F79" s="1" t="s">
        <v>14</v>
      </c>
      <c r="G79" s="1">
        <v>3</v>
      </c>
      <c r="H79" s="1">
        <v>500</v>
      </c>
      <c r="I79" s="1">
        <v>1500</v>
      </c>
    </row>
    <row r="80" spans="1:9" ht="12.75" x14ac:dyDescent="0.2">
      <c r="A80" s="1">
        <v>79</v>
      </c>
      <c r="B80" s="2">
        <v>45034</v>
      </c>
      <c r="C80" s="1" t="s">
        <v>92</v>
      </c>
      <c r="D80" s="1" t="s">
        <v>10</v>
      </c>
      <c r="E80" s="1">
        <v>34</v>
      </c>
      <c r="F80" s="1" t="s">
        <v>11</v>
      </c>
      <c r="G80" s="1">
        <v>1</v>
      </c>
      <c r="H80" s="1">
        <v>300</v>
      </c>
      <c r="I80" s="1">
        <v>300</v>
      </c>
    </row>
    <row r="81" spans="1:9" ht="12.75" x14ac:dyDescent="0.2">
      <c r="A81" s="1">
        <v>80</v>
      </c>
      <c r="B81" s="2">
        <v>45270</v>
      </c>
      <c r="C81" s="1" t="s">
        <v>93</v>
      </c>
      <c r="D81" s="1" t="s">
        <v>13</v>
      </c>
      <c r="E81" s="1">
        <v>64</v>
      </c>
      <c r="F81" s="1" t="s">
        <v>14</v>
      </c>
      <c r="G81" s="1">
        <v>2</v>
      </c>
      <c r="H81" s="1">
        <v>30</v>
      </c>
      <c r="I81" s="1">
        <v>60</v>
      </c>
    </row>
    <row r="82" spans="1:9" ht="12.75" x14ac:dyDescent="0.2">
      <c r="A82" s="1">
        <v>81</v>
      </c>
      <c r="B82" s="2">
        <v>45063</v>
      </c>
      <c r="C82" s="1" t="s">
        <v>94</v>
      </c>
      <c r="D82" s="1" t="s">
        <v>10</v>
      </c>
      <c r="E82" s="1">
        <v>40</v>
      </c>
      <c r="F82" s="1" t="s">
        <v>16</v>
      </c>
      <c r="G82" s="1">
        <v>1</v>
      </c>
      <c r="H82" s="1">
        <v>50</v>
      </c>
      <c r="I82" s="1">
        <v>50</v>
      </c>
    </row>
    <row r="83" spans="1:9" ht="12.75" x14ac:dyDescent="0.2">
      <c r="A83" s="1">
        <v>82</v>
      </c>
      <c r="B83" s="2">
        <v>45286</v>
      </c>
      <c r="C83" s="1" t="s">
        <v>95</v>
      </c>
      <c r="D83" s="1" t="s">
        <v>13</v>
      </c>
      <c r="E83" s="1">
        <v>32</v>
      </c>
      <c r="F83" s="1" t="s">
        <v>11</v>
      </c>
      <c r="G83" s="1">
        <v>4</v>
      </c>
      <c r="H83" s="1">
        <v>50</v>
      </c>
      <c r="I83" s="1">
        <v>200</v>
      </c>
    </row>
    <row r="84" spans="1:9" ht="12.75" x14ac:dyDescent="0.2">
      <c r="A84" s="1">
        <v>83</v>
      </c>
      <c r="B84" s="2">
        <v>45276</v>
      </c>
      <c r="C84" s="1" t="s">
        <v>96</v>
      </c>
      <c r="D84" s="1" t="s">
        <v>10</v>
      </c>
      <c r="E84" s="1">
        <v>54</v>
      </c>
      <c r="F84" s="1" t="s">
        <v>16</v>
      </c>
      <c r="G84" s="1">
        <v>2</v>
      </c>
      <c r="H84" s="1">
        <v>50</v>
      </c>
      <c r="I84" s="1">
        <v>100</v>
      </c>
    </row>
    <row r="85" spans="1:9" ht="12.75" x14ac:dyDescent="0.2">
      <c r="A85" s="1">
        <v>84</v>
      </c>
      <c r="B85" s="2">
        <v>45258</v>
      </c>
      <c r="C85" s="1" t="s">
        <v>97</v>
      </c>
      <c r="D85" s="1" t="s">
        <v>13</v>
      </c>
      <c r="E85" s="1">
        <v>38</v>
      </c>
      <c r="F85" s="1" t="s">
        <v>16</v>
      </c>
      <c r="G85" s="1">
        <v>3</v>
      </c>
      <c r="H85" s="1">
        <v>30</v>
      </c>
      <c r="I85" s="1">
        <v>90</v>
      </c>
    </row>
    <row r="86" spans="1:9" ht="12.75" x14ac:dyDescent="0.2">
      <c r="A86" s="1">
        <v>85</v>
      </c>
      <c r="B86" s="2">
        <v>44963</v>
      </c>
      <c r="C86" s="1" t="s">
        <v>98</v>
      </c>
      <c r="D86" s="1" t="s">
        <v>10</v>
      </c>
      <c r="E86" s="1">
        <v>31</v>
      </c>
      <c r="F86" s="1" t="s">
        <v>14</v>
      </c>
      <c r="G86" s="1">
        <v>3</v>
      </c>
      <c r="H86" s="1">
        <v>50</v>
      </c>
      <c r="I86" s="1">
        <v>150</v>
      </c>
    </row>
    <row r="87" spans="1:9" ht="12.75" x14ac:dyDescent="0.2">
      <c r="A87" s="1">
        <v>86</v>
      </c>
      <c r="B87" s="2">
        <v>45238</v>
      </c>
      <c r="C87" s="1" t="s">
        <v>99</v>
      </c>
      <c r="D87" s="1" t="s">
        <v>10</v>
      </c>
      <c r="E87" s="1">
        <v>19</v>
      </c>
      <c r="F87" s="1" t="s">
        <v>11</v>
      </c>
      <c r="G87" s="1">
        <v>3</v>
      </c>
      <c r="H87" s="1">
        <v>30</v>
      </c>
      <c r="I87" s="1">
        <v>90</v>
      </c>
    </row>
    <row r="88" spans="1:9" ht="12.75" x14ac:dyDescent="0.2">
      <c r="A88" s="1">
        <v>87</v>
      </c>
      <c r="B88" s="2">
        <v>45252</v>
      </c>
      <c r="C88" s="1" t="s">
        <v>100</v>
      </c>
      <c r="D88" s="1" t="s">
        <v>13</v>
      </c>
      <c r="E88" s="1">
        <v>28</v>
      </c>
      <c r="F88" s="1" t="s">
        <v>11</v>
      </c>
      <c r="G88" s="1">
        <v>2</v>
      </c>
      <c r="H88" s="1">
        <v>50</v>
      </c>
      <c r="I88" s="1">
        <v>100</v>
      </c>
    </row>
    <row r="89" spans="1:9" ht="12.75" x14ac:dyDescent="0.2">
      <c r="A89" s="1">
        <v>88</v>
      </c>
      <c r="B89" s="2">
        <v>45014</v>
      </c>
      <c r="C89" s="1" t="s">
        <v>101</v>
      </c>
      <c r="D89" s="1" t="s">
        <v>10</v>
      </c>
      <c r="E89" s="1">
        <v>56</v>
      </c>
      <c r="F89" s="1" t="s">
        <v>14</v>
      </c>
      <c r="G89" s="1">
        <v>1</v>
      </c>
      <c r="H89" s="1">
        <v>500</v>
      </c>
      <c r="I89" s="1">
        <v>500</v>
      </c>
    </row>
    <row r="90" spans="1:9" ht="12.75" x14ac:dyDescent="0.2">
      <c r="A90" s="1">
        <v>89</v>
      </c>
      <c r="B90" s="2">
        <v>45200</v>
      </c>
      <c r="C90" s="1" t="s">
        <v>102</v>
      </c>
      <c r="D90" s="1" t="s">
        <v>13</v>
      </c>
      <c r="E90" s="1">
        <v>55</v>
      </c>
      <c r="F90" s="1" t="s">
        <v>16</v>
      </c>
      <c r="G90" s="1">
        <v>4</v>
      </c>
      <c r="H90" s="1">
        <v>500</v>
      </c>
      <c r="I90" s="1">
        <v>2000</v>
      </c>
    </row>
    <row r="91" spans="1:9" ht="12.75" x14ac:dyDescent="0.2">
      <c r="A91" s="1">
        <v>90</v>
      </c>
      <c r="B91" s="2">
        <v>45052</v>
      </c>
      <c r="C91" s="1" t="s">
        <v>103</v>
      </c>
      <c r="D91" s="1" t="s">
        <v>13</v>
      </c>
      <c r="E91" s="1">
        <v>51</v>
      </c>
      <c r="F91" s="1" t="s">
        <v>16</v>
      </c>
      <c r="G91" s="1">
        <v>1</v>
      </c>
      <c r="H91" s="1">
        <v>30</v>
      </c>
      <c r="I91" s="1">
        <v>30</v>
      </c>
    </row>
    <row r="92" spans="1:9" ht="12.75" x14ac:dyDescent="0.2">
      <c r="A92" s="1">
        <v>91</v>
      </c>
      <c r="B92" s="2">
        <v>45010</v>
      </c>
      <c r="C92" s="1" t="s">
        <v>104</v>
      </c>
      <c r="D92" s="1" t="s">
        <v>13</v>
      </c>
      <c r="E92" s="1">
        <v>55</v>
      </c>
      <c r="F92" s="1" t="s">
        <v>16</v>
      </c>
      <c r="G92" s="1">
        <v>1</v>
      </c>
      <c r="H92" s="1">
        <v>500</v>
      </c>
      <c r="I92" s="1">
        <v>500</v>
      </c>
    </row>
    <row r="93" spans="1:9" ht="12.75" x14ac:dyDescent="0.2">
      <c r="A93" s="1">
        <v>92</v>
      </c>
      <c r="B93" s="2">
        <v>45163</v>
      </c>
      <c r="C93" s="1" t="s">
        <v>105</v>
      </c>
      <c r="D93" s="1" t="s">
        <v>13</v>
      </c>
      <c r="E93" s="1">
        <v>51</v>
      </c>
      <c r="F93" s="1" t="s">
        <v>16</v>
      </c>
      <c r="G93" s="1">
        <v>4</v>
      </c>
      <c r="H93" s="1">
        <v>30</v>
      </c>
      <c r="I93" s="1">
        <v>120</v>
      </c>
    </row>
    <row r="94" spans="1:9" ht="12.75" x14ac:dyDescent="0.2">
      <c r="A94" s="1">
        <v>93</v>
      </c>
      <c r="B94" s="2">
        <v>45121</v>
      </c>
      <c r="C94" s="1" t="s">
        <v>106</v>
      </c>
      <c r="D94" s="1" t="s">
        <v>13</v>
      </c>
      <c r="E94" s="1">
        <v>35</v>
      </c>
      <c r="F94" s="1" t="s">
        <v>11</v>
      </c>
      <c r="G94" s="1">
        <v>4</v>
      </c>
      <c r="H94" s="1">
        <v>500</v>
      </c>
      <c r="I94" s="1">
        <v>2000</v>
      </c>
    </row>
    <row r="95" spans="1:9" ht="12.75" x14ac:dyDescent="0.2">
      <c r="A95" s="1">
        <v>94</v>
      </c>
      <c r="B95" s="2">
        <v>45065</v>
      </c>
      <c r="C95" s="1" t="s">
        <v>107</v>
      </c>
      <c r="D95" s="1" t="s">
        <v>13</v>
      </c>
      <c r="E95" s="1">
        <v>47</v>
      </c>
      <c r="F95" s="1" t="s">
        <v>11</v>
      </c>
      <c r="G95" s="1">
        <v>2</v>
      </c>
      <c r="H95" s="1">
        <v>500</v>
      </c>
      <c r="I95" s="1">
        <v>1000</v>
      </c>
    </row>
    <row r="96" spans="1:9" ht="12.75" x14ac:dyDescent="0.2">
      <c r="A96" s="1">
        <v>95</v>
      </c>
      <c r="B96" s="2">
        <v>45254</v>
      </c>
      <c r="C96" s="1" t="s">
        <v>108</v>
      </c>
      <c r="D96" s="1" t="s">
        <v>13</v>
      </c>
      <c r="E96" s="1">
        <v>32</v>
      </c>
      <c r="F96" s="1" t="s">
        <v>14</v>
      </c>
      <c r="G96" s="1">
        <v>2</v>
      </c>
      <c r="H96" s="1">
        <v>30</v>
      </c>
      <c r="I96" s="1">
        <v>60</v>
      </c>
    </row>
    <row r="97" spans="1:9" ht="12.75" x14ac:dyDescent="0.2">
      <c r="A97" s="1">
        <v>96</v>
      </c>
      <c r="B97" s="2">
        <v>45279</v>
      </c>
      <c r="C97" s="1" t="s">
        <v>109</v>
      </c>
      <c r="D97" s="1" t="s">
        <v>13</v>
      </c>
      <c r="E97" s="1">
        <v>44</v>
      </c>
      <c r="F97" s="1" t="s">
        <v>14</v>
      </c>
      <c r="G97" s="1">
        <v>2</v>
      </c>
      <c r="H97" s="1">
        <v>300</v>
      </c>
      <c r="I97" s="1">
        <v>600</v>
      </c>
    </row>
    <row r="98" spans="1:9" ht="12.75" x14ac:dyDescent="0.2">
      <c r="A98" s="1">
        <v>97</v>
      </c>
      <c r="B98" s="2">
        <v>45212</v>
      </c>
      <c r="C98" s="1" t="s">
        <v>110</v>
      </c>
      <c r="D98" s="1" t="s">
        <v>13</v>
      </c>
      <c r="E98" s="1">
        <v>51</v>
      </c>
      <c r="F98" s="1" t="s">
        <v>11</v>
      </c>
      <c r="G98" s="1">
        <v>2</v>
      </c>
      <c r="H98" s="1">
        <v>500</v>
      </c>
      <c r="I98" s="1">
        <v>1000</v>
      </c>
    </row>
    <row r="99" spans="1:9" ht="12.75" x14ac:dyDescent="0.2">
      <c r="A99" s="1">
        <v>98</v>
      </c>
      <c r="B99" s="2">
        <v>45039</v>
      </c>
      <c r="C99" s="1" t="s">
        <v>111</v>
      </c>
      <c r="D99" s="1" t="s">
        <v>13</v>
      </c>
      <c r="E99" s="1">
        <v>55</v>
      </c>
      <c r="F99" s="1" t="s">
        <v>11</v>
      </c>
      <c r="G99" s="1">
        <v>2</v>
      </c>
      <c r="H99" s="1">
        <v>50</v>
      </c>
      <c r="I99" s="1">
        <v>100</v>
      </c>
    </row>
    <row r="100" spans="1:9" ht="12.75" x14ac:dyDescent="0.2">
      <c r="A100" s="1">
        <v>99</v>
      </c>
      <c r="B100" s="2">
        <v>45277</v>
      </c>
      <c r="C100" s="1" t="s">
        <v>112</v>
      </c>
      <c r="D100" s="1" t="s">
        <v>13</v>
      </c>
      <c r="E100" s="1">
        <v>50</v>
      </c>
      <c r="F100" s="1" t="s">
        <v>16</v>
      </c>
      <c r="G100" s="1">
        <v>4</v>
      </c>
      <c r="H100" s="1">
        <v>300</v>
      </c>
      <c r="I100" s="1">
        <v>1200</v>
      </c>
    </row>
    <row r="101" spans="1:9" ht="12.75" x14ac:dyDescent="0.2">
      <c r="A101" s="1">
        <v>100</v>
      </c>
      <c r="B101" s="2">
        <v>45093</v>
      </c>
      <c r="C101" s="1" t="s">
        <v>113</v>
      </c>
      <c r="D101" s="1" t="s">
        <v>10</v>
      </c>
      <c r="E101" s="1">
        <v>41</v>
      </c>
      <c r="F101" s="1" t="s">
        <v>16</v>
      </c>
      <c r="G101" s="1">
        <v>1</v>
      </c>
      <c r="H101" s="1">
        <v>30</v>
      </c>
      <c r="I101" s="1">
        <v>30</v>
      </c>
    </row>
    <row r="102" spans="1:9" ht="12.75" x14ac:dyDescent="0.2">
      <c r="A102" s="1">
        <v>101</v>
      </c>
      <c r="B102" s="2">
        <v>44955</v>
      </c>
      <c r="C102" s="1" t="s">
        <v>114</v>
      </c>
      <c r="D102" s="1" t="s">
        <v>10</v>
      </c>
      <c r="E102" s="1">
        <v>32</v>
      </c>
      <c r="F102" s="1" t="s">
        <v>14</v>
      </c>
      <c r="G102" s="1">
        <v>2</v>
      </c>
      <c r="H102" s="1">
        <v>300</v>
      </c>
      <c r="I102" s="1">
        <v>600</v>
      </c>
    </row>
    <row r="103" spans="1:9" ht="12.75" x14ac:dyDescent="0.2">
      <c r="A103" s="1">
        <v>102</v>
      </c>
      <c r="B103" s="2">
        <v>45044</v>
      </c>
      <c r="C103" s="1" t="s">
        <v>115</v>
      </c>
      <c r="D103" s="1" t="s">
        <v>13</v>
      </c>
      <c r="E103" s="1">
        <v>47</v>
      </c>
      <c r="F103" s="1" t="s">
        <v>11</v>
      </c>
      <c r="G103" s="1">
        <v>2</v>
      </c>
      <c r="H103" s="1">
        <v>25</v>
      </c>
      <c r="I103" s="1">
        <v>50</v>
      </c>
    </row>
    <row r="104" spans="1:9" ht="12.75" x14ac:dyDescent="0.2">
      <c r="A104" s="1">
        <v>103</v>
      </c>
      <c r="B104" s="2">
        <v>44943</v>
      </c>
      <c r="C104" s="1" t="s">
        <v>116</v>
      </c>
      <c r="D104" s="1" t="s">
        <v>13</v>
      </c>
      <c r="E104" s="1">
        <v>59</v>
      </c>
      <c r="F104" s="1" t="s">
        <v>14</v>
      </c>
      <c r="G104" s="1">
        <v>1</v>
      </c>
      <c r="H104" s="1">
        <v>25</v>
      </c>
      <c r="I104" s="1">
        <v>25</v>
      </c>
    </row>
    <row r="105" spans="1:9" ht="12.75" x14ac:dyDescent="0.2">
      <c r="A105" s="1">
        <v>104</v>
      </c>
      <c r="B105" s="2">
        <v>45088</v>
      </c>
      <c r="C105" s="1" t="s">
        <v>117</v>
      </c>
      <c r="D105" s="1" t="s">
        <v>13</v>
      </c>
      <c r="E105" s="1">
        <v>34</v>
      </c>
      <c r="F105" s="1" t="s">
        <v>11</v>
      </c>
      <c r="G105" s="1">
        <v>2</v>
      </c>
      <c r="H105" s="1">
        <v>500</v>
      </c>
      <c r="I105" s="1">
        <v>1000</v>
      </c>
    </row>
    <row r="106" spans="1:9" ht="12.75" x14ac:dyDescent="0.2">
      <c r="A106" s="1">
        <v>105</v>
      </c>
      <c r="B106" s="2">
        <v>45132</v>
      </c>
      <c r="C106" s="1" t="s">
        <v>118</v>
      </c>
      <c r="D106" s="1" t="s">
        <v>13</v>
      </c>
      <c r="E106" s="1">
        <v>22</v>
      </c>
      <c r="F106" s="1" t="s">
        <v>16</v>
      </c>
      <c r="G106" s="1">
        <v>1</v>
      </c>
      <c r="H106" s="1">
        <v>500</v>
      </c>
      <c r="I106" s="1">
        <v>500</v>
      </c>
    </row>
    <row r="107" spans="1:9" ht="12.75" x14ac:dyDescent="0.2">
      <c r="A107" s="1">
        <v>106</v>
      </c>
      <c r="B107" s="2">
        <v>45064</v>
      </c>
      <c r="C107" s="1" t="s">
        <v>119</v>
      </c>
      <c r="D107" s="1" t="s">
        <v>13</v>
      </c>
      <c r="E107" s="1">
        <v>46</v>
      </c>
      <c r="F107" s="1" t="s">
        <v>14</v>
      </c>
      <c r="G107" s="1">
        <v>1</v>
      </c>
      <c r="H107" s="1">
        <v>50</v>
      </c>
      <c r="I107" s="1">
        <v>50</v>
      </c>
    </row>
    <row r="108" spans="1:9" ht="12.75" x14ac:dyDescent="0.2">
      <c r="A108" s="1">
        <v>107</v>
      </c>
      <c r="B108" s="2">
        <v>44960</v>
      </c>
      <c r="C108" s="1" t="s">
        <v>120</v>
      </c>
      <c r="D108" s="1" t="s">
        <v>13</v>
      </c>
      <c r="E108" s="1">
        <v>21</v>
      </c>
      <c r="F108" s="1" t="s">
        <v>14</v>
      </c>
      <c r="G108" s="1">
        <v>4</v>
      </c>
      <c r="H108" s="1">
        <v>300</v>
      </c>
      <c r="I108" s="1">
        <v>1200</v>
      </c>
    </row>
    <row r="109" spans="1:9" ht="12.75" x14ac:dyDescent="0.2">
      <c r="A109" s="1">
        <v>108</v>
      </c>
      <c r="B109" s="2">
        <v>45035</v>
      </c>
      <c r="C109" s="1" t="s">
        <v>121</v>
      </c>
      <c r="D109" s="1" t="s">
        <v>13</v>
      </c>
      <c r="E109" s="1">
        <v>27</v>
      </c>
      <c r="F109" s="1" t="s">
        <v>11</v>
      </c>
      <c r="G109" s="1">
        <v>3</v>
      </c>
      <c r="H109" s="1">
        <v>25</v>
      </c>
      <c r="I109" s="1">
        <v>75</v>
      </c>
    </row>
    <row r="110" spans="1:9" ht="12.75" x14ac:dyDescent="0.2">
      <c r="A110" s="1">
        <v>109</v>
      </c>
      <c r="B110" s="2">
        <v>45217</v>
      </c>
      <c r="C110" s="1" t="s">
        <v>122</v>
      </c>
      <c r="D110" s="1" t="s">
        <v>13</v>
      </c>
      <c r="E110" s="1">
        <v>34</v>
      </c>
      <c r="F110" s="1" t="s">
        <v>16</v>
      </c>
      <c r="G110" s="1">
        <v>4</v>
      </c>
      <c r="H110" s="1">
        <v>500</v>
      </c>
      <c r="I110" s="1">
        <v>2000</v>
      </c>
    </row>
    <row r="111" spans="1:9" ht="12.75" x14ac:dyDescent="0.2">
      <c r="A111" s="1">
        <v>110</v>
      </c>
      <c r="B111" s="2">
        <v>45088</v>
      </c>
      <c r="C111" s="1" t="s">
        <v>123</v>
      </c>
      <c r="D111" s="1" t="s">
        <v>10</v>
      </c>
      <c r="E111" s="1">
        <v>27</v>
      </c>
      <c r="F111" s="1" t="s">
        <v>14</v>
      </c>
      <c r="G111" s="1">
        <v>3</v>
      </c>
      <c r="H111" s="1">
        <v>300</v>
      </c>
      <c r="I111" s="1">
        <v>900</v>
      </c>
    </row>
    <row r="112" spans="1:9" ht="12.75" x14ac:dyDescent="0.2">
      <c r="A112" s="1">
        <v>111</v>
      </c>
      <c r="B112" s="2">
        <v>45035</v>
      </c>
      <c r="C112" s="1" t="s">
        <v>124</v>
      </c>
      <c r="D112" s="1" t="s">
        <v>13</v>
      </c>
      <c r="E112" s="1">
        <v>34</v>
      </c>
      <c r="F112" s="1" t="s">
        <v>16</v>
      </c>
      <c r="G112" s="1">
        <v>3</v>
      </c>
      <c r="H112" s="1">
        <v>500</v>
      </c>
      <c r="I112" s="1">
        <v>1500</v>
      </c>
    </row>
    <row r="113" spans="1:9" ht="12.75" x14ac:dyDescent="0.2">
      <c r="A113" s="1">
        <v>112</v>
      </c>
      <c r="B113" s="2">
        <v>45262</v>
      </c>
      <c r="C113" s="1" t="s">
        <v>125</v>
      </c>
      <c r="D113" s="1" t="s">
        <v>10</v>
      </c>
      <c r="E113" s="1">
        <v>37</v>
      </c>
      <c r="F113" s="1" t="s">
        <v>14</v>
      </c>
      <c r="G113" s="1">
        <v>3</v>
      </c>
      <c r="H113" s="1">
        <v>500</v>
      </c>
      <c r="I113" s="1">
        <v>1500</v>
      </c>
    </row>
    <row r="114" spans="1:9" ht="12.75" x14ac:dyDescent="0.2">
      <c r="A114" s="1">
        <v>113</v>
      </c>
      <c r="B114" s="2">
        <v>45182</v>
      </c>
      <c r="C114" s="1" t="s">
        <v>126</v>
      </c>
      <c r="D114" s="1" t="s">
        <v>13</v>
      </c>
      <c r="E114" s="1">
        <v>41</v>
      </c>
      <c r="F114" s="1" t="s">
        <v>16</v>
      </c>
      <c r="G114" s="1">
        <v>2</v>
      </c>
      <c r="H114" s="1">
        <v>25</v>
      </c>
      <c r="I114" s="1">
        <v>50</v>
      </c>
    </row>
    <row r="115" spans="1:9" ht="12.75" x14ac:dyDescent="0.2">
      <c r="A115" s="1">
        <v>114</v>
      </c>
      <c r="B115" s="2">
        <v>45129</v>
      </c>
      <c r="C115" s="1" t="s">
        <v>127</v>
      </c>
      <c r="D115" s="1" t="s">
        <v>13</v>
      </c>
      <c r="E115" s="1">
        <v>22</v>
      </c>
      <c r="F115" s="1" t="s">
        <v>11</v>
      </c>
      <c r="G115" s="1">
        <v>4</v>
      </c>
      <c r="H115" s="1">
        <v>25</v>
      </c>
      <c r="I115" s="1">
        <v>100</v>
      </c>
    </row>
    <row r="116" spans="1:9" ht="12.75" x14ac:dyDescent="0.2">
      <c r="A116" s="1">
        <v>115</v>
      </c>
      <c r="B116" s="2">
        <v>45256</v>
      </c>
      <c r="C116" s="1" t="s">
        <v>128</v>
      </c>
      <c r="D116" s="1" t="s">
        <v>10</v>
      </c>
      <c r="E116" s="1">
        <v>51</v>
      </c>
      <c r="F116" s="1" t="s">
        <v>14</v>
      </c>
      <c r="G116" s="1">
        <v>3</v>
      </c>
      <c r="H116" s="1">
        <v>500</v>
      </c>
      <c r="I116" s="1">
        <v>1500</v>
      </c>
    </row>
    <row r="117" spans="1:9" ht="12.75" x14ac:dyDescent="0.2">
      <c r="A117" s="1">
        <v>116</v>
      </c>
      <c r="B117" s="2">
        <v>45161</v>
      </c>
      <c r="C117" s="1" t="s">
        <v>129</v>
      </c>
      <c r="D117" s="1" t="s">
        <v>13</v>
      </c>
      <c r="E117" s="1">
        <v>23</v>
      </c>
      <c r="F117" s="1" t="s">
        <v>14</v>
      </c>
      <c r="G117" s="1">
        <v>1</v>
      </c>
      <c r="H117" s="1">
        <v>30</v>
      </c>
      <c r="I117" s="1">
        <v>30</v>
      </c>
    </row>
    <row r="118" spans="1:9" ht="12.75" x14ac:dyDescent="0.2">
      <c r="A118" s="1">
        <v>117</v>
      </c>
      <c r="B118" s="2">
        <v>45000</v>
      </c>
      <c r="C118" s="1" t="s">
        <v>130</v>
      </c>
      <c r="D118" s="1" t="s">
        <v>10</v>
      </c>
      <c r="E118" s="1">
        <v>19</v>
      </c>
      <c r="F118" s="1" t="s">
        <v>16</v>
      </c>
      <c r="G118" s="1">
        <v>2</v>
      </c>
      <c r="H118" s="1">
        <v>500</v>
      </c>
      <c r="I118" s="1">
        <v>1000</v>
      </c>
    </row>
    <row r="119" spans="1:9" ht="12.75" x14ac:dyDescent="0.2">
      <c r="A119" s="1">
        <v>118</v>
      </c>
      <c r="B119" s="2">
        <v>45062</v>
      </c>
      <c r="C119" s="1" t="s">
        <v>131</v>
      </c>
      <c r="D119" s="1" t="s">
        <v>13</v>
      </c>
      <c r="E119" s="1">
        <v>30</v>
      </c>
      <c r="F119" s="1" t="s">
        <v>16</v>
      </c>
      <c r="G119" s="1">
        <v>4</v>
      </c>
      <c r="H119" s="1">
        <v>500</v>
      </c>
      <c r="I119" s="1">
        <v>2000</v>
      </c>
    </row>
    <row r="120" spans="1:9" ht="12.75" x14ac:dyDescent="0.2">
      <c r="A120" s="1">
        <v>119</v>
      </c>
      <c r="B120" s="2">
        <v>44998</v>
      </c>
      <c r="C120" s="1" t="s">
        <v>132</v>
      </c>
      <c r="D120" s="1" t="s">
        <v>13</v>
      </c>
      <c r="E120" s="1">
        <v>60</v>
      </c>
      <c r="F120" s="1" t="s">
        <v>14</v>
      </c>
      <c r="G120" s="1">
        <v>3</v>
      </c>
      <c r="H120" s="1">
        <v>50</v>
      </c>
      <c r="I120" s="1">
        <v>150</v>
      </c>
    </row>
    <row r="121" spans="1:9" ht="12.75" x14ac:dyDescent="0.2">
      <c r="A121" s="1">
        <v>120</v>
      </c>
      <c r="B121" s="2">
        <v>45053</v>
      </c>
      <c r="C121" s="1" t="s">
        <v>133</v>
      </c>
      <c r="D121" s="1" t="s">
        <v>10</v>
      </c>
      <c r="E121" s="1">
        <v>60</v>
      </c>
      <c r="F121" s="1" t="s">
        <v>11</v>
      </c>
      <c r="G121" s="1">
        <v>1</v>
      </c>
      <c r="H121" s="1">
        <v>50</v>
      </c>
      <c r="I121" s="1">
        <v>50</v>
      </c>
    </row>
    <row r="122" spans="1:9" ht="12.75" x14ac:dyDescent="0.2">
      <c r="A122" s="1">
        <v>121</v>
      </c>
      <c r="B122" s="2">
        <v>45214</v>
      </c>
      <c r="C122" s="1" t="s">
        <v>134</v>
      </c>
      <c r="D122" s="1" t="s">
        <v>13</v>
      </c>
      <c r="E122" s="1">
        <v>28</v>
      </c>
      <c r="F122" s="1" t="s">
        <v>16</v>
      </c>
      <c r="G122" s="1">
        <v>4</v>
      </c>
      <c r="H122" s="1">
        <v>50</v>
      </c>
      <c r="I122" s="1">
        <v>200</v>
      </c>
    </row>
    <row r="123" spans="1:9" ht="12.75" x14ac:dyDescent="0.2">
      <c r="A123" s="1">
        <v>122</v>
      </c>
      <c r="B123" s="2">
        <v>45202</v>
      </c>
      <c r="C123" s="1" t="s">
        <v>135</v>
      </c>
      <c r="D123" s="1" t="s">
        <v>10</v>
      </c>
      <c r="E123" s="1">
        <v>64</v>
      </c>
      <c r="F123" s="1" t="s">
        <v>16</v>
      </c>
      <c r="G123" s="1">
        <v>4</v>
      </c>
      <c r="H123" s="1">
        <v>30</v>
      </c>
      <c r="I123" s="1">
        <v>120</v>
      </c>
    </row>
    <row r="124" spans="1:9" ht="12.75" x14ac:dyDescent="0.2">
      <c r="A124" s="1">
        <v>123</v>
      </c>
      <c r="B124" s="2">
        <v>45061</v>
      </c>
      <c r="C124" s="1" t="s">
        <v>136</v>
      </c>
      <c r="D124" s="1" t="s">
        <v>13</v>
      </c>
      <c r="E124" s="1">
        <v>40</v>
      </c>
      <c r="F124" s="1" t="s">
        <v>16</v>
      </c>
      <c r="G124" s="1">
        <v>2</v>
      </c>
      <c r="H124" s="1">
        <v>30</v>
      </c>
      <c r="I124" s="1">
        <v>60</v>
      </c>
    </row>
    <row r="125" spans="1:9" ht="12.75" x14ac:dyDescent="0.2">
      <c r="A125" s="1">
        <v>124</v>
      </c>
      <c r="B125" s="2">
        <v>45226</v>
      </c>
      <c r="C125" s="1" t="s">
        <v>137</v>
      </c>
      <c r="D125" s="1" t="s">
        <v>10</v>
      </c>
      <c r="E125" s="1">
        <v>33</v>
      </c>
      <c r="F125" s="1" t="s">
        <v>14</v>
      </c>
      <c r="G125" s="1">
        <v>4</v>
      </c>
      <c r="H125" s="1">
        <v>500</v>
      </c>
      <c r="I125" s="1">
        <v>2000</v>
      </c>
    </row>
    <row r="126" spans="1:9" ht="12.75" x14ac:dyDescent="0.2">
      <c r="A126" s="1">
        <v>125</v>
      </c>
      <c r="B126" s="2">
        <v>45146</v>
      </c>
      <c r="C126" s="1" t="s">
        <v>138</v>
      </c>
      <c r="D126" s="1" t="s">
        <v>10</v>
      </c>
      <c r="E126" s="1">
        <v>48</v>
      </c>
      <c r="F126" s="1" t="s">
        <v>14</v>
      </c>
      <c r="G126" s="1">
        <v>2</v>
      </c>
      <c r="H126" s="1">
        <v>50</v>
      </c>
      <c r="I126" s="1">
        <v>100</v>
      </c>
    </row>
    <row r="127" spans="1:9" ht="12.75" x14ac:dyDescent="0.2">
      <c r="A127" s="1">
        <v>126</v>
      </c>
      <c r="B127" s="2">
        <v>45225</v>
      </c>
      <c r="C127" s="1" t="s">
        <v>139</v>
      </c>
      <c r="D127" s="1" t="s">
        <v>13</v>
      </c>
      <c r="E127" s="1">
        <v>28</v>
      </c>
      <c r="F127" s="1" t="s">
        <v>14</v>
      </c>
      <c r="G127" s="1">
        <v>3</v>
      </c>
      <c r="H127" s="1">
        <v>30</v>
      </c>
      <c r="I127" s="1">
        <v>90</v>
      </c>
    </row>
    <row r="128" spans="1:9" ht="12.75" x14ac:dyDescent="0.2">
      <c r="A128" s="1">
        <v>127</v>
      </c>
      <c r="B128" s="2">
        <v>45131</v>
      </c>
      <c r="C128" s="1" t="s">
        <v>140</v>
      </c>
      <c r="D128" s="1" t="s">
        <v>13</v>
      </c>
      <c r="E128" s="1">
        <v>33</v>
      </c>
      <c r="F128" s="1" t="s">
        <v>14</v>
      </c>
      <c r="G128" s="1">
        <v>2</v>
      </c>
      <c r="H128" s="1">
        <v>25</v>
      </c>
      <c r="I128" s="1">
        <v>50</v>
      </c>
    </row>
    <row r="129" spans="1:9" ht="12.75" x14ac:dyDescent="0.2">
      <c r="A129" s="1">
        <v>128</v>
      </c>
      <c r="B129" s="2">
        <v>45112</v>
      </c>
      <c r="C129" s="1" t="s">
        <v>141</v>
      </c>
      <c r="D129" s="1" t="s">
        <v>10</v>
      </c>
      <c r="E129" s="1">
        <v>25</v>
      </c>
      <c r="F129" s="1" t="s">
        <v>11</v>
      </c>
      <c r="G129" s="1">
        <v>1</v>
      </c>
      <c r="H129" s="1">
        <v>500</v>
      </c>
      <c r="I129" s="1">
        <v>500</v>
      </c>
    </row>
    <row r="130" spans="1:9" ht="12.75" x14ac:dyDescent="0.2">
      <c r="A130" s="1">
        <v>129</v>
      </c>
      <c r="B130" s="2">
        <v>45039</v>
      </c>
      <c r="C130" s="1" t="s">
        <v>142</v>
      </c>
      <c r="D130" s="1" t="s">
        <v>13</v>
      </c>
      <c r="E130" s="1">
        <v>21</v>
      </c>
      <c r="F130" s="1" t="s">
        <v>11</v>
      </c>
      <c r="G130" s="1">
        <v>2</v>
      </c>
      <c r="H130" s="1">
        <v>300</v>
      </c>
      <c r="I130" s="1">
        <v>600</v>
      </c>
    </row>
    <row r="131" spans="1:9" ht="12.75" x14ac:dyDescent="0.2">
      <c r="A131" s="1">
        <v>130</v>
      </c>
      <c r="B131" s="2">
        <v>44997</v>
      </c>
      <c r="C131" s="1" t="s">
        <v>143</v>
      </c>
      <c r="D131" s="1" t="s">
        <v>13</v>
      </c>
      <c r="E131" s="1">
        <v>57</v>
      </c>
      <c r="F131" s="1" t="s">
        <v>14</v>
      </c>
      <c r="G131" s="1">
        <v>1</v>
      </c>
      <c r="H131" s="1">
        <v>500</v>
      </c>
      <c r="I131" s="1">
        <v>500</v>
      </c>
    </row>
    <row r="132" spans="1:9" ht="12.75" x14ac:dyDescent="0.2">
      <c r="A132" s="1">
        <v>131</v>
      </c>
      <c r="B132" s="2">
        <v>45187</v>
      </c>
      <c r="C132" s="1" t="s">
        <v>144</v>
      </c>
      <c r="D132" s="1" t="s">
        <v>13</v>
      </c>
      <c r="E132" s="1">
        <v>21</v>
      </c>
      <c r="F132" s="1" t="s">
        <v>11</v>
      </c>
      <c r="G132" s="1">
        <v>2</v>
      </c>
      <c r="H132" s="1">
        <v>300</v>
      </c>
      <c r="I132" s="1">
        <v>600</v>
      </c>
    </row>
    <row r="133" spans="1:9" ht="12.75" x14ac:dyDescent="0.2">
      <c r="A133" s="1">
        <v>132</v>
      </c>
      <c r="B133" s="2">
        <v>45179</v>
      </c>
      <c r="C133" s="1" t="s">
        <v>145</v>
      </c>
      <c r="D133" s="1" t="s">
        <v>10</v>
      </c>
      <c r="E133" s="1">
        <v>42</v>
      </c>
      <c r="F133" s="1" t="s">
        <v>16</v>
      </c>
      <c r="G133" s="1">
        <v>4</v>
      </c>
      <c r="H133" s="1">
        <v>50</v>
      </c>
      <c r="I133" s="1">
        <v>200</v>
      </c>
    </row>
    <row r="134" spans="1:9" ht="12.75" x14ac:dyDescent="0.2">
      <c r="A134" s="1">
        <v>133</v>
      </c>
      <c r="B134" s="2">
        <v>44973</v>
      </c>
      <c r="C134" s="1" t="s">
        <v>146</v>
      </c>
      <c r="D134" s="1" t="s">
        <v>10</v>
      </c>
      <c r="E134" s="1">
        <v>20</v>
      </c>
      <c r="F134" s="1" t="s">
        <v>16</v>
      </c>
      <c r="G134" s="1">
        <v>3</v>
      </c>
      <c r="H134" s="1">
        <v>300</v>
      </c>
      <c r="I134" s="1">
        <v>900</v>
      </c>
    </row>
    <row r="135" spans="1:9" ht="12.75" x14ac:dyDescent="0.2">
      <c r="A135" s="1">
        <v>134</v>
      </c>
      <c r="B135" s="2">
        <v>44951</v>
      </c>
      <c r="C135" s="1" t="s">
        <v>147</v>
      </c>
      <c r="D135" s="1" t="s">
        <v>10</v>
      </c>
      <c r="E135" s="1">
        <v>49</v>
      </c>
      <c r="F135" s="1" t="s">
        <v>16</v>
      </c>
      <c r="G135" s="1">
        <v>1</v>
      </c>
      <c r="H135" s="1">
        <v>50</v>
      </c>
      <c r="I135" s="1">
        <v>50</v>
      </c>
    </row>
    <row r="136" spans="1:9" ht="12.75" x14ac:dyDescent="0.2">
      <c r="A136" s="1">
        <v>135</v>
      </c>
      <c r="B136" s="2">
        <v>44983</v>
      </c>
      <c r="C136" s="1" t="s">
        <v>148</v>
      </c>
      <c r="D136" s="1" t="s">
        <v>10</v>
      </c>
      <c r="E136" s="1">
        <v>20</v>
      </c>
      <c r="F136" s="1" t="s">
        <v>14</v>
      </c>
      <c r="G136" s="1">
        <v>2</v>
      </c>
      <c r="H136" s="1">
        <v>25</v>
      </c>
      <c r="I136" s="1">
        <v>50</v>
      </c>
    </row>
    <row r="137" spans="1:9" ht="12.75" x14ac:dyDescent="0.2">
      <c r="A137" s="1">
        <v>136</v>
      </c>
      <c r="B137" s="2">
        <v>45005</v>
      </c>
      <c r="C137" s="1" t="s">
        <v>149</v>
      </c>
      <c r="D137" s="1" t="s">
        <v>10</v>
      </c>
      <c r="E137" s="1">
        <v>44</v>
      </c>
      <c r="F137" s="1" t="s">
        <v>16</v>
      </c>
      <c r="G137" s="1">
        <v>2</v>
      </c>
      <c r="H137" s="1">
        <v>300</v>
      </c>
      <c r="I137" s="1">
        <v>600</v>
      </c>
    </row>
    <row r="138" spans="1:9" ht="12.75" x14ac:dyDescent="0.2">
      <c r="A138" s="1">
        <v>137</v>
      </c>
      <c r="B138" s="2">
        <v>45248</v>
      </c>
      <c r="C138" s="1" t="s">
        <v>150</v>
      </c>
      <c r="D138" s="1" t="s">
        <v>10</v>
      </c>
      <c r="E138" s="1">
        <v>46</v>
      </c>
      <c r="F138" s="1" t="s">
        <v>11</v>
      </c>
      <c r="G138" s="1">
        <v>2</v>
      </c>
      <c r="H138" s="1">
        <v>500</v>
      </c>
      <c r="I138" s="1">
        <v>1000</v>
      </c>
    </row>
    <row r="139" spans="1:9" ht="12.75" x14ac:dyDescent="0.2">
      <c r="A139" s="1">
        <v>138</v>
      </c>
      <c r="B139" s="2">
        <v>45008</v>
      </c>
      <c r="C139" s="1" t="s">
        <v>151</v>
      </c>
      <c r="D139" s="1" t="s">
        <v>10</v>
      </c>
      <c r="E139" s="1">
        <v>49</v>
      </c>
      <c r="F139" s="1" t="s">
        <v>14</v>
      </c>
      <c r="G139" s="1">
        <v>4</v>
      </c>
      <c r="H139" s="1">
        <v>50</v>
      </c>
      <c r="I139" s="1">
        <v>200</v>
      </c>
    </row>
    <row r="140" spans="1:9" ht="12.75" x14ac:dyDescent="0.2">
      <c r="A140" s="1">
        <v>139</v>
      </c>
      <c r="B140" s="2">
        <v>45275</v>
      </c>
      <c r="C140" s="1" t="s">
        <v>152</v>
      </c>
      <c r="D140" s="1" t="s">
        <v>10</v>
      </c>
      <c r="E140" s="1">
        <v>36</v>
      </c>
      <c r="F140" s="1" t="s">
        <v>11</v>
      </c>
      <c r="G140" s="1">
        <v>4</v>
      </c>
      <c r="H140" s="1">
        <v>500</v>
      </c>
      <c r="I140" s="1">
        <v>2000</v>
      </c>
    </row>
    <row r="141" spans="1:9" ht="12.75" x14ac:dyDescent="0.2">
      <c r="A141" s="1">
        <v>140</v>
      </c>
      <c r="B141" s="2">
        <v>45143</v>
      </c>
      <c r="C141" s="1" t="s">
        <v>153</v>
      </c>
      <c r="D141" s="1" t="s">
        <v>10</v>
      </c>
      <c r="E141" s="1">
        <v>38</v>
      </c>
      <c r="F141" s="1" t="s">
        <v>16</v>
      </c>
      <c r="G141" s="1">
        <v>1</v>
      </c>
      <c r="H141" s="1">
        <v>30</v>
      </c>
      <c r="I141" s="1">
        <v>30</v>
      </c>
    </row>
    <row r="142" spans="1:9" ht="12.75" x14ac:dyDescent="0.2">
      <c r="A142" s="1">
        <v>141</v>
      </c>
      <c r="B142" s="2">
        <v>45232</v>
      </c>
      <c r="C142" s="1" t="s">
        <v>154</v>
      </c>
      <c r="D142" s="1" t="s">
        <v>13</v>
      </c>
      <c r="E142" s="1">
        <v>22</v>
      </c>
      <c r="F142" s="1" t="s">
        <v>16</v>
      </c>
      <c r="G142" s="1">
        <v>1</v>
      </c>
      <c r="H142" s="1">
        <v>50</v>
      </c>
      <c r="I142" s="1">
        <v>50</v>
      </c>
    </row>
    <row r="143" spans="1:9" ht="12.75" x14ac:dyDescent="0.2">
      <c r="A143" s="1">
        <v>142</v>
      </c>
      <c r="B143" s="2">
        <v>44959</v>
      </c>
      <c r="C143" s="1" t="s">
        <v>155</v>
      </c>
      <c r="D143" s="1" t="s">
        <v>10</v>
      </c>
      <c r="E143" s="1">
        <v>35</v>
      </c>
      <c r="F143" s="1" t="s">
        <v>16</v>
      </c>
      <c r="G143" s="1">
        <v>4</v>
      </c>
      <c r="H143" s="1">
        <v>300</v>
      </c>
      <c r="I143" s="1">
        <v>1200</v>
      </c>
    </row>
    <row r="144" spans="1:9" ht="12.75" x14ac:dyDescent="0.2">
      <c r="A144" s="1">
        <v>143</v>
      </c>
      <c r="B144" s="2">
        <v>45124</v>
      </c>
      <c r="C144" s="1" t="s">
        <v>156</v>
      </c>
      <c r="D144" s="1" t="s">
        <v>13</v>
      </c>
      <c r="E144" s="1">
        <v>45</v>
      </c>
      <c r="F144" s="1" t="s">
        <v>14</v>
      </c>
      <c r="G144" s="1">
        <v>1</v>
      </c>
      <c r="H144" s="1">
        <v>50</v>
      </c>
      <c r="I144" s="1">
        <v>50</v>
      </c>
    </row>
    <row r="145" spans="1:9" ht="12.75" x14ac:dyDescent="0.2">
      <c r="A145" s="1">
        <v>144</v>
      </c>
      <c r="B145" s="2">
        <v>45122</v>
      </c>
      <c r="C145" s="1" t="s">
        <v>157</v>
      </c>
      <c r="D145" s="1" t="s">
        <v>13</v>
      </c>
      <c r="E145" s="1">
        <v>59</v>
      </c>
      <c r="F145" s="1" t="s">
        <v>11</v>
      </c>
      <c r="G145" s="1">
        <v>3</v>
      </c>
      <c r="H145" s="1">
        <v>500</v>
      </c>
      <c r="I145" s="1">
        <v>1500</v>
      </c>
    </row>
    <row r="146" spans="1:9" ht="12.75" x14ac:dyDescent="0.2">
      <c r="A146" s="1">
        <v>145</v>
      </c>
      <c r="B146" s="2">
        <v>45232</v>
      </c>
      <c r="C146" s="1" t="s">
        <v>158</v>
      </c>
      <c r="D146" s="1" t="s">
        <v>13</v>
      </c>
      <c r="E146" s="1">
        <v>39</v>
      </c>
      <c r="F146" s="1" t="s">
        <v>14</v>
      </c>
      <c r="G146" s="1">
        <v>3</v>
      </c>
      <c r="H146" s="1">
        <v>25</v>
      </c>
      <c r="I146" s="1">
        <v>75</v>
      </c>
    </row>
    <row r="147" spans="1:9" ht="12.75" x14ac:dyDescent="0.2">
      <c r="A147" s="1">
        <v>146</v>
      </c>
      <c r="B147" s="2">
        <v>45166</v>
      </c>
      <c r="C147" s="1" t="s">
        <v>159</v>
      </c>
      <c r="D147" s="1" t="s">
        <v>10</v>
      </c>
      <c r="E147" s="1">
        <v>38</v>
      </c>
      <c r="F147" s="1" t="s">
        <v>14</v>
      </c>
      <c r="G147" s="1">
        <v>4</v>
      </c>
      <c r="H147" s="1">
        <v>50</v>
      </c>
      <c r="I147" s="1">
        <v>200</v>
      </c>
    </row>
    <row r="148" spans="1:9" ht="12.75" x14ac:dyDescent="0.2">
      <c r="A148" s="1">
        <v>147</v>
      </c>
      <c r="B148" s="2">
        <v>45197</v>
      </c>
      <c r="C148" s="1" t="s">
        <v>160</v>
      </c>
      <c r="D148" s="1" t="s">
        <v>10</v>
      </c>
      <c r="E148" s="1">
        <v>23</v>
      </c>
      <c r="F148" s="1" t="s">
        <v>16</v>
      </c>
      <c r="G148" s="1">
        <v>1</v>
      </c>
      <c r="H148" s="1">
        <v>300</v>
      </c>
      <c r="I148" s="1">
        <v>300</v>
      </c>
    </row>
    <row r="149" spans="1:9" ht="12.75" x14ac:dyDescent="0.2">
      <c r="A149" s="1">
        <v>148</v>
      </c>
      <c r="B149" s="2">
        <v>45055</v>
      </c>
      <c r="C149" s="1" t="s">
        <v>161</v>
      </c>
      <c r="D149" s="1" t="s">
        <v>10</v>
      </c>
      <c r="E149" s="1">
        <v>18</v>
      </c>
      <c r="F149" s="1" t="s">
        <v>14</v>
      </c>
      <c r="G149" s="1">
        <v>2</v>
      </c>
      <c r="H149" s="1">
        <v>30</v>
      </c>
      <c r="I149" s="1">
        <v>60</v>
      </c>
    </row>
    <row r="150" spans="1:9" ht="12.75" x14ac:dyDescent="0.2">
      <c r="A150" s="1">
        <v>149</v>
      </c>
      <c r="B150" s="2">
        <v>45210</v>
      </c>
      <c r="C150" s="1" t="s">
        <v>162</v>
      </c>
      <c r="D150" s="1" t="s">
        <v>10</v>
      </c>
      <c r="E150" s="1">
        <v>22</v>
      </c>
      <c r="F150" s="1" t="s">
        <v>14</v>
      </c>
      <c r="G150" s="1">
        <v>3</v>
      </c>
      <c r="H150" s="1">
        <v>25</v>
      </c>
      <c r="I150" s="1">
        <v>75</v>
      </c>
    </row>
    <row r="151" spans="1:9" ht="12.75" x14ac:dyDescent="0.2">
      <c r="A151" s="1">
        <v>150</v>
      </c>
      <c r="B151" s="2">
        <v>44932</v>
      </c>
      <c r="C151" s="1" t="s">
        <v>163</v>
      </c>
      <c r="D151" s="1" t="s">
        <v>13</v>
      </c>
      <c r="E151" s="1">
        <v>58</v>
      </c>
      <c r="F151" s="1" t="s">
        <v>16</v>
      </c>
      <c r="G151" s="1">
        <v>4</v>
      </c>
      <c r="H151" s="1">
        <v>30</v>
      </c>
      <c r="I151" s="1">
        <v>120</v>
      </c>
    </row>
    <row r="152" spans="1:9" ht="12.75" x14ac:dyDescent="0.2">
      <c r="A152" s="1">
        <v>151</v>
      </c>
      <c r="B152" s="2">
        <v>45275</v>
      </c>
      <c r="C152" s="1" t="s">
        <v>164</v>
      </c>
      <c r="D152" s="1" t="s">
        <v>10</v>
      </c>
      <c r="E152" s="1">
        <v>29</v>
      </c>
      <c r="F152" s="1" t="s">
        <v>14</v>
      </c>
      <c r="G152" s="1">
        <v>1</v>
      </c>
      <c r="H152" s="1">
        <v>50</v>
      </c>
      <c r="I152" s="1">
        <v>50</v>
      </c>
    </row>
    <row r="153" spans="1:9" ht="12.75" x14ac:dyDescent="0.2">
      <c r="A153" s="1">
        <v>152</v>
      </c>
      <c r="B153" s="2">
        <v>44985</v>
      </c>
      <c r="C153" s="1" t="s">
        <v>165</v>
      </c>
      <c r="D153" s="1" t="s">
        <v>10</v>
      </c>
      <c r="E153" s="1">
        <v>43</v>
      </c>
      <c r="F153" s="1" t="s">
        <v>16</v>
      </c>
      <c r="G153" s="1">
        <v>4</v>
      </c>
      <c r="H153" s="1">
        <v>500</v>
      </c>
      <c r="I153" s="1">
        <v>2000</v>
      </c>
    </row>
    <row r="154" spans="1:9" ht="12.75" x14ac:dyDescent="0.2">
      <c r="A154" s="1">
        <v>153</v>
      </c>
      <c r="B154" s="2">
        <v>45276</v>
      </c>
      <c r="C154" s="1" t="s">
        <v>166</v>
      </c>
      <c r="D154" s="1" t="s">
        <v>10</v>
      </c>
      <c r="E154" s="1">
        <v>63</v>
      </c>
      <c r="F154" s="1" t="s">
        <v>16</v>
      </c>
      <c r="G154" s="1">
        <v>2</v>
      </c>
      <c r="H154" s="1">
        <v>500</v>
      </c>
      <c r="I154" s="1">
        <v>1000</v>
      </c>
    </row>
    <row r="155" spans="1:9" ht="12.75" x14ac:dyDescent="0.2">
      <c r="A155" s="1">
        <v>154</v>
      </c>
      <c r="B155" s="2">
        <v>45201</v>
      </c>
      <c r="C155" s="1" t="s">
        <v>167</v>
      </c>
      <c r="D155" s="1" t="s">
        <v>10</v>
      </c>
      <c r="E155" s="1">
        <v>51</v>
      </c>
      <c r="F155" s="1" t="s">
        <v>16</v>
      </c>
      <c r="G155" s="1">
        <v>3</v>
      </c>
      <c r="H155" s="1">
        <v>300</v>
      </c>
      <c r="I155" s="1">
        <v>900</v>
      </c>
    </row>
    <row r="156" spans="1:9" ht="12.75" x14ac:dyDescent="0.2">
      <c r="A156" s="1">
        <v>155</v>
      </c>
      <c r="B156" s="2">
        <v>45063</v>
      </c>
      <c r="C156" s="1" t="s">
        <v>168</v>
      </c>
      <c r="D156" s="1" t="s">
        <v>10</v>
      </c>
      <c r="E156" s="1">
        <v>31</v>
      </c>
      <c r="F156" s="1" t="s">
        <v>16</v>
      </c>
      <c r="G156" s="1">
        <v>4</v>
      </c>
      <c r="H156" s="1">
        <v>500</v>
      </c>
      <c r="I156" s="1">
        <v>2000</v>
      </c>
    </row>
    <row r="157" spans="1:9" ht="12.75" x14ac:dyDescent="0.2">
      <c r="A157" s="1">
        <v>156</v>
      </c>
      <c r="B157" s="2">
        <v>45255</v>
      </c>
      <c r="C157" s="1" t="s">
        <v>169</v>
      </c>
      <c r="D157" s="1" t="s">
        <v>13</v>
      </c>
      <c r="E157" s="1">
        <v>43</v>
      </c>
      <c r="F157" s="1" t="s">
        <v>14</v>
      </c>
      <c r="G157" s="1">
        <v>4</v>
      </c>
      <c r="H157" s="1">
        <v>25</v>
      </c>
      <c r="I157" s="1">
        <v>100</v>
      </c>
    </row>
    <row r="158" spans="1:9" ht="12.75" x14ac:dyDescent="0.2">
      <c r="A158" s="1">
        <v>157</v>
      </c>
      <c r="B158" s="2">
        <v>45101</v>
      </c>
      <c r="C158" s="1" t="s">
        <v>170</v>
      </c>
      <c r="D158" s="1" t="s">
        <v>10</v>
      </c>
      <c r="E158" s="1">
        <v>62</v>
      </c>
      <c r="F158" s="1" t="s">
        <v>16</v>
      </c>
      <c r="G158" s="1">
        <v>4</v>
      </c>
      <c r="H158" s="1">
        <v>500</v>
      </c>
      <c r="I158" s="1">
        <v>2000</v>
      </c>
    </row>
    <row r="159" spans="1:9" ht="12.75" x14ac:dyDescent="0.2">
      <c r="A159" s="1">
        <v>158</v>
      </c>
      <c r="B159" s="2">
        <v>44984</v>
      </c>
      <c r="C159" s="1" t="s">
        <v>171</v>
      </c>
      <c r="D159" s="1" t="s">
        <v>13</v>
      </c>
      <c r="E159" s="1">
        <v>44</v>
      </c>
      <c r="F159" s="1" t="s">
        <v>16</v>
      </c>
      <c r="G159" s="1">
        <v>2</v>
      </c>
      <c r="H159" s="1">
        <v>300</v>
      </c>
      <c r="I159" s="1">
        <v>600</v>
      </c>
    </row>
    <row r="160" spans="1:9" ht="12.75" x14ac:dyDescent="0.2">
      <c r="A160" s="1">
        <v>159</v>
      </c>
      <c r="B160" s="2">
        <v>45077</v>
      </c>
      <c r="C160" s="1" t="s">
        <v>172</v>
      </c>
      <c r="D160" s="1" t="s">
        <v>10</v>
      </c>
      <c r="E160" s="1">
        <v>26</v>
      </c>
      <c r="F160" s="1" t="s">
        <v>14</v>
      </c>
      <c r="G160" s="1">
        <v>4</v>
      </c>
      <c r="H160" s="1">
        <v>50</v>
      </c>
      <c r="I160" s="1">
        <v>200</v>
      </c>
    </row>
    <row r="161" spans="1:9" ht="12.75" x14ac:dyDescent="0.2">
      <c r="A161" s="1">
        <v>160</v>
      </c>
      <c r="B161" s="2">
        <v>45149</v>
      </c>
      <c r="C161" s="1" t="s">
        <v>173</v>
      </c>
      <c r="D161" s="1" t="s">
        <v>13</v>
      </c>
      <c r="E161" s="1">
        <v>43</v>
      </c>
      <c r="F161" s="1" t="s">
        <v>14</v>
      </c>
      <c r="G161" s="1">
        <v>2</v>
      </c>
      <c r="H161" s="1">
        <v>50</v>
      </c>
      <c r="I161" s="1">
        <v>100</v>
      </c>
    </row>
    <row r="162" spans="1:9" ht="12.75" x14ac:dyDescent="0.2">
      <c r="A162" s="1">
        <v>161</v>
      </c>
      <c r="B162" s="2">
        <v>45007</v>
      </c>
      <c r="C162" s="1" t="s">
        <v>174</v>
      </c>
      <c r="D162" s="1" t="s">
        <v>10</v>
      </c>
      <c r="E162" s="1">
        <v>64</v>
      </c>
      <c r="F162" s="1" t="s">
        <v>11</v>
      </c>
      <c r="G162" s="1">
        <v>2</v>
      </c>
      <c r="H162" s="1">
        <v>500</v>
      </c>
      <c r="I162" s="1">
        <v>1000</v>
      </c>
    </row>
    <row r="163" spans="1:9" ht="12.75" x14ac:dyDescent="0.2">
      <c r="A163" s="1">
        <v>162</v>
      </c>
      <c r="B163" s="2">
        <v>45159</v>
      </c>
      <c r="C163" s="1" t="s">
        <v>175</v>
      </c>
      <c r="D163" s="1" t="s">
        <v>10</v>
      </c>
      <c r="E163" s="1">
        <v>39</v>
      </c>
      <c r="F163" s="1" t="s">
        <v>14</v>
      </c>
      <c r="G163" s="1">
        <v>2</v>
      </c>
      <c r="H163" s="1">
        <v>30</v>
      </c>
      <c r="I163" s="1">
        <v>60</v>
      </c>
    </row>
    <row r="164" spans="1:9" ht="12.75" x14ac:dyDescent="0.2">
      <c r="A164" s="1">
        <v>163</v>
      </c>
      <c r="B164" s="2">
        <v>44928</v>
      </c>
      <c r="C164" s="1" t="s">
        <v>176</v>
      </c>
      <c r="D164" s="1" t="s">
        <v>13</v>
      </c>
      <c r="E164" s="1">
        <v>64</v>
      </c>
      <c r="F164" s="1" t="s">
        <v>14</v>
      </c>
      <c r="G164" s="1">
        <v>3</v>
      </c>
      <c r="H164" s="1">
        <v>50</v>
      </c>
      <c r="I164" s="1">
        <v>150</v>
      </c>
    </row>
    <row r="165" spans="1:9" ht="12.75" x14ac:dyDescent="0.2">
      <c r="A165" s="1">
        <v>164</v>
      </c>
      <c r="B165" s="2">
        <v>45061</v>
      </c>
      <c r="C165" s="1" t="s">
        <v>177</v>
      </c>
      <c r="D165" s="1" t="s">
        <v>13</v>
      </c>
      <c r="E165" s="1">
        <v>47</v>
      </c>
      <c r="F165" s="1" t="s">
        <v>11</v>
      </c>
      <c r="G165" s="1">
        <v>3</v>
      </c>
      <c r="H165" s="1">
        <v>500</v>
      </c>
      <c r="I165" s="1">
        <v>1500</v>
      </c>
    </row>
    <row r="166" spans="1:9" ht="12.75" x14ac:dyDescent="0.2">
      <c r="A166" s="1">
        <v>165</v>
      </c>
      <c r="B166" s="2">
        <v>45183</v>
      </c>
      <c r="C166" s="1" t="s">
        <v>178</v>
      </c>
      <c r="D166" s="1" t="s">
        <v>13</v>
      </c>
      <c r="E166" s="1">
        <v>60</v>
      </c>
      <c r="F166" s="1" t="s">
        <v>14</v>
      </c>
      <c r="G166" s="1">
        <v>4</v>
      </c>
      <c r="H166" s="1">
        <v>300</v>
      </c>
      <c r="I166" s="1">
        <v>1200</v>
      </c>
    </row>
    <row r="167" spans="1:9" ht="12.75" x14ac:dyDescent="0.2">
      <c r="A167" s="1">
        <v>166</v>
      </c>
      <c r="B167" s="2">
        <v>45018</v>
      </c>
      <c r="C167" s="1" t="s">
        <v>179</v>
      </c>
      <c r="D167" s="1" t="s">
        <v>10</v>
      </c>
      <c r="E167" s="1">
        <v>34</v>
      </c>
      <c r="F167" s="1" t="s">
        <v>14</v>
      </c>
      <c r="G167" s="1">
        <v>4</v>
      </c>
      <c r="H167" s="1">
        <v>500</v>
      </c>
      <c r="I167" s="1">
        <v>2000</v>
      </c>
    </row>
    <row r="168" spans="1:9" ht="12.75" x14ac:dyDescent="0.2">
      <c r="A168" s="1">
        <v>167</v>
      </c>
      <c r="B168" s="2">
        <v>45186</v>
      </c>
      <c r="C168" s="1" t="s">
        <v>180</v>
      </c>
      <c r="D168" s="1" t="s">
        <v>13</v>
      </c>
      <c r="E168" s="1">
        <v>43</v>
      </c>
      <c r="F168" s="1" t="s">
        <v>14</v>
      </c>
      <c r="G168" s="1">
        <v>3</v>
      </c>
      <c r="H168" s="1">
        <v>50</v>
      </c>
      <c r="I168" s="1">
        <v>150</v>
      </c>
    </row>
    <row r="169" spans="1:9" ht="12.75" x14ac:dyDescent="0.2">
      <c r="A169" s="1">
        <v>168</v>
      </c>
      <c r="B169" s="2">
        <v>44981</v>
      </c>
      <c r="C169" s="1" t="s">
        <v>181</v>
      </c>
      <c r="D169" s="1" t="s">
        <v>10</v>
      </c>
      <c r="E169" s="1">
        <v>53</v>
      </c>
      <c r="F169" s="1" t="s">
        <v>14</v>
      </c>
      <c r="G169" s="1">
        <v>1</v>
      </c>
      <c r="H169" s="1">
        <v>300</v>
      </c>
      <c r="I169" s="1">
        <v>300</v>
      </c>
    </row>
    <row r="170" spans="1:9" ht="12.75" x14ac:dyDescent="0.2">
      <c r="A170" s="1">
        <v>169</v>
      </c>
      <c r="B170" s="2">
        <v>45247</v>
      </c>
      <c r="C170" s="1" t="s">
        <v>182</v>
      </c>
      <c r="D170" s="1" t="s">
        <v>10</v>
      </c>
      <c r="E170" s="1">
        <v>18</v>
      </c>
      <c r="F170" s="1" t="s">
        <v>11</v>
      </c>
      <c r="G170" s="1">
        <v>3</v>
      </c>
      <c r="H170" s="1">
        <v>500</v>
      </c>
      <c r="I170" s="1">
        <v>1500</v>
      </c>
    </row>
    <row r="171" spans="1:9" ht="12.75" x14ac:dyDescent="0.2">
      <c r="A171" s="1">
        <v>170</v>
      </c>
      <c r="B171" s="2">
        <v>45079</v>
      </c>
      <c r="C171" s="1" t="s">
        <v>183</v>
      </c>
      <c r="D171" s="1" t="s">
        <v>13</v>
      </c>
      <c r="E171" s="1">
        <v>25</v>
      </c>
      <c r="F171" s="1" t="s">
        <v>14</v>
      </c>
      <c r="G171" s="1">
        <v>2</v>
      </c>
      <c r="H171" s="1">
        <v>25</v>
      </c>
      <c r="I171" s="1">
        <v>50</v>
      </c>
    </row>
    <row r="172" spans="1:9" ht="12.75" x14ac:dyDescent="0.2">
      <c r="A172" s="1">
        <v>171</v>
      </c>
      <c r="B172" s="2">
        <v>45254</v>
      </c>
      <c r="C172" s="1" t="s">
        <v>184</v>
      </c>
      <c r="D172" s="1" t="s">
        <v>13</v>
      </c>
      <c r="E172" s="1">
        <v>52</v>
      </c>
      <c r="F172" s="1" t="s">
        <v>14</v>
      </c>
      <c r="G172" s="1">
        <v>3</v>
      </c>
      <c r="H172" s="1">
        <v>300</v>
      </c>
      <c r="I172" s="1">
        <v>900</v>
      </c>
    </row>
    <row r="173" spans="1:9" ht="12.75" x14ac:dyDescent="0.2">
      <c r="A173" s="1">
        <v>172</v>
      </c>
      <c r="B173" s="2">
        <v>45186</v>
      </c>
      <c r="C173" s="1" t="s">
        <v>185</v>
      </c>
      <c r="D173" s="1" t="s">
        <v>10</v>
      </c>
      <c r="E173" s="1">
        <v>32</v>
      </c>
      <c r="F173" s="1" t="s">
        <v>11</v>
      </c>
      <c r="G173" s="1">
        <v>2</v>
      </c>
      <c r="H173" s="1">
        <v>25</v>
      </c>
      <c r="I173" s="1">
        <v>50</v>
      </c>
    </row>
    <row r="174" spans="1:9" ht="12.75" x14ac:dyDescent="0.2">
      <c r="A174" s="1">
        <v>173</v>
      </c>
      <c r="B174" s="2">
        <v>45238</v>
      </c>
      <c r="C174" s="1" t="s">
        <v>186</v>
      </c>
      <c r="D174" s="1" t="s">
        <v>10</v>
      </c>
      <c r="E174" s="1">
        <v>64</v>
      </c>
      <c r="F174" s="1" t="s">
        <v>16</v>
      </c>
      <c r="G174" s="1">
        <v>4</v>
      </c>
      <c r="H174" s="1">
        <v>30</v>
      </c>
      <c r="I174" s="1">
        <v>120</v>
      </c>
    </row>
    <row r="175" spans="1:9" ht="12.75" x14ac:dyDescent="0.2">
      <c r="A175" s="1">
        <v>174</v>
      </c>
      <c r="B175" s="2">
        <v>45028</v>
      </c>
      <c r="C175" s="1" t="s">
        <v>187</v>
      </c>
      <c r="D175" s="1" t="s">
        <v>13</v>
      </c>
      <c r="E175" s="1">
        <v>39</v>
      </c>
      <c r="F175" s="1" t="s">
        <v>11</v>
      </c>
      <c r="G175" s="1">
        <v>1</v>
      </c>
      <c r="H175" s="1">
        <v>300</v>
      </c>
      <c r="I175" s="1">
        <v>300</v>
      </c>
    </row>
    <row r="176" spans="1:9" ht="12.75" x14ac:dyDescent="0.2">
      <c r="A176" s="1">
        <v>175</v>
      </c>
      <c r="B176" s="2">
        <v>45005</v>
      </c>
      <c r="C176" s="1" t="s">
        <v>188</v>
      </c>
      <c r="D176" s="1" t="s">
        <v>13</v>
      </c>
      <c r="E176" s="1">
        <v>31</v>
      </c>
      <c r="F176" s="1" t="s">
        <v>16</v>
      </c>
      <c r="G176" s="1">
        <v>4</v>
      </c>
      <c r="H176" s="1">
        <v>25</v>
      </c>
      <c r="I176" s="1">
        <v>100</v>
      </c>
    </row>
    <row r="177" spans="1:9" ht="12.75" x14ac:dyDescent="0.2">
      <c r="A177" s="1">
        <v>176</v>
      </c>
      <c r="B177" s="2">
        <v>45118</v>
      </c>
      <c r="C177" s="1" t="s">
        <v>189</v>
      </c>
      <c r="D177" s="1" t="s">
        <v>13</v>
      </c>
      <c r="E177" s="1">
        <v>43</v>
      </c>
      <c r="F177" s="1" t="s">
        <v>11</v>
      </c>
      <c r="G177" s="1">
        <v>2</v>
      </c>
      <c r="H177" s="1">
        <v>50</v>
      </c>
      <c r="I177" s="1">
        <v>100</v>
      </c>
    </row>
    <row r="178" spans="1:9" ht="12.75" x14ac:dyDescent="0.2">
      <c r="A178" s="1">
        <v>177</v>
      </c>
      <c r="B178" s="2">
        <v>45009</v>
      </c>
      <c r="C178" s="1" t="s">
        <v>190</v>
      </c>
      <c r="D178" s="1" t="s">
        <v>10</v>
      </c>
      <c r="E178" s="1">
        <v>45</v>
      </c>
      <c r="F178" s="1" t="s">
        <v>11</v>
      </c>
      <c r="G178" s="1">
        <v>2</v>
      </c>
      <c r="H178" s="1">
        <v>50</v>
      </c>
      <c r="I178" s="1">
        <v>100</v>
      </c>
    </row>
    <row r="179" spans="1:9" ht="12.75" x14ac:dyDescent="0.2">
      <c r="A179" s="1">
        <v>178</v>
      </c>
      <c r="B179" s="2">
        <v>45203</v>
      </c>
      <c r="C179" s="1" t="s">
        <v>191</v>
      </c>
      <c r="D179" s="1" t="s">
        <v>10</v>
      </c>
      <c r="E179" s="1">
        <v>40</v>
      </c>
      <c r="F179" s="1" t="s">
        <v>14</v>
      </c>
      <c r="G179" s="1">
        <v>2</v>
      </c>
      <c r="H179" s="1">
        <v>30</v>
      </c>
      <c r="I179" s="1">
        <v>60</v>
      </c>
    </row>
    <row r="180" spans="1:9" ht="12.75" x14ac:dyDescent="0.2">
      <c r="A180" s="1">
        <v>179</v>
      </c>
      <c r="B180" s="2">
        <v>45198</v>
      </c>
      <c r="C180" s="1" t="s">
        <v>192</v>
      </c>
      <c r="D180" s="1" t="s">
        <v>10</v>
      </c>
      <c r="E180" s="1">
        <v>31</v>
      </c>
      <c r="F180" s="1" t="s">
        <v>16</v>
      </c>
      <c r="G180" s="1">
        <v>1</v>
      </c>
      <c r="H180" s="1">
        <v>300</v>
      </c>
      <c r="I180" s="1">
        <v>300</v>
      </c>
    </row>
    <row r="181" spans="1:9" ht="12.75" x14ac:dyDescent="0.2">
      <c r="A181" s="1">
        <v>180</v>
      </c>
      <c r="B181" s="2">
        <v>44927</v>
      </c>
      <c r="C181" s="1" t="s">
        <v>193</v>
      </c>
      <c r="D181" s="1" t="s">
        <v>10</v>
      </c>
      <c r="E181" s="1">
        <v>41</v>
      </c>
      <c r="F181" s="1" t="s">
        <v>14</v>
      </c>
      <c r="G181" s="1">
        <v>3</v>
      </c>
      <c r="H181" s="1">
        <v>300</v>
      </c>
      <c r="I181" s="1">
        <v>900</v>
      </c>
    </row>
    <row r="182" spans="1:9" ht="12.75" x14ac:dyDescent="0.2">
      <c r="A182" s="1">
        <v>181</v>
      </c>
      <c r="B182" s="2">
        <v>45233</v>
      </c>
      <c r="C182" s="1" t="s">
        <v>194</v>
      </c>
      <c r="D182" s="1" t="s">
        <v>10</v>
      </c>
      <c r="E182" s="1">
        <v>19</v>
      </c>
      <c r="F182" s="1" t="s">
        <v>16</v>
      </c>
      <c r="G182" s="1">
        <v>4</v>
      </c>
      <c r="H182" s="1">
        <v>300</v>
      </c>
      <c r="I182" s="1">
        <v>1200</v>
      </c>
    </row>
    <row r="183" spans="1:9" ht="12.75" x14ac:dyDescent="0.2">
      <c r="A183" s="1">
        <v>182</v>
      </c>
      <c r="B183" s="2">
        <v>45092</v>
      </c>
      <c r="C183" s="1" t="s">
        <v>195</v>
      </c>
      <c r="D183" s="1" t="s">
        <v>10</v>
      </c>
      <c r="E183" s="1">
        <v>62</v>
      </c>
      <c r="F183" s="1" t="s">
        <v>11</v>
      </c>
      <c r="G183" s="1">
        <v>4</v>
      </c>
      <c r="H183" s="1">
        <v>30</v>
      </c>
      <c r="I183" s="1">
        <v>120</v>
      </c>
    </row>
    <row r="184" spans="1:9" ht="12.75" x14ac:dyDescent="0.2">
      <c r="A184" s="1">
        <v>183</v>
      </c>
      <c r="B184" s="2">
        <v>45177</v>
      </c>
      <c r="C184" s="1" t="s">
        <v>196</v>
      </c>
      <c r="D184" s="1" t="s">
        <v>13</v>
      </c>
      <c r="E184" s="1">
        <v>43</v>
      </c>
      <c r="F184" s="1" t="s">
        <v>11</v>
      </c>
      <c r="G184" s="1">
        <v>3</v>
      </c>
      <c r="H184" s="1">
        <v>300</v>
      </c>
      <c r="I184" s="1">
        <v>900</v>
      </c>
    </row>
    <row r="185" spans="1:9" ht="12.75" x14ac:dyDescent="0.2">
      <c r="A185" s="1">
        <v>184</v>
      </c>
      <c r="B185" s="2">
        <v>44936</v>
      </c>
      <c r="C185" s="1" t="s">
        <v>197</v>
      </c>
      <c r="D185" s="1" t="s">
        <v>10</v>
      </c>
      <c r="E185" s="1">
        <v>31</v>
      </c>
      <c r="F185" s="1" t="s">
        <v>16</v>
      </c>
      <c r="G185" s="1">
        <v>4</v>
      </c>
      <c r="H185" s="1">
        <v>50</v>
      </c>
      <c r="I185" s="1">
        <v>200</v>
      </c>
    </row>
    <row r="186" spans="1:9" ht="12.75" x14ac:dyDescent="0.2">
      <c r="A186" s="1">
        <v>185</v>
      </c>
      <c r="B186" s="2">
        <v>44984</v>
      </c>
      <c r="C186" s="1" t="s">
        <v>198</v>
      </c>
      <c r="D186" s="1" t="s">
        <v>10</v>
      </c>
      <c r="E186" s="1">
        <v>24</v>
      </c>
      <c r="F186" s="1" t="s">
        <v>14</v>
      </c>
      <c r="G186" s="1">
        <v>1</v>
      </c>
      <c r="H186" s="1">
        <v>25</v>
      </c>
      <c r="I186" s="1">
        <v>25</v>
      </c>
    </row>
    <row r="187" spans="1:9" ht="12.75" x14ac:dyDescent="0.2">
      <c r="A187" s="1">
        <v>186</v>
      </c>
      <c r="B187" s="2">
        <v>45112</v>
      </c>
      <c r="C187" s="1" t="s">
        <v>199</v>
      </c>
      <c r="D187" s="1" t="s">
        <v>10</v>
      </c>
      <c r="E187" s="1">
        <v>20</v>
      </c>
      <c r="F187" s="1" t="s">
        <v>14</v>
      </c>
      <c r="G187" s="1">
        <v>4</v>
      </c>
      <c r="H187" s="1">
        <v>50</v>
      </c>
      <c r="I187" s="1">
        <v>200</v>
      </c>
    </row>
    <row r="188" spans="1:9" ht="12.75" x14ac:dyDescent="0.2">
      <c r="A188" s="1">
        <v>187</v>
      </c>
      <c r="B188" s="2">
        <v>45084</v>
      </c>
      <c r="C188" s="1" t="s">
        <v>200</v>
      </c>
      <c r="D188" s="1" t="s">
        <v>13</v>
      </c>
      <c r="E188" s="1">
        <v>64</v>
      </c>
      <c r="F188" s="1" t="s">
        <v>14</v>
      </c>
      <c r="G188" s="1">
        <v>2</v>
      </c>
      <c r="H188" s="1">
        <v>50</v>
      </c>
      <c r="I188" s="1">
        <v>100</v>
      </c>
    </row>
    <row r="189" spans="1:9" ht="12.75" x14ac:dyDescent="0.2">
      <c r="A189" s="1">
        <v>188</v>
      </c>
      <c r="B189" s="2">
        <v>45049</v>
      </c>
      <c r="C189" s="1" t="s">
        <v>201</v>
      </c>
      <c r="D189" s="1" t="s">
        <v>10</v>
      </c>
      <c r="E189" s="1">
        <v>40</v>
      </c>
      <c r="F189" s="1" t="s">
        <v>14</v>
      </c>
      <c r="G189" s="1">
        <v>3</v>
      </c>
      <c r="H189" s="1">
        <v>25</v>
      </c>
      <c r="I189" s="1">
        <v>75</v>
      </c>
    </row>
    <row r="190" spans="1:9" ht="12.75" x14ac:dyDescent="0.2">
      <c r="A190" s="1">
        <v>189</v>
      </c>
      <c r="B190" s="2">
        <v>44956</v>
      </c>
      <c r="C190" s="1" t="s">
        <v>202</v>
      </c>
      <c r="D190" s="1" t="s">
        <v>10</v>
      </c>
      <c r="E190" s="1">
        <v>63</v>
      </c>
      <c r="F190" s="1" t="s">
        <v>11</v>
      </c>
      <c r="G190" s="1">
        <v>1</v>
      </c>
      <c r="H190" s="1">
        <v>50</v>
      </c>
      <c r="I190" s="1">
        <v>50</v>
      </c>
    </row>
    <row r="191" spans="1:9" ht="12.75" x14ac:dyDescent="0.2">
      <c r="A191" s="1">
        <v>190</v>
      </c>
      <c r="B191" s="2">
        <v>45050</v>
      </c>
      <c r="C191" s="1" t="s">
        <v>203</v>
      </c>
      <c r="D191" s="1" t="s">
        <v>13</v>
      </c>
      <c r="E191" s="1">
        <v>60</v>
      </c>
      <c r="F191" s="1" t="s">
        <v>11</v>
      </c>
      <c r="G191" s="1">
        <v>3</v>
      </c>
      <c r="H191" s="1">
        <v>30</v>
      </c>
      <c r="I191" s="1">
        <v>90</v>
      </c>
    </row>
    <row r="192" spans="1:9" ht="12.75" x14ac:dyDescent="0.2">
      <c r="A192" s="1">
        <v>191</v>
      </c>
      <c r="B192" s="2">
        <v>45217</v>
      </c>
      <c r="C192" s="1" t="s">
        <v>204</v>
      </c>
      <c r="D192" s="1" t="s">
        <v>10</v>
      </c>
      <c r="E192" s="1">
        <v>64</v>
      </c>
      <c r="F192" s="1" t="s">
        <v>11</v>
      </c>
      <c r="G192" s="1">
        <v>1</v>
      </c>
      <c r="H192" s="1">
        <v>25</v>
      </c>
      <c r="I192" s="1">
        <v>25</v>
      </c>
    </row>
    <row r="193" spans="1:9" ht="12.75" x14ac:dyDescent="0.2">
      <c r="A193" s="1">
        <v>192</v>
      </c>
      <c r="B193" s="2">
        <v>44967</v>
      </c>
      <c r="C193" s="1" t="s">
        <v>205</v>
      </c>
      <c r="D193" s="1" t="s">
        <v>10</v>
      </c>
      <c r="E193" s="1">
        <v>62</v>
      </c>
      <c r="F193" s="1" t="s">
        <v>11</v>
      </c>
      <c r="G193" s="1">
        <v>2</v>
      </c>
      <c r="H193" s="1">
        <v>50</v>
      </c>
      <c r="I193" s="1">
        <v>100</v>
      </c>
    </row>
    <row r="194" spans="1:9" ht="12.75" x14ac:dyDescent="0.2">
      <c r="A194" s="1">
        <v>193</v>
      </c>
      <c r="B194" s="2">
        <v>44970</v>
      </c>
      <c r="C194" s="1" t="s">
        <v>206</v>
      </c>
      <c r="D194" s="1" t="s">
        <v>10</v>
      </c>
      <c r="E194" s="1">
        <v>35</v>
      </c>
      <c r="F194" s="1" t="s">
        <v>11</v>
      </c>
      <c r="G194" s="1">
        <v>3</v>
      </c>
      <c r="H194" s="1">
        <v>500</v>
      </c>
      <c r="I194" s="1">
        <v>1500</v>
      </c>
    </row>
    <row r="195" spans="1:9" ht="12.75" x14ac:dyDescent="0.2">
      <c r="A195" s="1">
        <v>194</v>
      </c>
      <c r="B195" s="2">
        <v>45175</v>
      </c>
      <c r="C195" s="1" t="s">
        <v>207</v>
      </c>
      <c r="D195" s="1" t="s">
        <v>10</v>
      </c>
      <c r="E195" s="1">
        <v>55</v>
      </c>
      <c r="F195" s="1" t="s">
        <v>14</v>
      </c>
      <c r="G195" s="1">
        <v>4</v>
      </c>
      <c r="H195" s="1">
        <v>50</v>
      </c>
      <c r="I195" s="1">
        <v>200</v>
      </c>
    </row>
    <row r="196" spans="1:9" ht="12.75" x14ac:dyDescent="0.2">
      <c r="A196" s="1">
        <v>195</v>
      </c>
      <c r="B196" s="2">
        <v>44962</v>
      </c>
      <c r="C196" s="1" t="s">
        <v>208</v>
      </c>
      <c r="D196" s="1" t="s">
        <v>10</v>
      </c>
      <c r="E196" s="1">
        <v>52</v>
      </c>
      <c r="F196" s="1" t="s">
        <v>14</v>
      </c>
      <c r="G196" s="1">
        <v>1</v>
      </c>
      <c r="H196" s="1">
        <v>30</v>
      </c>
      <c r="I196" s="1">
        <v>30</v>
      </c>
    </row>
    <row r="197" spans="1:9" ht="12.75" x14ac:dyDescent="0.2">
      <c r="A197" s="1">
        <v>196</v>
      </c>
      <c r="B197" s="2">
        <v>45199</v>
      </c>
      <c r="C197" s="1" t="s">
        <v>209</v>
      </c>
      <c r="D197" s="1" t="s">
        <v>13</v>
      </c>
      <c r="E197" s="1">
        <v>32</v>
      </c>
      <c r="F197" s="1" t="s">
        <v>14</v>
      </c>
      <c r="G197" s="1">
        <v>3</v>
      </c>
      <c r="H197" s="1">
        <v>300</v>
      </c>
      <c r="I197" s="1">
        <v>900</v>
      </c>
    </row>
    <row r="198" spans="1:9" ht="12.75" x14ac:dyDescent="0.2">
      <c r="A198" s="1">
        <v>197</v>
      </c>
      <c r="B198" s="2">
        <v>44991</v>
      </c>
      <c r="C198" s="1" t="s">
        <v>210</v>
      </c>
      <c r="D198" s="1" t="s">
        <v>13</v>
      </c>
      <c r="E198" s="1">
        <v>42</v>
      </c>
      <c r="F198" s="1" t="s">
        <v>14</v>
      </c>
      <c r="G198" s="1">
        <v>4</v>
      </c>
      <c r="H198" s="1">
        <v>50</v>
      </c>
      <c r="I198" s="1">
        <v>200</v>
      </c>
    </row>
    <row r="199" spans="1:9" ht="12.75" x14ac:dyDescent="0.2">
      <c r="A199" s="1">
        <v>198</v>
      </c>
      <c r="B199" s="2">
        <v>44992</v>
      </c>
      <c r="C199" s="1" t="s">
        <v>211</v>
      </c>
      <c r="D199" s="1" t="s">
        <v>13</v>
      </c>
      <c r="E199" s="1">
        <v>54</v>
      </c>
      <c r="F199" s="1" t="s">
        <v>11</v>
      </c>
      <c r="G199" s="1">
        <v>3</v>
      </c>
      <c r="H199" s="1">
        <v>300</v>
      </c>
      <c r="I199" s="1">
        <v>900</v>
      </c>
    </row>
    <row r="200" spans="1:9" ht="12.75" x14ac:dyDescent="0.2">
      <c r="A200" s="1">
        <v>199</v>
      </c>
      <c r="B200" s="2">
        <v>45264</v>
      </c>
      <c r="C200" s="1" t="s">
        <v>212</v>
      </c>
      <c r="D200" s="1" t="s">
        <v>10</v>
      </c>
      <c r="E200" s="1">
        <v>45</v>
      </c>
      <c r="F200" s="1" t="s">
        <v>11</v>
      </c>
      <c r="G200" s="1">
        <v>3</v>
      </c>
      <c r="H200" s="1">
        <v>500</v>
      </c>
      <c r="I200" s="1">
        <v>1500</v>
      </c>
    </row>
    <row r="201" spans="1:9" ht="12.75" x14ac:dyDescent="0.2">
      <c r="A201" s="1">
        <v>200</v>
      </c>
      <c r="B201" s="2">
        <v>45170</v>
      </c>
      <c r="C201" s="1" t="s">
        <v>213</v>
      </c>
      <c r="D201" s="1" t="s">
        <v>10</v>
      </c>
      <c r="E201" s="1">
        <v>27</v>
      </c>
      <c r="F201" s="1" t="s">
        <v>11</v>
      </c>
      <c r="G201" s="1">
        <v>3</v>
      </c>
      <c r="H201" s="1">
        <v>50</v>
      </c>
      <c r="I201" s="1">
        <v>150</v>
      </c>
    </row>
    <row r="202" spans="1:9" ht="12.75" x14ac:dyDescent="0.2">
      <c r="A202" s="1">
        <v>201</v>
      </c>
      <c r="B202" s="2">
        <v>45208</v>
      </c>
      <c r="C202" s="1" t="s">
        <v>214</v>
      </c>
      <c r="D202" s="1" t="s">
        <v>10</v>
      </c>
      <c r="E202" s="1">
        <v>56</v>
      </c>
      <c r="F202" s="1" t="s">
        <v>16</v>
      </c>
      <c r="G202" s="1">
        <v>1</v>
      </c>
      <c r="H202" s="1">
        <v>25</v>
      </c>
      <c r="I202" s="1">
        <v>25</v>
      </c>
    </row>
    <row r="203" spans="1:9" ht="12.75" x14ac:dyDescent="0.2">
      <c r="A203" s="1">
        <v>202</v>
      </c>
      <c r="B203" s="2">
        <v>45011</v>
      </c>
      <c r="C203" s="1" t="s">
        <v>215</v>
      </c>
      <c r="D203" s="1" t="s">
        <v>13</v>
      </c>
      <c r="E203" s="1">
        <v>34</v>
      </c>
      <c r="F203" s="1" t="s">
        <v>14</v>
      </c>
      <c r="G203" s="1">
        <v>4</v>
      </c>
      <c r="H203" s="1">
        <v>300</v>
      </c>
      <c r="I203" s="1">
        <v>1200</v>
      </c>
    </row>
    <row r="204" spans="1:9" ht="12.75" x14ac:dyDescent="0.2">
      <c r="A204" s="1">
        <v>203</v>
      </c>
      <c r="B204" s="2">
        <v>45062</v>
      </c>
      <c r="C204" s="1" t="s">
        <v>216</v>
      </c>
      <c r="D204" s="1" t="s">
        <v>10</v>
      </c>
      <c r="E204" s="1">
        <v>56</v>
      </c>
      <c r="F204" s="1" t="s">
        <v>14</v>
      </c>
      <c r="G204" s="1">
        <v>2</v>
      </c>
      <c r="H204" s="1">
        <v>500</v>
      </c>
      <c r="I204" s="1">
        <v>1000</v>
      </c>
    </row>
    <row r="205" spans="1:9" ht="12.75" x14ac:dyDescent="0.2">
      <c r="A205" s="1">
        <v>204</v>
      </c>
      <c r="B205" s="2">
        <v>45197</v>
      </c>
      <c r="C205" s="1" t="s">
        <v>217</v>
      </c>
      <c r="D205" s="1" t="s">
        <v>10</v>
      </c>
      <c r="E205" s="1">
        <v>39</v>
      </c>
      <c r="F205" s="1" t="s">
        <v>11</v>
      </c>
      <c r="G205" s="1">
        <v>1</v>
      </c>
      <c r="H205" s="1">
        <v>25</v>
      </c>
      <c r="I205" s="1">
        <v>25</v>
      </c>
    </row>
    <row r="206" spans="1:9" ht="12.75" x14ac:dyDescent="0.2">
      <c r="A206" s="1">
        <v>205</v>
      </c>
      <c r="B206" s="2">
        <v>45237</v>
      </c>
      <c r="C206" s="1" t="s">
        <v>218</v>
      </c>
      <c r="D206" s="1" t="s">
        <v>13</v>
      </c>
      <c r="E206" s="1">
        <v>43</v>
      </c>
      <c r="F206" s="1" t="s">
        <v>14</v>
      </c>
      <c r="G206" s="1">
        <v>1</v>
      </c>
      <c r="H206" s="1">
        <v>25</v>
      </c>
      <c r="I206" s="1">
        <v>25</v>
      </c>
    </row>
    <row r="207" spans="1:9" ht="12.75" x14ac:dyDescent="0.2">
      <c r="A207" s="1">
        <v>206</v>
      </c>
      <c r="B207" s="2">
        <v>45143</v>
      </c>
      <c r="C207" s="1" t="s">
        <v>219</v>
      </c>
      <c r="D207" s="1" t="s">
        <v>10</v>
      </c>
      <c r="E207" s="1">
        <v>61</v>
      </c>
      <c r="F207" s="1" t="s">
        <v>14</v>
      </c>
      <c r="G207" s="1">
        <v>1</v>
      </c>
      <c r="H207" s="1">
        <v>25</v>
      </c>
      <c r="I207" s="1">
        <v>25</v>
      </c>
    </row>
    <row r="208" spans="1:9" ht="12.75" x14ac:dyDescent="0.2">
      <c r="A208" s="1">
        <v>207</v>
      </c>
      <c r="B208" s="2">
        <v>45035</v>
      </c>
      <c r="C208" s="1" t="s">
        <v>220</v>
      </c>
      <c r="D208" s="1" t="s">
        <v>13</v>
      </c>
      <c r="E208" s="1">
        <v>42</v>
      </c>
      <c r="F208" s="1" t="s">
        <v>11</v>
      </c>
      <c r="G208" s="1">
        <v>2</v>
      </c>
      <c r="H208" s="1">
        <v>25</v>
      </c>
      <c r="I208" s="1">
        <v>50</v>
      </c>
    </row>
    <row r="209" spans="1:9" ht="12.75" x14ac:dyDescent="0.2">
      <c r="A209" s="1">
        <v>208</v>
      </c>
      <c r="B209" s="2">
        <v>45203</v>
      </c>
      <c r="C209" s="1" t="s">
        <v>221</v>
      </c>
      <c r="D209" s="1" t="s">
        <v>13</v>
      </c>
      <c r="E209" s="1">
        <v>34</v>
      </c>
      <c r="F209" s="1" t="s">
        <v>16</v>
      </c>
      <c r="G209" s="1">
        <v>4</v>
      </c>
      <c r="H209" s="1">
        <v>50</v>
      </c>
      <c r="I209" s="1">
        <v>200</v>
      </c>
    </row>
    <row r="210" spans="1:9" ht="12.75" x14ac:dyDescent="0.2">
      <c r="A210" s="1">
        <v>209</v>
      </c>
      <c r="B210" s="2">
        <v>45280</v>
      </c>
      <c r="C210" s="1" t="s">
        <v>222</v>
      </c>
      <c r="D210" s="1" t="s">
        <v>13</v>
      </c>
      <c r="E210" s="1">
        <v>30</v>
      </c>
      <c r="F210" s="1" t="s">
        <v>16</v>
      </c>
      <c r="G210" s="1">
        <v>4</v>
      </c>
      <c r="H210" s="1">
        <v>50</v>
      </c>
      <c r="I210" s="1">
        <v>200</v>
      </c>
    </row>
    <row r="211" spans="1:9" ht="12.75" x14ac:dyDescent="0.2">
      <c r="A211" s="1">
        <v>210</v>
      </c>
      <c r="B211" s="2">
        <v>45029</v>
      </c>
      <c r="C211" s="1" t="s">
        <v>223</v>
      </c>
      <c r="D211" s="1" t="s">
        <v>10</v>
      </c>
      <c r="E211" s="1">
        <v>37</v>
      </c>
      <c r="F211" s="1" t="s">
        <v>16</v>
      </c>
      <c r="G211" s="1">
        <v>4</v>
      </c>
      <c r="H211" s="1">
        <v>50</v>
      </c>
      <c r="I211" s="1">
        <v>200</v>
      </c>
    </row>
    <row r="212" spans="1:9" ht="12.75" x14ac:dyDescent="0.2">
      <c r="A212" s="1">
        <v>211</v>
      </c>
      <c r="B212" s="2">
        <v>45292</v>
      </c>
      <c r="C212" s="1" t="s">
        <v>224</v>
      </c>
      <c r="D212" s="1" t="s">
        <v>10</v>
      </c>
      <c r="E212" s="1">
        <v>42</v>
      </c>
      <c r="F212" s="1" t="s">
        <v>11</v>
      </c>
      <c r="G212" s="1">
        <v>3</v>
      </c>
      <c r="H212" s="1">
        <v>500</v>
      </c>
      <c r="I212" s="1">
        <v>1500</v>
      </c>
    </row>
    <row r="213" spans="1:9" ht="12.75" x14ac:dyDescent="0.2">
      <c r="A213" s="1">
        <v>212</v>
      </c>
      <c r="B213" s="2">
        <v>45086</v>
      </c>
      <c r="C213" s="1" t="s">
        <v>225</v>
      </c>
      <c r="D213" s="1" t="s">
        <v>10</v>
      </c>
      <c r="E213" s="1">
        <v>21</v>
      </c>
      <c r="F213" s="1" t="s">
        <v>14</v>
      </c>
      <c r="G213" s="1">
        <v>3</v>
      </c>
      <c r="H213" s="1">
        <v>500</v>
      </c>
      <c r="I213" s="1">
        <v>1500</v>
      </c>
    </row>
    <row r="214" spans="1:9" ht="12.75" x14ac:dyDescent="0.2">
      <c r="A214" s="1">
        <v>213</v>
      </c>
      <c r="B214" s="2">
        <v>45131</v>
      </c>
      <c r="C214" s="1" t="s">
        <v>226</v>
      </c>
      <c r="D214" s="1" t="s">
        <v>10</v>
      </c>
      <c r="E214" s="1">
        <v>27</v>
      </c>
      <c r="F214" s="1" t="s">
        <v>11</v>
      </c>
      <c r="G214" s="1">
        <v>3</v>
      </c>
      <c r="H214" s="1">
        <v>500</v>
      </c>
      <c r="I214" s="1">
        <v>1500</v>
      </c>
    </row>
    <row r="215" spans="1:9" ht="12.75" x14ac:dyDescent="0.2">
      <c r="A215" s="1">
        <v>214</v>
      </c>
      <c r="B215" s="2">
        <v>45270</v>
      </c>
      <c r="C215" s="1" t="s">
        <v>227</v>
      </c>
      <c r="D215" s="1" t="s">
        <v>10</v>
      </c>
      <c r="E215" s="1">
        <v>20</v>
      </c>
      <c r="F215" s="1" t="s">
        <v>11</v>
      </c>
      <c r="G215" s="1">
        <v>2</v>
      </c>
      <c r="H215" s="1">
        <v>30</v>
      </c>
      <c r="I215" s="1">
        <v>60</v>
      </c>
    </row>
    <row r="216" spans="1:9" ht="12.75" x14ac:dyDescent="0.2">
      <c r="A216" s="1">
        <v>215</v>
      </c>
      <c r="B216" s="2">
        <v>45259</v>
      </c>
      <c r="C216" s="1" t="s">
        <v>228</v>
      </c>
      <c r="D216" s="1" t="s">
        <v>10</v>
      </c>
      <c r="E216" s="1">
        <v>58</v>
      </c>
      <c r="F216" s="1" t="s">
        <v>14</v>
      </c>
      <c r="G216" s="1">
        <v>3</v>
      </c>
      <c r="H216" s="1">
        <v>500</v>
      </c>
      <c r="I216" s="1">
        <v>1500</v>
      </c>
    </row>
    <row r="217" spans="1:9" ht="12.75" x14ac:dyDescent="0.2">
      <c r="A217" s="1">
        <v>216</v>
      </c>
      <c r="B217" s="2">
        <v>45118</v>
      </c>
      <c r="C217" s="1" t="s">
        <v>229</v>
      </c>
      <c r="D217" s="1" t="s">
        <v>10</v>
      </c>
      <c r="E217" s="1">
        <v>62</v>
      </c>
      <c r="F217" s="1" t="s">
        <v>16</v>
      </c>
      <c r="G217" s="1">
        <v>2</v>
      </c>
      <c r="H217" s="1">
        <v>50</v>
      </c>
      <c r="I217" s="1">
        <v>100</v>
      </c>
    </row>
    <row r="218" spans="1:9" ht="12.75" x14ac:dyDescent="0.2">
      <c r="A218" s="1">
        <v>217</v>
      </c>
      <c r="B218" s="2">
        <v>45151</v>
      </c>
      <c r="C218" s="1" t="s">
        <v>230</v>
      </c>
      <c r="D218" s="1" t="s">
        <v>13</v>
      </c>
      <c r="E218" s="1">
        <v>35</v>
      </c>
      <c r="F218" s="1" t="s">
        <v>16</v>
      </c>
      <c r="G218" s="1">
        <v>4</v>
      </c>
      <c r="H218" s="1">
        <v>50</v>
      </c>
      <c r="I218" s="1">
        <v>200</v>
      </c>
    </row>
    <row r="219" spans="1:9" ht="12.75" x14ac:dyDescent="0.2">
      <c r="A219" s="1">
        <v>218</v>
      </c>
      <c r="B219" s="2">
        <v>45191</v>
      </c>
      <c r="C219" s="1" t="s">
        <v>231</v>
      </c>
      <c r="D219" s="1" t="s">
        <v>10</v>
      </c>
      <c r="E219" s="1">
        <v>64</v>
      </c>
      <c r="F219" s="1" t="s">
        <v>11</v>
      </c>
      <c r="G219" s="1">
        <v>3</v>
      </c>
      <c r="H219" s="1">
        <v>30</v>
      </c>
      <c r="I219" s="1">
        <v>90</v>
      </c>
    </row>
    <row r="220" spans="1:9" ht="12.75" x14ac:dyDescent="0.2">
      <c r="A220" s="1">
        <v>219</v>
      </c>
      <c r="B220" s="2">
        <v>45158</v>
      </c>
      <c r="C220" s="1" t="s">
        <v>232</v>
      </c>
      <c r="D220" s="1" t="s">
        <v>13</v>
      </c>
      <c r="E220" s="1">
        <v>53</v>
      </c>
      <c r="F220" s="1" t="s">
        <v>16</v>
      </c>
      <c r="G220" s="1">
        <v>3</v>
      </c>
      <c r="H220" s="1">
        <v>30</v>
      </c>
      <c r="I220" s="1">
        <v>90</v>
      </c>
    </row>
    <row r="221" spans="1:9" ht="12.75" x14ac:dyDescent="0.2">
      <c r="A221" s="1">
        <v>220</v>
      </c>
      <c r="B221" s="2">
        <v>44988</v>
      </c>
      <c r="C221" s="1" t="s">
        <v>233</v>
      </c>
      <c r="D221" s="1" t="s">
        <v>10</v>
      </c>
      <c r="E221" s="1">
        <v>64</v>
      </c>
      <c r="F221" s="1" t="s">
        <v>11</v>
      </c>
      <c r="G221" s="1">
        <v>1</v>
      </c>
      <c r="H221" s="1">
        <v>500</v>
      </c>
      <c r="I221" s="1">
        <v>500</v>
      </c>
    </row>
    <row r="222" spans="1:9" ht="12.75" x14ac:dyDescent="0.2">
      <c r="A222" s="1">
        <v>221</v>
      </c>
      <c r="B222" s="2">
        <v>45053</v>
      </c>
      <c r="C222" s="1" t="s">
        <v>234</v>
      </c>
      <c r="D222" s="1" t="s">
        <v>10</v>
      </c>
      <c r="E222" s="1">
        <v>39</v>
      </c>
      <c r="F222" s="1" t="s">
        <v>11</v>
      </c>
      <c r="G222" s="1">
        <v>2</v>
      </c>
      <c r="H222" s="1">
        <v>300</v>
      </c>
      <c r="I222" s="1">
        <v>600</v>
      </c>
    </row>
    <row r="223" spans="1:9" ht="12.75" x14ac:dyDescent="0.2">
      <c r="A223" s="1">
        <v>222</v>
      </c>
      <c r="B223" s="2">
        <v>45042</v>
      </c>
      <c r="C223" s="1" t="s">
        <v>235</v>
      </c>
      <c r="D223" s="1" t="s">
        <v>10</v>
      </c>
      <c r="E223" s="1">
        <v>51</v>
      </c>
      <c r="F223" s="1" t="s">
        <v>14</v>
      </c>
      <c r="G223" s="1">
        <v>4</v>
      </c>
      <c r="H223" s="1">
        <v>30</v>
      </c>
      <c r="I223" s="1">
        <v>120</v>
      </c>
    </row>
    <row r="224" spans="1:9" ht="12.75" x14ac:dyDescent="0.2">
      <c r="A224" s="1">
        <v>223</v>
      </c>
      <c r="B224" s="2">
        <v>44959</v>
      </c>
      <c r="C224" s="1" t="s">
        <v>236</v>
      </c>
      <c r="D224" s="1" t="s">
        <v>13</v>
      </c>
      <c r="E224" s="1">
        <v>64</v>
      </c>
      <c r="F224" s="1" t="s">
        <v>14</v>
      </c>
      <c r="G224" s="1">
        <v>1</v>
      </c>
      <c r="H224" s="1">
        <v>25</v>
      </c>
      <c r="I224" s="1">
        <v>25</v>
      </c>
    </row>
    <row r="225" spans="1:9" ht="12.75" x14ac:dyDescent="0.2">
      <c r="A225" s="1">
        <v>224</v>
      </c>
      <c r="B225" s="2">
        <v>45100</v>
      </c>
      <c r="C225" s="1" t="s">
        <v>237</v>
      </c>
      <c r="D225" s="1" t="s">
        <v>13</v>
      </c>
      <c r="E225" s="1">
        <v>25</v>
      </c>
      <c r="F225" s="1" t="s">
        <v>14</v>
      </c>
      <c r="G225" s="1">
        <v>1</v>
      </c>
      <c r="H225" s="1">
        <v>50</v>
      </c>
      <c r="I225" s="1">
        <v>50</v>
      </c>
    </row>
    <row r="226" spans="1:9" ht="12.75" x14ac:dyDescent="0.2">
      <c r="A226" s="1">
        <v>225</v>
      </c>
      <c r="B226" s="2">
        <v>44937</v>
      </c>
      <c r="C226" s="1" t="s">
        <v>238</v>
      </c>
      <c r="D226" s="1" t="s">
        <v>13</v>
      </c>
      <c r="E226" s="1">
        <v>57</v>
      </c>
      <c r="F226" s="1" t="s">
        <v>11</v>
      </c>
      <c r="G226" s="1">
        <v>4</v>
      </c>
      <c r="H226" s="1">
        <v>25</v>
      </c>
      <c r="I226" s="1">
        <v>100</v>
      </c>
    </row>
    <row r="227" spans="1:9" ht="12.75" x14ac:dyDescent="0.2">
      <c r="A227" s="1">
        <v>226</v>
      </c>
      <c r="B227" s="2">
        <v>45228</v>
      </c>
      <c r="C227" s="1" t="s">
        <v>239</v>
      </c>
      <c r="D227" s="1" t="s">
        <v>13</v>
      </c>
      <c r="E227" s="1">
        <v>61</v>
      </c>
      <c r="F227" s="1" t="s">
        <v>14</v>
      </c>
      <c r="G227" s="1">
        <v>1</v>
      </c>
      <c r="H227" s="1">
        <v>50</v>
      </c>
      <c r="I227" s="1">
        <v>50</v>
      </c>
    </row>
    <row r="228" spans="1:9" ht="12.75" x14ac:dyDescent="0.2">
      <c r="A228" s="1">
        <v>227</v>
      </c>
      <c r="B228" s="2">
        <v>45210</v>
      </c>
      <c r="C228" s="1" t="s">
        <v>240</v>
      </c>
      <c r="D228" s="1" t="s">
        <v>10</v>
      </c>
      <c r="E228" s="1">
        <v>36</v>
      </c>
      <c r="F228" s="1" t="s">
        <v>16</v>
      </c>
      <c r="G228" s="1">
        <v>2</v>
      </c>
      <c r="H228" s="1">
        <v>50</v>
      </c>
      <c r="I228" s="1">
        <v>100</v>
      </c>
    </row>
    <row r="229" spans="1:9" ht="12.75" x14ac:dyDescent="0.2">
      <c r="A229" s="1">
        <v>228</v>
      </c>
      <c r="B229" s="2">
        <v>45044</v>
      </c>
      <c r="C229" s="1" t="s">
        <v>241</v>
      </c>
      <c r="D229" s="1" t="s">
        <v>13</v>
      </c>
      <c r="E229" s="1">
        <v>59</v>
      </c>
      <c r="F229" s="1" t="s">
        <v>16</v>
      </c>
      <c r="G229" s="1">
        <v>2</v>
      </c>
      <c r="H229" s="1">
        <v>30</v>
      </c>
      <c r="I229" s="1">
        <v>60</v>
      </c>
    </row>
    <row r="230" spans="1:9" ht="12.75" x14ac:dyDescent="0.2">
      <c r="A230" s="1">
        <v>229</v>
      </c>
      <c r="B230" s="2">
        <v>45228</v>
      </c>
      <c r="C230" s="1" t="s">
        <v>242</v>
      </c>
      <c r="D230" s="1" t="s">
        <v>10</v>
      </c>
      <c r="E230" s="1">
        <v>58</v>
      </c>
      <c r="F230" s="1" t="s">
        <v>11</v>
      </c>
      <c r="G230" s="1">
        <v>3</v>
      </c>
      <c r="H230" s="1">
        <v>30</v>
      </c>
      <c r="I230" s="1">
        <v>90</v>
      </c>
    </row>
    <row r="231" spans="1:9" ht="12.75" x14ac:dyDescent="0.2">
      <c r="A231" s="1">
        <v>230</v>
      </c>
      <c r="B231" s="2">
        <v>45039</v>
      </c>
      <c r="C231" s="1" t="s">
        <v>243</v>
      </c>
      <c r="D231" s="1" t="s">
        <v>10</v>
      </c>
      <c r="E231" s="1">
        <v>54</v>
      </c>
      <c r="F231" s="1" t="s">
        <v>11</v>
      </c>
      <c r="G231" s="1">
        <v>1</v>
      </c>
      <c r="H231" s="1">
        <v>25</v>
      </c>
      <c r="I231" s="1">
        <v>25</v>
      </c>
    </row>
    <row r="232" spans="1:9" ht="12.75" x14ac:dyDescent="0.2">
      <c r="A232" s="1">
        <v>231</v>
      </c>
      <c r="B232" s="2">
        <v>44930</v>
      </c>
      <c r="C232" s="1" t="s">
        <v>244</v>
      </c>
      <c r="D232" s="1" t="s">
        <v>13</v>
      </c>
      <c r="E232" s="1">
        <v>23</v>
      </c>
      <c r="F232" s="1" t="s">
        <v>14</v>
      </c>
      <c r="G232" s="1">
        <v>3</v>
      </c>
      <c r="H232" s="1">
        <v>50</v>
      </c>
      <c r="I232" s="1">
        <v>150</v>
      </c>
    </row>
    <row r="233" spans="1:9" ht="12.75" x14ac:dyDescent="0.2">
      <c r="A233" s="1">
        <v>232</v>
      </c>
      <c r="B233" s="2">
        <v>44963</v>
      </c>
      <c r="C233" s="1" t="s">
        <v>245</v>
      </c>
      <c r="D233" s="1" t="s">
        <v>13</v>
      </c>
      <c r="E233" s="1">
        <v>43</v>
      </c>
      <c r="F233" s="1" t="s">
        <v>11</v>
      </c>
      <c r="G233" s="1">
        <v>1</v>
      </c>
      <c r="H233" s="1">
        <v>25</v>
      </c>
      <c r="I233" s="1">
        <v>25</v>
      </c>
    </row>
    <row r="234" spans="1:9" ht="12.75" x14ac:dyDescent="0.2">
      <c r="A234" s="1">
        <v>233</v>
      </c>
      <c r="B234" s="2">
        <v>45289</v>
      </c>
      <c r="C234" s="1" t="s">
        <v>246</v>
      </c>
      <c r="D234" s="1" t="s">
        <v>13</v>
      </c>
      <c r="E234" s="1">
        <v>51</v>
      </c>
      <c r="F234" s="1" t="s">
        <v>11</v>
      </c>
      <c r="G234" s="1">
        <v>2</v>
      </c>
      <c r="H234" s="1">
        <v>300</v>
      </c>
      <c r="I234" s="1">
        <v>600</v>
      </c>
    </row>
    <row r="235" spans="1:9" ht="12.75" x14ac:dyDescent="0.2">
      <c r="A235" s="1">
        <v>234</v>
      </c>
      <c r="B235" s="2">
        <v>45250</v>
      </c>
      <c r="C235" s="1" t="s">
        <v>247</v>
      </c>
      <c r="D235" s="1" t="s">
        <v>13</v>
      </c>
      <c r="E235" s="1">
        <v>62</v>
      </c>
      <c r="F235" s="1" t="s">
        <v>16</v>
      </c>
      <c r="G235" s="1">
        <v>2</v>
      </c>
      <c r="H235" s="1">
        <v>25</v>
      </c>
      <c r="I235" s="1">
        <v>50</v>
      </c>
    </row>
    <row r="236" spans="1:9" ht="12.75" x14ac:dyDescent="0.2">
      <c r="A236" s="1">
        <v>235</v>
      </c>
      <c r="B236" s="2">
        <v>44957</v>
      </c>
      <c r="C236" s="1" t="s">
        <v>248</v>
      </c>
      <c r="D236" s="1" t="s">
        <v>13</v>
      </c>
      <c r="E236" s="1">
        <v>23</v>
      </c>
      <c r="F236" s="1" t="s">
        <v>16</v>
      </c>
      <c r="G236" s="1">
        <v>2</v>
      </c>
      <c r="H236" s="1">
        <v>500</v>
      </c>
      <c r="I236" s="1">
        <v>1000</v>
      </c>
    </row>
    <row r="237" spans="1:9" ht="12.75" x14ac:dyDescent="0.2">
      <c r="A237" s="1">
        <v>236</v>
      </c>
      <c r="B237" s="2">
        <v>45044</v>
      </c>
      <c r="C237" s="1" t="s">
        <v>249</v>
      </c>
      <c r="D237" s="1" t="s">
        <v>13</v>
      </c>
      <c r="E237" s="1">
        <v>54</v>
      </c>
      <c r="F237" s="1" t="s">
        <v>14</v>
      </c>
      <c r="G237" s="1">
        <v>1</v>
      </c>
      <c r="H237" s="1">
        <v>25</v>
      </c>
      <c r="I237" s="1">
        <v>25</v>
      </c>
    </row>
    <row r="238" spans="1:9" ht="12.75" x14ac:dyDescent="0.2">
      <c r="A238" s="1">
        <v>237</v>
      </c>
      <c r="B238" s="2">
        <v>44961</v>
      </c>
      <c r="C238" s="1" t="s">
        <v>250</v>
      </c>
      <c r="D238" s="1" t="s">
        <v>13</v>
      </c>
      <c r="E238" s="1">
        <v>50</v>
      </c>
      <c r="F238" s="1" t="s">
        <v>11</v>
      </c>
      <c r="G238" s="1">
        <v>2</v>
      </c>
      <c r="H238" s="1">
        <v>500</v>
      </c>
      <c r="I238" s="1">
        <v>1000</v>
      </c>
    </row>
    <row r="239" spans="1:9" ht="12.75" x14ac:dyDescent="0.2">
      <c r="A239" s="1">
        <v>238</v>
      </c>
      <c r="B239" s="2">
        <v>44943</v>
      </c>
      <c r="C239" s="1" t="s">
        <v>251</v>
      </c>
      <c r="D239" s="1" t="s">
        <v>13</v>
      </c>
      <c r="E239" s="1">
        <v>39</v>
      </c>
      <c r="F239" s="1" t="s">
        <v>11</v>
      </c>
      <c r="G239" s="1">
        <v>1</v>
      </c>
      <c r="H239" s="1">
        <v>500</v>
      </c>
      <c r="I239" s="1">
        <v>500</v>
      </c>
    </row>
    <row r="240" spans="1:9" ht="12.75" x14ac:dyDescent="0.2">
      <c r="A240" s="1">
        <v>239</v>
      </c>
      <c r="B240" s="2">
        <v>45096</v>
      </c>
      <c r="C240" s="1" t="s">
        <v>252</v>
      </c>
      <c r="D240" s="1" t="s">
        <v>10</v>
      </c>
      <c r="E240" s="1">
        <v>38</v>
      </c>
      <c r="F240" s="1" t="s">
        <v>16</v>
      </c>
      <c r="G240" s="1">
        <v>3</v>
      </c>
      <c r="H240" s="1">
        <v>500</v>
      </c>
      <c r="I240" s="1">
        <v>1500</v>
      </c>
    </row>
    <row r="241" spans="1:9" ht="12.75" x14ac:dyDescent="0.2">
      <c r="A241" s="1">
        <v>240</v>
      </c>
      <c r="B241" s="2">
        <v>44963</v>
      </c>
      <c r="C241" s="1" t="s">
        <v>253</v>
      </c>
      <c r="D241" s="1" t="s">
        <v>13</v>
      </c>
      <c r="E241" s="1">
        <v>23</v>
      </c>
      <c r="F241" s="1" t="s">
        <v>11</v>
      </c>
      <c r="G241" s="1">
        <v>1</v>
      </c>
      <c r="H241" s="1">
        <v>300</v>
      </c>
      <c r="I241" s="1">
        <v>300</v>
      </c>
    </row>
    <row r="242" spans="1:9" ht="12.75" x14ac:dyDescent="0.2">
      <c r="A242" s="1">
        <v>241</v>
      </c>
      <c r="B242" s="2">
        <v>45190</v>
      </c>
      <c r="C242" s="1" t="s">
        <v>254</v>
      </c>
      <c r="D242" s="1" t="s">
        <v>13</v>
      </c>
      <c r="E242" s="1">
        <v>23</v>
      </c>
      <c r="F242" s="1" t="s">
        <v>16</v>
      </c>
      <c r="G242" s="1">
        <v>3</v>
      </c>
      <c r="H242" s="1">
        <v>25</v>
      </c>
      <c r="I242" s="1">
        <v>75</v>
      </c>
    </row>
    <row r="243" spans="1:9" ht="12.75" x14ac:dyDescent="0.2">
      <c r="A243" s="1">
        <v>242</v>
      </c>
      <c r="B243" s="2">
        <v>45048</v>
      </c>
      <c r="C243" s="1" t="s">
        <v>255</v>
      </c>
      <c r="D243" s="1" t="s">
        <v>10</v>
      </c>
      <c r="E243" s="1">
        <v>21</v>
      </c>
      <c r="F243" s="1" t="s">
        <v>14</v>
      </c>
      <c r="G243" s="1">
        <v>1</v>
      </c>
      <c r="H243" s="1">
        <v>25</v>
      </c>
      <c r="I243" s="1">
        <v>25</v>
      </c>
    </row>
    <row r="244" spans="1:9" ht="12.75" x14ac:dyDescent="0.2">
      <c r="A244" s="1">
        <v>243</v>
      </c>
      <c r="B244" s="2">
        <v>45069</v>
      </c>
      <c r="C244" s="1" t="s">
        <v>256</v>
      </c>
      <c r="D244" s="1" t="s">
        <v>13</v>
      </c>
      <c r="E244" s="1">
        <v>47</v>
      </c>
      <c r="F244" s="1" t="s">
        <v>16</v>
      </c>
      <c r="G244" s="1">
        <v>3</v>
      </c>
      <c r="H244" s="1">
        <v>300</v>
      </c>
      <c r="I244" s="1">
        <v>900</v>
      </c>
    </row>
    <row r="245" spans="1:9" ht="12.75" x14ac:dyDescent="0.2">
      <c r="A245" s="1">
        <v>244</v>
      </c>
      <c r="B245" s="2">
        <v>45269</v>
      </c>
      <c r="C245" s="1" t="s">
        <v>257</v>
      </c>
      <c r="D245" s="1" t="s">
        <v>10</v>
      </c>
      <c r="E245" s="1">
        <v>28</v>
      </c>
      <c r="F245" s="1" t="s">
        <v>11</v>
      </c>
      <c r="G245" s="1">
        <v>2</v>
      </c>
      <c r="H245" s="1">
        <v>50</v>
      </c>
      <c r="I245" s="1">
        <v>100</v>
      </c>
    </row>
    <row r="246" spans="1:9" ht="12.75" x14ac:dyDescent="0.2">
      <c r="A246" s="1">
        <v>245</v>
      </c>
      <c r="B246" s="2">
        <v>45175</v>
      </c>
      <c r="C246" s="1" t="s">
        <v>258</v>
      </c>
      <c r="D246" s="1" t="s">
        <v>10</v>
      </c>
      <c r="E246" s="1">
        <v>47</v>
      </c>
      <c r="F246" s="1" t="s">
        <v>14</v>
      </c>
      <c r="G246" s="1">
        <v>3</v>
      </c>
      <c r="H246" s="1">
        <v>30</v>
      </c>
      <c r="I246" s="1">
        <v>90</v>
      </c>
    </row>
    <row r="247" spans="1:9" ht="12.75" x14ac:dyDescent="0.2">
      <c r="A247" s="1">
        <v>246</v>
      </c>
      <c r="B247" s="2">
        <v>45036</v>
      </c>
      <c r="C247" s="1" t="s">
        <v>259</v>
      </c>
      <c r="D247" s="1" t="s">
        <v>13</v>
      </c>
      <c r="E247" s="1">
        <v>48</v>
      </c>
      <c r="F247" s="1" t="s">
        <v>16</v>
      </c>
      <c r="G247" s="1">
        <v>2</v>
      </c>
      <c r="H247" s="1">
        <v>25</v>
      </c>
      <c r="I247" s="1">
        <v>50</v>
      </c>
    </row>
    <row r="248" spans="1:9" ht="12.75" x14ac:dyDescent="0.2">
      <c r="A248" s="1">
        <v>247</v>
      </c>
      <c r="B248" s="2">
        <v>45203</v>
      </c>
      <c r="C248" s="1" t="s">
        <v>260</v>
      </c>
      <c r="D248" s="1" t="s">
        <v>10</v>
      </c>
      <c r="E248" s="1">
        <v>41</v>
      </c>
      <c r="F248" s="1" t="s">
        <v>16</v>
      </c>
      <c r="G248" s="1">
        <v>2</v>
      </c>
      <c r="H248" s="1">
        <v>30</v>
      </c>
      <c r="I248" s="1">
        <v>60</v>
      </c>
    </row>
    <row r="249" spans="1:9" ht="12.75" x14ac:dyDescent="0.2">
      <c r="A249" s="1">
        <v>248</v>
      </c>
      <c r="B249" s="2">
        <v>44994</v>
      </c>
      <c r="C249" s="1" t="s">
        <v>261</v>
      </c>
      <c r="D249" s="1" t="s">
        <v>10</v>
      </c>
      <c r="E249" s="1">
        <v>26</v>
      </c>
      <c r="F249" s="1" t="s">
        <v>14</v>
      </c>
      <c r="G249" s="1">
        <v>3</v>
      </c>
      <c r="H249" s="1">
        <v>300</v>
      </c>
      <c r="I249" s="1">
        <v>900</v>
      </c>
    </row>
    <row r="250" spans="1:9" ht="12.75" x14ac:dyDescent="0.2">
      <c r="A250" s="1">
        <v>249</v>
      </c>
      <c r="B250" s="2">
        <v>45219</v>
      </c>
      <c r="C250" s="1" t="s">
        <v>262</v>
      </c>
      <c r="D250" s="1" t="s">
        <v>10</v>
      </c>
      <c r="E250" s="1">
        <v>20</v>
      </c>
      <c r="F250" s="1" t="s">
        <v>14</v>
      </c>
      <c r="G250" s="1">
        <v>1</v>
      </c>
      <c r="H250" s="1">
        <v>50</v>
      </c>
      <c r="I250" s="1">
        <v>50</v>
      </c>
    </row>
    <row r="251" spans="1:9" ht="12.75" x14ac:dyDescent="0.2">
      <c r="A251" s="1">
        <v>250</v>
      </c>
      <c r="B251" s="2">
        <v>45222</v>
      </c>
      <c r="C251" s="1" t="s">
        <v>263</v>
      </c>
      <c r="D251" s="1" t="s">
        <v>10</v>
      </c>
      <c r="E251" s="1">
        <v>48</v>
      </c>
      <c r="F251" s="1" t="s">
        <v>16</v>
      </c>
      <c r="G251" s="1">
        <v>1</v>
      </c>
      <c r="H251" s="1">
        <v>50</v>
      </c>
      <c r="I251" s="1">
        <v>50</v>
      </c>
    </row>
    <row r="252" spans="1:9" ht="12.75" x14ac:dyDescent="0.2">
      <c r="A252" s="1">
        <v>251</v>
      </c>
      <c r="B252" s="2">
        <v>45169</v>
      </c>
      <c r="C252" s="1" t="s">
        <v>264</v>
      </c>
      <c r="D252" s="1" t="s">
        <v>13</v>
      </c>
      <c r="E252" s="1">
        <v>57</v>
      </c>
      <c r="F252" s="1" t="s">
        <v>11</v>
      </c>
      <c r="G252" s="1">
        <v>4</v>
      </c>
      <c r="H252" s="1">
        <v>50</v>
      </c>
      <c r="I252" s="1">
        <v>200</v>
      </c>
    </row>
    <row r="253" spans="1:9" ht="12.75" x14ac:dyDescent="0.2">
      <c r="A253" s="1">
        <v>252</v>
      </c>
      <c r="B253" s="2">
        <v>45051</v>
      </c>
      <c r="C253" s="1" t="s">
        <v>265</v>
      </c>
      <c r="D253" s="1" t="s">
        <v>10</v>
      </c>
      <c r="E253" s="1">
        <v>54</v>
      </c>
      <c r="F253" s="1" t="s">
        <v>16</v>
      </c>
      <c r="G253" s="1">
        <v>1</v>
      </c>
      <c r="H253" s="1">
        <v>300</v>
      </c>
      <c r="I253" s="1">
        <v>300</v>
      </c>
    </row>
    <row r="254" spans="1:9" ht="12.75" x14ac:dyDescent="0.2">
      <c r="A254" s="1">
        <v>253</v>
      </c>
      <c r="B254" s="2">
        <v>45169</v>
      </c>
      <c r="C254" s="1" t="s">
        <v>266</v>
      </c>
      <c r="D254" s="1" t="s">
        <v>13</v>
      </c>
      <c r="E254" s="1">
        <v>53</v>
      </c>
      <c r="F254" s="1" t="s">
        <v>14</v>
      </c>
      <c r="G254" s="1">
        <v>4</v>
      </c>
      <c r="H254" s="1">
        <v>500</v>
      </c>
      <c r="I254" s="1">
        <v>2000</v>
      </c>
    </row>
    <row r="255" spans="1:9" ht="12.75" x14ac:dyDescent="0.2">
      <c r="A255" s="1">
        <v>254</v>
      </c>
      <c r="B255" s="2">
        <v>45135</v>
      </c>
      <c r="C255" s="1" t="s">
        <v>267</v>
      </c>
      <c r="D255" s="1" t="s">
        <v>10</v>
      </c>
      <c r="E255" s="1">
        <v>41</v>
      </c>
      <c r="F255" s="1" t="s">
        <v>16</v>
      </c>
      <c r="G255" s="1">
        <v>1</v>
      </c>
      <c r="H255" s="1">
        <v>500</v>
      </c>
      <c r="I255" s="1">
        <v>500</v>
      </c>
    </row>
    <row r="256" spans="1:9" ht="12.75" x14ac:dyDescent="0.2">
      <c r="A256" s="1">
        <v>255</v>
      </c>
      <c r="B256" s="2">
        <v>45024</v>
      </c>
      <c r="C256" s="1" t="s">
        <v>268</v>
      </c>
      <c r="D256" s="1" t="s">
        <v>10</v>
      </c>
      <c r="E256" s="1">
        <v>48</v>
      </c>
      <c r="F256" s="1" t="s">
        <v>14</v>
      </c>
      <c r="G256" s="1">
        <v>1</v>
      </c>
      <c r="H256" s="1">
        <v>30</v>
      </c>
      <c r="I256" s="1">
        <v>30</v>
      </c>
    </row>
    <row r="257" spans="1:9" ht="12.75" x14ac:dyDescent="0.2">
      <c r="A257" s="1">
        <v>256</v>
      </c>
      <c r="B257" s="2">
        <v>44975</v>
      </c>
      <c r="C257" s="1" t="s">
        <v>269</v>
      </c>
      <c r="D257" s="1" t="s">
        <v>10</v>
      </c>
      <c r="E257" s="1">
        <v>23</v>
      </c>
      <c r="F257" s="1" t="s">
        <v>14</v>
      </c>
      <c r="G257" s="1">
        <v>2</v>
      </c>
      <c r="H257" s="1">
        <v>500</v>
      </c>
      <c r="I257" s="1">
        <v>1000</v>
      </c>
    </row>
    <row r="258" spans="1:9" ht="12.75" x14ac:dyDescent="0.2">
      <c r="A258" s="1">
        <v>257</v>
      </c>
      <c r="B258" s="2">
        <v>44976</v>
      </c>
      <c r="C258" s="1" t="s">
        <v>270</v>
      </c>
      <c r="D258" s="1" t="s">
        <v>10</v>
      </c>
      <c r="E258" s="1">
        <v>19</v>
      </c>
      <c r="F258" s="1" t="s">
        <v>11</v>
      </c>
      <c r="G258" s="1">
        <v>4</v>
      </c>
      <c r="H258" s="1">
        <v>500</v>
      </c>
      <c r="I258" s="1">
        <v>2000</v>
      </c>
    </row>
    <row r="259" spans="1:9" ht="12.75" x14ac:dyDescent="0.2">
      <c r="A259" s="1">
        <v>258</v>
      </c>
      <c r="B259" s="2">
        <v>45264</v>
      </c>
      <c r="C259" s="1" t="s">
        <v>271</v>
      </c>
      <c r="D259" s="1" t="s">
        <v>13</v>
      </c>
      <c r="E259" s="1">
        <v>37</v>
      </c>
      <c r="F259" s="1" t="s">
        <v>14</v>
      </c>
      <c r="G259" s="1">
        <v>1</v>
      </c>
      <c r="H259" s="1">
        <v>50</v>
      </c>
      <c r="I259" s="1">
        <v>50</v>
      </c>
    </row>
    <row r="260" spans="1:9" ht="12.75" x14ac:dyDescent="0.2">
      <c r="A260" s="1">
        <v>259</v>
      </c>
      <c r="B260" s="2">
        <v>45147</v>
      </c>
      <c r="C260" s="1" t="s">
        <v>272</v>
      </c>
      <c r="D260" s="1" t="s">
        <v>13</v>
      </c>
      <c r="E260" s="1">
        <v>45</v>
      </c>
      <c r="F260" s="1" t="s">
        <v>14</v>
      </c>
      <c r="G260" s="1">
        <v>4</v>
      </c>
      <c r="H260" s="1">
        <v>50</v>
      </c>
      <c r="I260" s="1">
        <v>200</v>
      </c>
    </row>
    <row r="261" spans="1:9" ht="12.75" x14ac:dyDescent="0.2">
      <c r="A261" s="1">
        <v>260</v>
      </c>
      <c r="B261" s="2">
        <v>45108</v>
      </c>
      <c r="C261" s="1" t="s">
        <v>273</v>
      </c>
      <c r="D261" s="1" t="s">
        <v>10</v>
      </c>
      <c r="E261" s="1">
        <v>28</v>
      </c>
      <c r="F261" s="1" t="s">
        <v>11</v>
      </c>
      <c r="G261" s="1">
        <v>2</v>
      </c>
      <c r="H261" s="1">
        <v>30</v>
      </c>
      <c r="I261" s="1">
        <v>60</v>
      </c>
    </row>
    <row r="262" spans="1:9" ht="12.75" x14ac:dyDescent="0.2">
      <c r="A262" s="1">
        <v>261</v>
      </c>
      <c r="B262" s="2">
        <v>45143</v>
      </c>
      <c r="C262" s="1" t="s">
        <v>274</v>
      </c>
      <c r="D262" s="1" t="s">
        <v>10</v>
      </c>
      <c r="E262" s="1">
        <v>21</v>
      </c>
      <c r="F262" s="1" t="s">
        <v>14</v>
      </c>
      <c r="G262" s="1">
        <v>2</v>
      </c>
      <c r="H262" s="1">
        <v>25</v>
      </c>
      <c r="I262" s="1">
        <v>50</v>
      </c>
    </row>
    <row r="263" spans="1:9" ht="12.75" x14ac:dyDescent="0.2">
      <c r="A263" s="1">
        <v>262</v>
      </c>
      <c r="B263" s="2">
        <v>45137</v>
      </c>
      <c r="C263" s="1" t="s">
        <v>275</v>
      </c>
      <c r="D263" s="1" t="s">
        <v>13</v>
      </c>
      <c r="E263" s="1">
        <v>32</v>
      </c>
      <c r="F263" s="1" t="s">
        <v>11</v>
      </c>
      <c r="G263" s="1">
        <v>4</v>
      </c>
      <c r="H263" s="1">
        <v>30</v>
      </c>
      <c r="I263" s="1">
        <v>120</v>
      </c>
    </row>
    <row r="264" spans="1:9" ht="12.75" x14ac:dyDescent="0.2">
      <c r="A264" s="1">
        <v>263</v>
      </c>
      <c r="B264" s="2">
        <v>45166</v>
      </c>
      <c r="C264" s="1" t="s">
        <v>276</v>
      </c>
      <c r="D264" s="1" t="s">
        <v>10</v>
      </c>
      <c r="E264" s="1">
        <v>23</v>
      </c>
      <c r="F264" s="1" t="s">
        <v>11</v>
      </c>
      <c r="G264" s="1">
        <v>2</v>
      </c>
      <c r="H264" s="1">
        <v>30</v>
      </c>
      <c r="I264" s="1">
        <v>60</v>
      </c>
    </row>
    <row r="265" spans="1:9" ht="12.75" x14ac:dyDescent="0.2">
      <c r="A265" s="1">
        <v>264</v>
      </c>
      <c r="B265" s="2">
        <v>44954</v>
      </c>
      <c r="C265" s="1" t="s">
        <v>277</v>
      </c>
      <c r="D265" s="1" t="s">
        <v>10</v>
      </c>
      <c r="E265" s="1">
        <v>47</v>
      </c>
      <c r="F265" s="1" t="s">
        <v>14</v>
      </c>
      <c r="G265" s="1">
        <v>3</v>
      </c>
      <c r="H265" s="1">
        <v>300</v>
      </c>
      <c r="I265" s="1">
        <v>900</v>
      </c>
    </row>
    <row r="266" spans="1:9" ht="12.75" x14ac:dyDescent="0.2">
      <c r="A266" s="1">
        <v>265</v>
      </c>
      <c r="B266" s="2">
        <v>45271</v>
      </c>
      <c r="C266" s="1" t="s">
        <v>278</v>
      </c>
      <c r="D266" s="1" t="s">
        <v>10</v>
      </c>
      <c r="E266" s="1">
        <v>55</v>
      </c>
      <c r="F266" s="1" t="s">
        <v>14</v>
      </c>
      <c r="G266" s="1">
        <v>3</v>
      </c>
      <c r="H266" s="1">
        <v>300</v>
      </c>
      <c r="I266" s="1">
        <v>900</v>
      </c>
    </row>
    <row r="267" spans="1:9" ht="12.75" x14ac:dyDescent="0.2">
      <c r="A267" s="1">
        <v>266</v>
      </c>
      <c r="B267" s="2">
        <v>45261</v>
      </c>
      <c r="C267" s="1" t="s">
        <v>279</v>
      </c>
      <c r="D267" s="1" t="s">
        <v>13</v>
      </c>
      <c r="E267" s="1">
        <v>19</v>
      </c>
      <c r="F267" s="1" t="s">
        <v>16</v>
      </c>
      <c r="G267" s="1">
        <v>2</v>
      </c>
      <c r="H267" s="1">
        <v>30</v>
      </c>
      <c r="I267" s="1">
        <v>60</v>
      </c>
    </row>
    <row r="268" spans="1:9" ht="12.75" x14ac:dyDescent="0.2">
      <c r="A268" s="1">
        <v>267</v>
      </c>
      <c r="B268" s="2">
        <v>45257</v>
      </c>
      <c r="C268" s="1" t="s">
        <v>280</v>
      </c>
      <c r="D268" s="1" t="s">
        <v>13</v>
      </c>
      <c r="E268" s="1">
        <v>32</v>
      </c>
      <c r="F268" s="1" t="s">
        <v>11</v>
      </c>
      <c r="G268" s="1">
        <v>3</v>
      </c>
      <c r="H268" s="1">
        <v>30</v>
      </c>
      <c r="I268" s="1">
        <v>90</v>
      </c>
    </row>
    <row r="269" spans="1:9" ht="12.75" x14ac:dyDescent="0.2">
      <c r="A269" s="1">
        <v>268</v>
      </c>
      <c r="B269" s="2">
        <v>44977</v>
      </c>
      <c r="C269" s="1" t="s">
        <v>281</v>
      </c>
      <c r="D269" s="1" t="s">
        <v>13</v>
      </c>
      <c r="E269" s="1">
        <v>28</v>
      </c>
      <c r="F269" s="1" t="s">
        <v>16</v>
      </c>
      <c r="G269" s="1">
        <v>1</v>
      </c>
      <c r="H269" s="1">
        <v>30</v>
      </c>
      <c r="I269" s="1">
        <v>30</v>
      </c>
    </row>
    <row r="270" spans="1:9" ht="12.75" x14ac:dyDescent="0.2">
      <c r="A270" s="1">
        <v>269</v>
      </c>
      <c r="B270" s="2">
        <v>44958</v>
      </c>
      <c r="C270" s="1" t="s">
        <v>282</v>
      </c>
      <c r="D270" s="1" t="s">
        <v>10</v>
      </c>
      <c r="E270" s="1">
        <v>25</v>
      </c>
      <c r="F270" s="1" t="s">
        <v>14</v>
      </c>
      <c r="G270" s="1">
        <v>4</v>
      </c>
      <c r="H270" s="1">
        <v>500</v>
      </c>
      <c r="I270" s="1">
        <v>2000</v>
      </c>
    </row>
    <row r="271" spans="1:9" ht="12.75" x14ac:dyDescent="0.2">
      <c r="A271" s="1">
        <v>270</v>
      </c>
      <c r="B271" s="2">
        <v>45133</v>
      </c>
      <c r="C271" s="1" t="s">
        <v>283</v>
      </c>
      <c r="D271" s="1" t="s">
        <v>10</v>
      </c>
      <c r="E271" s="1">
        <v>43</v>
      </c>
      <c r="F271" s="1" t="s">
        <v>16</v>
      </c>
      <c r="G271" s="1">
        <v>1</v>
      </c>
      <c r="H271" s="1">
        <v>300</v>
      </c>
      <c r="I271" s="1">
        <v>300</v>
      </c>
    </row>
    <row r="272" spans="1:9" ht="12.75" x14ac:dyDescent="0.2">
      <c r="A272" s="1">
        <v>271</v>
      </c>
      <c r="B272" s="2">
        <v>45100</v>
      </c>
      <c r="C272" s="1" t="s">
        <v>284</v>
      </c>
      <c r="D272" s="1" t="s">
        <v>13</v>
      </c>
      <c r="E272" s="1">
        <v>62</v>
      </c>
      <c r="F272" s="1" t="s">
        <v>11</v>
      </c>
      <c r="G272" s="1">
        <v>4</v>
      </c>
      <c r="H272" s="1">
        <v>30</v>
      </c>
      <c r="I272" s="1">
        <v>120</v>
      </c>
    </row>
    <row r="273" spans="1:9" ht="12.75" x14ac:dyDescent="0.2">
      <c r="A273" s="1">
        <v>272</v>
      </c>
      <c r="B273" s="2">
        <v>44982</v>
      </c>
      <c r="C273" s="1" t="s">
        <v>285</v>
      </c>
      <c r="D273" s="1" t="s">
        <v>13</v>
      </c>
      <c r="E273" s="1">
        <v>61</v>
      </c>
      <c r="F273" s="1" t="s">
        <v>16</v>
      </c>
      <c r="G273" s="1">
        <v>2</v>
      </c>
      <c r="H273" s="1">
        <v>50</v>
      </c>
      <c r="I273" s="1">
        <v>100</v>
      </c>
    </row>
    <row r="274" spans="1:9" ht="12.75" x14ac:dyDescent="0.2">
      <c r="A274" s="1">
        <v>273</v>
      </c>
      <c r="B274" s="2">
        <v>45054</v>
      </c>
      <c r="C274" s="1" t="s">
        <v>286</v>
      </c>
      <c r="D274" s="1" t="s">
        <v>13</v>
      </c>
      <c r="E274" s="1">
        <v>22</v>
      </c>
      <c r="F274" s="1" t="s">
        <v>11</v>
      </c>
      <c r="G274" s="1">
        <v>1</v>
      </c>
      <c r="H274" s="1">
        <v>50</v>
      </c>
      <c r="I274" s="1">
        <v>50</v>
      </c>
    </row>
    <row r="275" spans="1:9" ht="12.75" x14ac:dyDescent="0.2">
      <c r="A275" s="1">
        <v>274</v>
      </c>
      <c r="B275" s="2">
        <v>45025</v>
      </c>
      <c r="C275" s="1" t="s">
        <v>287</v>
      </c>
      <c r="D275" s="1" t="s">
        <v>13</v>
      </c>
      <c r="E275" s="1">
        <v>23</v>
      </c>
      <c r="F275" s="1" t="s">
        <v>14</v>
      </c>
      <c r="G275" s="1">
        <v>2</v>
      </c>
      <c r="H275" s="1">
        <v>500</v>
      </c>
      <c r="I275" s="1">
        <v>1000</v>
      </c>
    </row>
    <row r="276" spans="1:9" ht="12.75" x14ac:dyDescent="0.2">
      <c r="A276" s="1">
        <v>275</v>
      </c>
      <c r="B276" s="2">
        <v>45024</v>
      </c>
      <c r="C276" s="1" t="s">
        <v>288</v>
      </c>
      <c r="D276" s="1" t="s">
        <v>10</v>
      </c>
      <c r="E276" s="1">
        <v>43</v>
      </c>
      <c r="F276" s="1" t="s">
        <v>14</v>
      </c>
      <c r="G276" s="1">
        <v>2</v>
      </c>
      <c r="H276" s="1">
        <v>500</v>
      </c>
      <c r="I276" s="1">
        <v>1000</v>
      </c>
    </row>
    <row r="277" spans="1:9" ht="12.75" x14ac:dyDescent="0.2">
      <c r="A277" s="1">
        <v>276</v>
      </c>
      <c r="B277" s="2">
        <v>45201</v>
      </c>
      <c r="C277" s="1" t="s">
        <v>289</v>
      </c>
      <c r="D277" s="1" t="s">
        <v>13</v>
      </c>
      <c r="E277" s="1">
        <v>21</v>
      </c>
      <c r="F277" s="1" t="s">
        <v>11</v>
      </c>
      <c r="G277" s="1">
        <v>4</v>
      </c>
      <c r="H277" s="1">
        <v>25</v>
      </c>
      <c r="I277" s="1">
        <v>100</v>
      </c>
    </row>
    <row r="278" spans="1:9" ht="12.75" x14ac:dyDescent="0.2">
      <c r="A278" s="1">
        <v>277</v>
      </c>
      <c r="B278" s="2">
        <v>45156</v>
      </c>
      <c r="C278" s="1" t="s">
        <v>290</v>
      </c>
      <c r="D278" s="1" t="s">
        <v>10</v>
      </c>
      <c r="E278" s="1">
        <v>36</v>
      </c>
      <c r="F278" s="1" t="s">
        <v>14</v>
      </c>
      <c r="G278" s="1">
        <v>4</v>
      </c>
      <c r="H278" s="1">
        <v>25</v>
      </c>
      <c r="I278" s="1">
        <v>100</v>
      </c>
    </row>
    <row r="279" spans="1:9" ht="12.75" x14ac:dyDescent="0.2">
      <c r="A279" s="1">
        <v>278</v>
      </c>
      <c r="B279" s="2">
        <v>44998</v>
      </c>
      <c r="C279" s="1" t="s">
        <v>291</v>
      </c>
      <c r="D279" s="1" t="s">
        <v>13</v>
      </c>
      <c r="E279" s="1">
        <v>37</v>
      </c>
      <c r="F279" s="1" t="s">
        <v>14</v>
      </c>
      <c r="G279" s="1">
        <v>4</v>
      </c>
      <c r="H279" s="1">
        <v>25</v>
      </c>
      <c r="I279" s="1">
        <v>100</v>
      </c>
    </row>
    <row r="280" spans="1:9" ht="12.75" x14ac:dyDescent="0.2">
      <c r="A280" s="1">
        <v>279</v>
      </c>
      <c r="B280" s="2">
        <v>45143</v>
      </c>
      <c r="C280" s="1" t="s">
        <v>292</v>
      </c>
      <c r="D280" s="1" t="s">
        <v>10</v>
      </c>
      <c r="E280" s="1">
        <v>50</v>
      </c>
      <c r="F280" s="1" t="s">
        <v>14</v>
      </c>
      <c r="G280" s="1">
        <v>1</v>
      </c>
      <c r="H280" s="1">
        <v>500</v>
      </c>
      <c r="I280" s="1">
        <v>500</v>
      </c>
    </row>
    <row r="281" spans="1:9" ht="12.75" x14ac:dyDescent="0.2">
      <c r="A281" s="1">
        <v>280</v>
      </c>
      <c r="B281" s="2">
        <v>45020</v>
      </c>
      <c r="C281" s="1" t="s">
        <v>293</v>
      </c>
      <c r="D281" s="1" t="s">
        <v>13</v>
      </c>
      <c r="E281" s="1">
        <v>37</v>
      </c>
      <c r="F281" s="1" t="s">
        <v>14</v>
      </c>
      <c r="G281" s="1">
        <v>3</v>
      </c>
      <c r="H281" s="1">
        <v>500</v>
      </c>
      <c r="I281" s="1">
        <v>1500</v>
      </c>
    </row>
    <row r="282" spans="1:9" ht="12.75" x14ac:dyDescent="0.2">
      <c r="A282" s="1">
        <v>281</v>
      </c>
      <c r="B282" s="2">
        <v>45069</v>
      </c>
      <c r="C282" s="1" t="s">
        <v>294</v>
      </c>
      <c r="D282" s="1" t="s">
        <v>13</v>
      </c>
      <c r="E282" s="1">
        <v>29</v>
      </c>
      <c r="F282" s="1" t="s">
        <v>11</v>
      </c>
      <c r="G282" s="1">
        <v>4</v>
      </c>
      <c r="H282" s="1">
        <v>500</v>
      </c>
      <c r="I282" s="1">
        <v>2000</v>
      </c>
    </row>
    <row r="283" spans="1:9" ht="12.75" x14ac:dyDescent="0.2">
      <c r="A283" s="1">
        <v>282</v>
      </c>
      <c r="B283" s="2">
        <v>45163</v>
      </c>
      <c r="C283" s="1" t="s">
        <v>295</v>
      </c>
      <c r="D283" s="1" t="s">
        <v>13</v>
      </c>
      <c r="E283" s="1">
        <v>64</v>
      </c>
      <c r="F283" s="1" t="s">
        <v>16</v>
      </c>
      <c r="G283" s="1">
        <v>4</v>
      </c>
      <c r="H283" s="1">
        <v>50</v>
      </c>
      <c r="I283" s="1">
        <v>200</v>
      </c>
    </row>
    <row r="284" spans="1:9" ht="12.75" x14ac:dyDescent="0.2">
      <c r="A284" s="1">
        <v>283</v>
      </c>
      <c r="B284" s="2">
        <v>45054</v>
      </c>
      <c r="C284" s="1" t="s">
        <v>296</v>
      </c>
      <c r="D284" s="1" t="s">
        <v>13</v>
      </c>
      <c r="E284" s="1">
        <v>18</v>
      </c>
      <c r="F284" s="1" t="s">
        <v>16</v>
      </c>
      <c r="G284" s="1">
        <v>1</v>
      </c>
      <c r="H284" s="1">
        <v>500</v>
      </c>
      <c r="I284" s="1">
        <v>500</v>
      </c>
    </row>
    <row r="285" spans="1:9" ht="12.75" x14ac:dyDescent="0.2">
      <c r="A285" s="1">
        <v>284</v>
      </c>
      <c r="B285" s="2">
        <v>44965</v>
      </c>
      <c r="C285" s="1" t="s">
        <v>297</v>
      </c>
      <c r="D285" s="1" t="s">
        <v>10</v>
      </c>
      <c r="E285" s="1">
        <v>43</v>
      </c>
      <c r="F285" s="1" t="s">
        <v>14</v>
      </c>
      <c r="G285" s="1">
        <v>4</v>
      </c>
      <c r="H285" s="1">
        <v>50</v>
      </c>
      <c r="I285" s="1">
        <v>200</v>
      </c>
    </row>
    <row r="286" spans="1:9" ht="12.75" x14ac:dyDescent="0.2">
      <c r="A286" s="1">
        <v>285</v>
      </c>
      <c r="B286" s="2">
        <v>45153</v>
      </c>
      <c r="C286" s="1" t="s">
        <v>298</v>
      </c>
      <c r="D286" s="1" t="s">
        <v>13</v>
      </c>
      <c r="E286" s="1">
        <v>31</v>
      </c>
      <c r="F286" s="1" t="s">
        <v>16</v>
      </c>
      <c r="G286" s="1">
        <v>1</v>
      </c>
      <c r="H286" s="1">
        <v>25</v>
      </c>
      <c r="I286" s="1">
        <v>25</v>
      </c>
    </row>
    <row r="287" spans="1:9" ht="12.75" x14ac:dyDescent="0.2">
      <c r="A287" s="1">
        <v>286</v>
      </c>
      <c r="B287" s="2">
        <v>45208</v>
      </c>
      <c r="C287" s="1" t="s">
        <v>299</v>
      </c>
      <c r="D287" s="1" t="s">
        <v>10</v>
      </c>
      <c r="E287" s="1">
        <v>55</v>
      </c>
      <c r="F287" s="1" t="s">
        <v>16</v>
      </c>
      <c r="G287" s="1">
        <v>2</v>
      </c>
      <c r="H287" s="1">
        <v>25</v>
      </c>
      <c r="I287" s="1">
        <v>50</v>
      </c>
    </row>
    <row r="288" spans="1:9" ht="12.75" x14ac:dyDescent="0.2">
      <c r="A288" s="1">
        <v>287</v>
      </c>
      <c r="B288" s="2">
        <v>44977</v>
      </c>
      <c r="C288" s="1" t="s">
        <v>300</v>
      </c>
      <c r="D288" s="1" t="s">
        <v>10</v>
      </c>
      <c r="E288" s="1">
        <v>54</v>
      </c>
      <c r="F288" s="1" t="s">
        <v>14</v>
      </c>
      <c r="G288" s="1">
        <v>4</v>
      </c>
      <c r="H288" s="1">
        <v>25</v>
      </c>
      <c r="I288" s="1">
        <v>100</v>
      </c>
    </row>
    <row r="289" spans="1:9" ht="12.75" x14ac:dyDescent="0.2">
      <c r="A289" s="1">
        <v>288</v>
      </c>
      <c r="B289" s="2">
        <v>44952</v>
      </c>
      <c r="C289" s="1" t="s">
        <v>301</v>
      </c>
      <c r="D289" s="1" t="s">
        <v>10</v>
      </c>
      <c r="E289" s="1">
        <v>28</v>
      </c>
      <c r="F289" s="1" t="s">
        <v>14</v>
      </c>
      <c r="G289" s="1">
        <v>4</v>
      </c>
      <c r="H289" s="1">
        <v>30</v>
      </c>
      <c r="I289" s="1">
        <v>120</v>
      </c>
    </row>
    <row r="290" spans="1:9" ht="12.75" x14ac:dyDescent="0.2">
      <c r="A290" s="1">
        <v>289</v>
      </c>
      <c r="B290" s="2">
        <v>45260</v>
      </c>
      <c r="C290" s="1" t="s">
        <v>302</v>
      </c>
      <c r="D290" s="1" t="s">
        <v>10</v>
      </c>
      <c r="E290" s="1">
        <v>53</v>
      </c>
      <c r="F290" s="1" t="s">
        <v>16</v>
      </c>
      <c r="G290" s="1">
        <v>2</v>
      </c>
      <c r="H290" s="1">
        <v>30</v>
      </c>
      <c r="I290" s="1">
        <v>60</v>
      </c>
    </row>
    <row r="291" spans="1:9" ht="12.75" x14ac:dyDescent="0.2">
      <c r="A291" s="1">
        <v>290</v>
      </c>
      <c r="B291" s="2">
        <v>45203</v>
      </c>
      <c r="C291" s="1" t="s">
        <v>303</v>
      </c>
      <c r="D291" s="1" t="s">
        <v>13</v>
      </c>
      <c r="E291" s="1">
        <v>30</v>
      </c>
      <c r="F291" s="1" t="s">
        <v>11</v>
      </c>
      <c r="G291" s="1">
        <v>2</v>
      </c>
      <c r="H291" s="1">
        <v>300</v>
      </c>
      <c r="I291" s="1">
        <v>600</v>
      </c>
    </row>
    <row r="292" spans="1:9" ht="12.75" x14ac:dyDescent="0.2">
      <c r="A292" s="1">
        <v>291</v>
      </c>
      <c r="B292" s="2">
        <v>44934</v>
      </c>
      <c r="C292" s="1" t="s">
        <v>304</v>
      </c>
      <c r="D292" s="1" t="s">
        <v>10</v>
      </c>
      <c r="E292" s="1">
        <v>60</v>
      </c>
      <c r="F292" s="1" t="s">
        <v>14</v>
      </c>
      <c r="G292" s="1">
        <v>2</v>
      </c>
      <c r="H292" s="1">
        <v>300</v>
      </c>
      <c r="I292" s="1">
        <v>600</v>
      </c>
    </row>
    <row r="293" spans="1:9" ht="12.75" x14ac:dyDescent="0.2">
      <c r="A293" s="1">
        <v>292</v>
      </c>
      <c r="B293" s="2">
        <v>44974</v>
      </c>
      <c r="C293" s="1" t="s">
        <v>305</v>
      </c>
      <c r="D293" s="1" t="s">
        <v>10</v>
      </c>
      <c r="E293" s="1">
        <v>20</v>
      </c>
      <c r="F293" s="1" t="s">
        <v>11</v>
      </c>
      <c r="G293" s="1">
        <v>4</v>
      </c>
      <c r="H293" s="1">
        <v>300</v>
      </c>
      <c r="I293" s="1">
        <v>1200</v>
      </c>
    </row>
    <row r="294" spans="1:9" ht="12.75" x14ac:dyDescent="0.2">
      <c r="A294" s="1">
        <v>293</v>
      </c>
      <c r="B294" s="2">
        <v>45048</v>
      </c>
      <c r="C294" s="1" t="s">
        <v>306</v>
      </c>
      <c r="D294" s="1" t="s">
        <v>10</v>
      </c>
      <c r="E294" s="1">
        <v>50</v>
      </c>
      <c r="F294" s="1" t="s">
        <v>16</v>
      </c>
      <c r="G294" s="1">
        <v>3</v>
      </c>
      <c r="H294" s="1">
        <v>30</v>
      </c>
      <c r="I294" s="1">
        <v>90</v>
      </c>
    </row>
    <row r="295" spans="1:9" ht="12.75" x14ac:dyDescent="0.2">
      <c r="A295" s="1">
        <v>294</v>
      </c>
      <c r="B295" s="2">
        <v>45012</v>
      </c>
      <c r="C295" s="1" t="s">
        <v>307</v>
      </c>
      <c r="D295" s="1" t="s">
        <v>13</v>
      </c>
      <c r="E295" s="1">
        <v>23</v>
      </c>
      <c r="F295" s="1" t="s">
        <v>14</v>
      </c>
      <c r="G295" s="1">
        <v>3</v>
      </c>
      <c r="H295" s="1">
        <v>30</v>
      </c>
      <c r="I295" s="1">
        <v>90</v>
      </c>
    </row>
    <row r="296" spans="1:9" ht="12.75" x14ac:dyDescent="0.2">
      <c r="A296" s="1">
        <v>295</v>
      </c>
      <c r="B296" s="2">
        <v>45135</v>
      </c>
      <c r="C296" s="1" t="s">
        <v>308</v>
      </c>
      <c r="D296" s="1" t="s">
        <v>13</v>
      </c>
      <c r="E296" s="1">
        <v>27</v>
      </c>
      <c r="F296" s="1" t="s">
        <v>11</v>
      </c>
      <c r="G296" s="1">
        <v>3</v>
      </c>
      <c r="H296" s="1">
        <v>300</v>
      </c>
      <c r="I296" s="1">
        <v>900</v>
      </c>
    </row>
    <row r="297" spans="1:9" ht="12.75" x14ac:dyDescent="0.2">
      <c r="A297" s="1">
        <v>296</v>
      </c>
      <c r="B297" s="2">
        <v>45175</v>
      </c>
      <c r="C297" s="1" t="s">
        <v>309</v>
      </c>
      <c r="D297" s="1" t="s">
        <v>13</v>
      </c>
      <c r="E297" s="1">
        <v>22</v>
      </c>
      <c r="F297" s="1" t="s">
        <v>14</v>
      </c>
      <c r="G297" s="1">
        <v>4</v>
      </c>
      <c r="H297" s="1">
        <v>300</v>
      </c>
      <c r="I297" s="1">
        <v>1200</v>
      </c>
    </row>
    <row r="298" spans="1:9" ht="12.75" x14ac:dyDescent="0.2">
      <c r="A298" s="1">
        <v>297</v>
      </c>
      <c r="B298" s="2">
        <v>45173</v>
      </c>
      <c r="C298" s="1" t="s">
        <v>310</v>
      </c>
      <c r="D298" s="1" t="s">
        <v>13</v>
      </c>
      <c r="E298" s="1">
        <v>40</v>
      </c>
      <c r="F298" s="1" t="s">
        <v>16</v>
      </c>
      <c r="G298" s="1">
        <v>2</v>
      </c>
      <c r="H298" s="1">
        <v>500</v>
      </c>
      <c r="I298" s="1">
        <v>1000</v>
      </c>
    </row>
    <row r="299" spans="1:9" ht="12.75" x14ac:dyDescent="0.2">
      <c r="A299" s="1">
        <v>298</v>
      </c>
      <c r="B299" s="2">
        <v>45036</v>
      </c>
      <c r="C299" s="1" t="s">
        <v>311</v>
      </c>
      <c r="D299" s="1" t="s">
        <v>10</v>
      </c>
      <c r="E299" s="1">
        <v>27</v>
      </c>
      <c r="F299" s="1" t="s">
        <v>11</v>
      </c>
      <c r="G299" s="1">
        <v>4</v>
      </c>
      <c r="H299" s="1">
        <v>300</v>
      </c>
      <c r="I299" s="1">
        <v>1200</v>
      </c>
    </row>
    <row r="300" spans="1:9" ht="12.75" x14ac:dyDescent="0.2">
      <c r="A300" s="1">
        <v>299</v>
      </c>
      <c r="B300" s="2">
        <v>45132</v>
      </c>
      <c r="C300" s="1" t="s">
        <v>312</v>
      </c>
      <c r="D300" s="1" t="s">
        <v>10</v>
      </c>
      <c r="E300" s="1">
        <v>61</v>
      </c>
      <c r="F300" s="1" t="s">
        <v>16</v>
      </c>
      <c r="G300" s="1">
        <v>2</v>
      </c>
      <c r="H300" s="1">
        <v>500</v>
      </c>
      <c r="I300" s="1">
        <v>1000</v>
      </c>
    </row>
    <row r="301" spans="1:9" ht="12.75" x14ac:dyDescent="0.2">
      <c r="A301" s="1">
        <v>300</v>
      </c>
      <c r="B301" s="2">
        <v>44957</v>
      </c>
      <c r="C301" s="1" t="s">
        <v>313</v>
      </c>
      <c r="D301" s="1" t="s">
        <v>13</v>
      </c>
      <c r="E301" s="1">
        <v>19</v>
      </c>
      <c r="F301" s="1" t="s">
        <v>16</v>
      </c>
      <c r="G301" s="1">
        <v>4</v>
      </c>
      <c r="H301" s="1">
        <v>50</v>
      </c>
      <c r="I301" s="1">
        <v>200</v>
      </c>
    </row>
    <row r="302" spans="1:9" ht="12.75" x14ac:dyDescent="0.2">
      <c r="A302" s="1">
        <v>301</v>
      </c>
      <c r="B302" s="2">
        <v>45011</v>
      </c>
      <c r="C302" s="1" t="s">
        <v>314</v>
      </c>
      <c r="D302" s="1" t="s">
        <v>10</v>
      </c>
      <c r="E302" s="1">
        <v>30</v>
      </c>
      <c r="F302" s="1" t="s">
        <v>14</v>
      </c>
      <c r="G302" s="1">
        <v>4</v>
      </c>
      <c r="H302" s="1">
        <v>30</v>
      </c>
      <c r="I302" s="1">
        <v>120</v>
      </c>
    </row>
    <row r="303" spans="1:9" ht="12.75" x14ac:dyDescent="0.2">
      <c r="A303" s="1">
        <v>302</v>
      </c>
      <c r="B303" s="2">
        <v>45121</v>
      </c>
      <c r="C303" s="1" t="s">
        <v>315</v>
      </c>
      <c r="D303" s="1" t="s">
        <v>10</v>
      </c>
      <c r="E303" s="1">
        <v>57</v>
      </c>
      <c r="F303" s="1" t="s">
        <v>11</v>
      </c>
      <c r="G303" s="1">
        <v>2</v>
      </c>
      <c r="H303" s="1">
        <v>300</v>
      </c>
      <c r="I303" s="1">
        <v>600</v>
      </c>
    </row>
    <row r="304" spans="1:9" ht="12.75" x14ac:dyDescent="0.2">
      <c r="A304" s="1">
        <v>303</v>
      </c>
      <c r="B304" s="2">
        <v>44928</v>
      </c>
      <c r="C304" s="1" t="s">
        <v>316</v>
      </c>
      <c r="D304" s="1" t="s">
        <v>10</v>
      </c>
      <c r="E304" s="1">
        <v>19</v>
      </c>
      <c r="F304" s="1" t="s">
        <v>16</v>
      </c>
      <c r="G304" s="1">
        <v>3</v>
      </c>
      <c r="H304" s="1">
        <v>30</v>
      </c>
      <c r="I304" s="1">
        <v>90</v>
      </c>
    </row>
    <row r="305" spans="1:9" ht="12.75" x14ac:dyDescent="0.2">
      <c r="A305" s="1">
        <v>304</v>
      </c>
      <c r="B305" s="2">
        <v>45126</v>
      </c>
      <c r="C305" s="1" t="s">
        <v>317</v>
      </c>
      <c r="D305" s="1" t="s">
        <v>13</v>
      </c>
      <c r="E305" s="1">
        <v>37</v>
      </c>
      <c r="F305" s="1" t="s">
        <v>16</v>
      </c>
      <c r="G305" s="1">
        <v>2</v>
      </c>
      <c r="H305" s="1">
        <v>30</v>
      </c>
      <c r="I305" s="1">
        <v>60</v>
      </c>
    </row>
    <row r="306" spans="1:9" ht="12.75" x14ac:dyDescent="0.2">
      <c r="A306" s="1">
        <v>305</v>
      </c>
      <c r="B306" s="2">
        <v>45062</v>
      </c>
      <c r="C306" s="1" t="s">
        <v>318</v>
      </c>
      <c r="D306" s="1" t="s">
        <v>13</v>
      </c>
      <c r="E306" s="1">
        <v>18</v>
      </c>
      <c r="F306" s="1" t="s">
        <v>11</v>
      </c>
      <c r="G306" s="1">
        <v>1</v>
      </c>
      <c r="H306" s="1">
        <v>30</v>
      </c>
      <c r="I306" s="1">
        <v>30</v>
      </c>
    </row>
    <row r="307" spans="1:9" ht="12.75" x14ac:dyDescent="0.2">
      <c r="A307" s="1">
        <v>306</v>
      </c>
      <c r="B307" s="2">
        <v>45159</v>
      </c>
      <c r="C307" s="1" t="s">
        <v>319</v>
      </c>
      <c r="D307" s="1" t="s">
        <v>10</v>
      </c>
      <c r="E307" s="1">
        <v>54</v>
      </c>
      <c r="F307" s="1" t="s">
        <v>16</v>
      </c>
      <c r="G307" s="1">
        <v>1</v>
      </c>
      <c r="H307" s="1">
        <v>50</v>
      </c>
      <c r="I307" s="1">
        <v>50</v>
      </c>
    </row>
    <row r="308" spans="1:9" ht="12.75" x14ac:dyDescent="0.2">
      <c r="A308" s="1">
        <v>307</v>
      </c>
      <c r="B308" s="2">
        <v>45073</v>
      </c>
      <c r="C308" s="1" t="s">
        <v>320</v>
      </c>
      <c r="D308" s="1" t="s">
        <v>13</v>
      </c>
      <c r="E308" s="1">
        <v>26</v>
      </c>
      <c r="F308" s="1" t="s">
        <v>16</v>
      </c>
      <c r="G308" s="1">
        <v>2</v>
      </c>
      <c r="H308" s="1">
        <v>25</v>
      </c>
      <c r="I308" s="1">
        <v>50</v>
      </c>
    </row>
    <row r="309" spans="1:9" ht="12.75" x14ac:dyDescent="0.2">
      <c r="A309" s="1">
        <v>308</v>
      </c>
      <c r="B309" s="2">
        <v>45143</v>
      </c>
      <c r="C309" s="1" t="s">
        <v>321</v>
      </c>
      <c r="D309" s="1" t="s">
        <v>13</v>
      </c>
      <c r="E309" s="1">
        <v>34</v>
      </c>
      <c r="F309" s="1" t="s">
        <v>11</v>
      </c>
      <c r="G309" s="1">
        <v>4</v>
      </c>
      <c r="H309" s="1">
        <v>300</v>
      </c>
      <c r="I309" s="1">
        <v>1200</v>
      </c>
    </row>
    <row r="310" spans="1:9" ht="12.75" x14ac:dyDescent="0.2">
      <c r="A310" s="1">
        <v>309</v>
      </c>
      <c r="B310" s="2">
        <v>45283</v>
      </c>
      <c r="C310" s="1" t="s">
        <v>322</v>
      </c>
      <c r="D310" s="1" t="s">
        <v>13</v>
      </c>
      <c r="E310" s="1">
        <v>26</v>
      </c>
      <c r="F310" s="1" t="s">
        <v>11</v>
      </c>
      <c r="G310" s="1">
        <v>1</v>
      </c>
      <c r="H310" s="1">
        <v>25</v>
      </c>
      <c r="I310" s="1">
        <v>25</v>
      </c>
    </row>
    <row r="311" spans="1:9" ht="12.75" x14ac:dyDescent="0.2">
      <c r="A311" s="1">
        <v>310</v>
      </c>
      <c r="B311" s="2">
        <v>45211</v>
      </c>
      <c r="C311" s="1" t="s">
        <v>323</v>
      </c>
      <c r="D311" s="1" t="s">
        <v>13</v>
      </c>
      <c r="E311" s="1">
        <v>28</v>
      </c>
      <c r="F311" s="1" t="s">
        <v>11</v>
      </c>
      <c r="G311" s="1">
        <v>1</v>
      </c>
      <c r="H311" s="1">
        <v>25</v>
      </c>
      <c r="I311" s="1">
        <v>25</v>
      </c>
    </row>
    <row r="312" spans="1:9" ht="12.75" x14ac:dyDescent="0.2">
      <c r="A312" s="1">
        <v>311</v>
      </c>
      <c r="B312" s="2">
        <v>45265</v>
      </c>
      <c r="C312" s="1" t="s">
        <v>324</v>
      </c>
      <c r="D312" s="1" t="s">
        <v>13</v>
      </c>
      <c r="E312" s="1">
        <v>32</v>
      </c>
      <c r="F312" s="1" t="s">
        <v>11</v>
      </c>
      <c r="G312" s="1">
        <v>4</v>
      </c>
      <c r="H312" s="1">
        <v>25</v>
      </c>
      <c r="I312" s="1">
        <v>100</v>
      </c>
    </row>
    <row r="313" spans="1:9" ht="12.75" x14ac:dyDescent="0.2">
      <c r="A313" s="1">
        <v>312</v>
      </c>
      <c r="B313" s="2">
        <v>45176</v>
      </c>
      <c r="C313" s="1" t="s">
        <v>325</v>
      </c>
      <c r="D313" s="1" t="s">
        <v>10</v>
      </c>
      <c r="E313" s="1">
        <v>41</v>
      </c>
      <c r="F313" s="1" t="s">
        <v>14</v>
      </c>
      <c r="G313" s="1">
        <v>4</v>
      </c>
      <c r="H313" s="1">
        <v>30</v>
      </c>
      <c r="I313" s="1">
        <v>120</v>
      </c>
    </row>
    <row r="314" spans="1:9" ht="12.75" x14ac:dyDescent="0.2">
      <c r="A314" s="1">
        <v>313</v>
      </c>
      <c r="B314" s="2">
        <v>45006</v>
      </c>
      <c r="C314" s="1" t="s">
        <v>326</v>
      </c>
      <c r="D314" s="1" t="s">
        <v>13</v>
      </c>
      <c r="E314" s="1">
        <v>55</v>
      </c>
      <c r="F314" s="1" t="s">
        <v>11</v>
      </c>
      <c r="G314" s="1">
        <v>3</v>
      </c>
      <c r="H314" s="1">
        <v>500</v>
      </c>
      <c r="I314" s="1">
        <v>1500</v>
      </c>
    </row>
    <row r="315" spans="1:9" ht="12.75" x14ac:dyDescent="0.2">
      <c r="A315" s="1">
        <v>314</v>
      </c>
      <c r="B315" s="2">
        <v>45024</v>
      </c>
      <c r="C315" s="1" t="s">
        <v>327</v>
      </c>
      <c r="D315" s="1" t="s">
        <v>10</v>
      </c>
      <c r="E315" s="1">
        <v>52</v>
      </c>
      <c r="F315" s="1" t="s">
        <v>14</v>
      </c>
      <c r="G315" s="1">
        <v>4</v>
      </c>
      <c r="H315" s="1">
        <v>30</v>
      </c>
      <c r="I315" s="1">
        <v>120</v>
      </c>
    </row>
    <row r="316" spans="1:9" ht="12.75" x14ac:dyDescent="0.2">
      <c r="A316" s="1">
        <v>315</v>
      </c>
      <c r="B316" s="2">
        <v>45078</v>
      </c>
      <c r="C316" s="1" t="s">
        <v>328</v>
      </c>
      <c r="D316" s="1" t="s">
        <v>10</v>
      </c>
      <c r="E316" s="1">
        <v>47</v>
      </c>
      <c r="F316" s="1" t="s">
        <v>14</v>
      </c>
      <c r="G316" s="1">
        <v>2</v>
      </c>
      <c r="H316" s="1">
        <v>30</v>
      </c>
      <c r="I316" s="1">
        <v>60</v>
      </c>
    </row>
    <row r="317" spans="1:9" ht="12.75" x14ac:dyDescent="0.2">
      <c r="A317" s="1">
        <v>316</v>
      </c>
      <c r="B317" s="2">
        <v>45038</v>
      </c>
      <c r="C317" s="1" t="s">
        <v>329</v>
      </c>
      <c r="D317" s="1" t="s">
        <v>13</v>
      </c>
      <c r="E317" s="1">
        <v>48</v>
      </c>
      <c r="F317" s="1" t="s">
        <v>14</v>
      </c>
      <c r="G317" s="1">
        <v>2</v>
      </c>
      <c r="H317" s="1">
        <v>25</v>
      </c>
      <c r="I317" s="1">
        <v>50</v>
      </c>
    </row>
    <row r="318" spans="1:9" ht="12.75" x14ac:dyDescent="0.2">
      <c r="A318" s="1">
        <v>317</v>
      </c>
      <c r="B318" s="2">
        <v>44956</v>
      </c>
      <c r="C318" s="1" t="s">
        <v>330</v>
      </c>
      <c r="D318" s="1" t="s">
        <v>10</v>
      </c>
      <c r="E318" s="1">
        <v>22</v>
      </c>
      <c r="F318" s="1" t="s">
        <v>16</v>
      </c>
      <c r="G318" s="1">
        <v>3</v>
      </c>
      <c r="H318" s="1">
        <v>30</v>
      </c>
      <c r="I318" s="1">
        <v>90</v>
      </c>
    </row>
    <row r="319" spans="1:9" ht="12.75" x14ac:dyDescent="0.2">
      <c r="A319" s="1">
        <v>318</v>
      </c>
      <c r="B319" s="2">
        <v>45223</v>
      </c>
      <c r="C319" s="1" t="s">
        <v>331</v>
      </c>
      <c r="D319" s="1" t="s">
        <v>10</v>
      </c>
      <c r="E319" s="1">
        <v>61</v>
      </c>
      <c r="F319" s="1" t="s">
        <v>14</v>
      </c>
      <c r="G319" s="1">
        <v>1</v>
      </c>
      <c r="H319" s="1">
        <v>25</v>
      </c>
      <c r="I319" s="1">
        <v>25</v>
      </c>
    </row>
    <row r="320" spans="1:9" ht="12.75" x14ac:dyDescent="0.2">
      <c r="A320" s="1">
        <v>319</v>
      </c>
      <c r="B320" s="2">
        <v>45204</v>
      </c>
      <c r="C320" s="1" t="s">
        <v>332</v>
      </c>
      <c r="D320" s="1" t="s">
        <v>10</v>
      </c>
      <c r="E320" s="1">
        <v>31</v>
      </c>
      <c r="F320" s="1" t="s">
        <v>14</v>
      </c>
      <c r="G320" s="1">
        <v>1</v>
      </c>
      <c r="H320" s="1">
        <v>500</v>
      </c>
      <c r="I320" s="1">
        <v>500</v>
      </c>
    </row>
    <row r="321" spans="1:9" ht="12.75" x14ac:dyDescent="0.2">
      <c r="A321" s="1">
        <v>320</v>
      </c>
      <c r="B321" s="2">
        <v>44958</v>
      </c>
      <c r="C321" s="1" t="s">
        <v>333</v>
      </c>
      <c r="D321" s="1" t="s">
        <v>13</v>
      </c>
      <c r="E321" s="1">
        <v>28</v>
      </c>
      <c r="F321" s="1" t="s">
        <v>16</v>
      </c>
      <c r="G321" s="1">
        <v>4</v>
      </c>
      <c r="H321" s="1">
        <v>300</v>
      </c>
      <c r="I321" s="1">
        <v>1200</v>
      </c>
    </row>
    <row r="322" spans="1:9" ht="12.75" x14ac:dyDescent="0.2">
      <c r="A322" s="1">
        <v>321</v>
      </c>
      <c r="B322" s="2">
        <v>45087</v>
      </c>
      <c r="C322" s="1" t="s">
        <v>334</v>
      </c>
      <c r="D322" s="1" t="s">
        <v>13</v>
      </c>
      <c r="E322" s="1">
        <v>26</v>
      </c>
      <c r="F322" s="1" t="s">
        <v>16</v>
      </c>
      <c r="G322" s="1">
        <v>2</v>
      </c>
      <c r="H322" s="1">
        <v>25</v>
      </c>
      <c r="I322" s="1">
        <v>50</v>
      </c>
    </row>
    <row r="323" spans="1:9" ht="12.75" x14ac:dyDescent="0.2">
      <c r="A323" s="1">
        <v>322</v>
      </c>
      <c r="B323" s="2">
        <v>44956</v>
      </c>
      <c r="C323" s="1" t="s">
        <v>335</v>
      </c>
      <c r="D323" s="1" t="s">
        <v>10</v>
      </c>
      <c r="E323" s="1">
        <v>51</v>
      </c>
      <c r="F323" s="1" t="s">
        <v>16</v>
      </c>
      <c r="G323" s="1">
        <v>1</v>
      </c>
      <c r="H323" s="1">
        <v>500</v>
      </c>
      <c r="I323" s="1">
        <v>500</v>
      </c>
    </row>
    <row r="324" spans="1:9" ht="12.75" x14ac:dyDescent="0.2">
      <c r="A324" s="1">
        <v>323</v>
      </c>
      <c r="B324" s="2">
        <v>44952</v>
      </c>
      <c r="C324" s="1" t="s">
        <v>336</v>
      </c>
      <c r="D324" s="1" t="s">
        <v>13</v>
      </c>
      <c r="E324" s="1">
        <v>29</v>
      </c>
      <c r="F324" s="1" t="s">
        <v>11</v>
      </c>
      <c r="G324" s="1">
        <v>3</v>
      </c>
      <c r="H324" s="1">
        <v>300</v>
      </c>
      <c r="I324" s="1">
        <v>900</v>
      </c>
    </row>
    <row r="325" spans="1:9" ht="12.75" x14ac:dyDescent="0.2">
      <c r="A325" s="1">
        <v>324</v>
      </c>
      <c r="B325" s="2">
        <v>45226</v>
      </c>
      <c r="C325" s="1" t="s">
        <v>337</v>
      </c>
      <c r="D325" s="1" t="s">
        <v>13</v>
      </c>
      <c r="E325" s="1">
        <v>52</v>
      </c>
      <c r="F325" s="1" t="s">
        <v>16</v>
      </c>
      <c r="G325" s="1">
        <v>3</v>
      </c>
      <c r="H325" s="1">
        <v>50</v>
      </c>
      <c r="I325" s="1">
        <v>150</v>
      </c>
    </row>
    <row r="326" spans="1:9" ht="12.75" x14ac:dyDescent="0.2">
      <c r="A326" s="1">
        <v>325</v>
      </c>
      <c r="B326" s="2">
        <v>45171</v>
      </c>
      <c r="C326" s="1" t="s">
        <v>338</v>
      </c>
      <c r="D326" s="1" t="s">
        <v>13</v>
      </c>
      <c r="E326" s="1">
        <v>52</v>
      </c>
      <c r="F326" s="1" t="s">
        <v>16</v>
      </c>
      <c r="G326" s="1">
        <v>2</v>
      </c>
      <c r="H326" s="1">
        <v>25</v>
      </c>
      <c r="I326" s="1">
        <v>50</v>
      </c>
    </row>
    <row r="327" spans="1:9" ht="12.75" x14ac:dyDescent="0.2">
      <c r="A327" s="1">
        <v>326</v>
      </c>
      <c r="B327" s="2">
        <v>45184</v>
      </c>
      <c r="C327" s="1" t="s">
        <v>339</v>
      </c>
      <c r="D327" s="1" t="s">
        <v>13</v>
      </c>
      <c r="E327" s="1">
        <v>18</v>
      </c>
      <c r="F327" s="1" t="s">
        <v>14</v>
      </c>
      <c r="G327" s="1">
        <v>3</v>
      </c>
      <c r="H327" s="1">
        <v>25</v>
      </c>
      <c r="I327" s="1">
        <v>75</v>
      </c>
    </row>
    <row r="328" spans="1:9" ht="12.75" x14ac:dyDescent="0.2">
      <c r="A328" s="1">
        <v>327</v>
      </c>
      <c r="B328" s="2">
        <v>45198</v>
      </c>
      <c r="C328" s="1" t="s">
        <v>340</v>
      </c>
      <c r="D328" s="1" t="s">
        <v>10</v>
      </c>
      <c r="E328" s="1">
        <v>57</v>
      </c>
      <c r="F328" s="1" t="s">
        <v>16</v>
      </c>
      <c r="G328" s="1">
        <v>3</v>
      </c>
      <c r="H328" s="1">
        <v>50</v>
      </c>
      <c r="I328" s="1">
        <v>150</v>
      </c>
    </row>
    <row r="329" spans="1:9" ht="12.75" x14ac:dyDescent="0.2">
      <c r="A329" s="1">
        <v>328</v>
      </c>
      <c r="B329" s="2">
        <v>45007</v>
      </c>
      <c r="C329" s="1" t="s">
        <v>341</v>
      </c>
      <c r="D329" s="1" t="s">
        <v>10</v>
      </c>
      <c r="E329" s="1">
        <v>39</v>
      </c>
      <c r="F329" s="1" t="s">
        <v>11</v>
      </c>
      <c r="G329" s="1">
        <v>2</v>
      </c>
      <c r="H329" s="1">
        <v>50</v>
      </c>
      <c r="I329" s="1">
        <v>100</v>
      </c>
    </row>
    <row r="330" spans="1:9" ht="12.75" x14ac:dyDescent="0.2">
      <c r="A330" s="1">
        <v>329</v>
      </c>
      <c r="B330" s="2">
        <v>44956</v>
      </c>
      <c r="C330" s="1" t="s">
        <v>342</v>
      </c>
      <c r="D330" s="1" t="s">
        <v>13</v>
      </c>
      <c r="E330" s="1">
        <v>46</v>
      </c>
      <c r="F330" s="1" t="s">
        <v>16</v>
      </c>
      <c r="G330" s="1">
        <v>4</v>
      </c>
      <c r="H330" s="1">
        <v>25</v>
      </c>
      <c r="I330" s="1">
        <v>100</v>
      </c>
    </row>
    <row r="331" spans="1:9" ht="12.75" x14ac:dyDescent="0.2">
      <c r="A331" s="1">
        <v>330</v>
      </c>
      <c r="B331" s="2">
        <v>45187</v>
      </c>
      <c r="C331" s="1" t="s">
        <v>343</v>
      </c>
      <c r="D331" s="1" t="s">
        <v>13</v>
      </c>
      <c r="E331" s="1">
        <v>25</v>
      </c>
      <c r="F331" s="1" t="s">
        <v>11</v>
      </c>
      <c r="G331" s="1">
        <v>4</v>
      </c>
      <c r="H331" s="1">
        <v>50</v>
      </c>
      <c r="I331" s="1">
        <v>200</v>
      </c>
    </row>
    <row r="332" spans="1:9" ht="12.75" x14ac:dyDescent="0.2">
      <c r="A332" s="1">
        <v>331</v>
      </c>
      <c r="B332" s="2">
        <v>44968</v>
      </c>
      <c r="C332" s="1" t="s">
        <v>344</v>
      </c>
      <c r="D332" s="1" t="s">
        <v>10</v>
      </c>
      <c r="E332" s="1">
        <v>28</v>
      </c>
      <c r="F332" s="1" t="s">
        <v>16</v>
      </c>
      <c r="G332" s="1">
        <v>3</v>
      </c>
      <c r="H332" s="1">
        <v>30</v>
      </c>
      <c r="I332" s="1">
        <v>90</v>
      </c>
    </row>
    <row r="333" spans="1:9" ht="12.75" x14ac:dyDescent="0.2">
      <c r="A333" s="1">
        <v>332</v>
      </c>
      <c r="B333" s="2">
        <v>45022</v>
      </c>
      <c r="C333" s="1" t="s">
        <v>345</v>
      </c>
      <c r="D333" s="1" t="s">
        <v>10</v>
      </c>
      <c r="E333" s="1">
        <v>58</v>
      </c>
      <c r="F333" s="1" t="s">
        <v>16</v>
      </c>
      <c r="G333" s="1">
        <v>4</v>
      </c>
      <c r="H333" s="1">
        <v>300</v>
      </c>
      <c r="I333" s="1">
        <v>1200</v>
      </c>
    </row>
    <row r="334" spans="1:9" ht="12.75" x14ac:dyDescent="0.2">
      <c r="A334" s="1">
        <v>333</v>
      </c>
      <c r="B334" s="2">
        <v>44962</v>
      </c>
      <c r="C334" s="1" t="s">
        <v>346</v>
      </c>
      <c r="D334" s="1" t="s">
        <v>13</v>
      </c>
      <c r="E334" s="1">
        <v>54</v>
      </c>
      <c r="F334" s="1" t="s">
        <v>16</v>
      </c>
      <c r="G334" s="1">
        <v>4</v>
      </c>
      <c r="H334" s="1">
        <v>300</v>
      </c>
      <c r="I334" s="1">
        <v>1200</v>
      </c>
    </row>
    <row r="335" spans="1:9" ht="12.75" x14ac:dyDescent="0.2">
      <c r="A335" s="1">
        <v>334</v>
      </c>
      <c r="B335" s="2">
        <v>45231</v>
      </c>
      <c r="C335" s="1" t="s">
        <v>347</v>
      </c>
      <c r="D335" s="1" t="s">
        <v>10</v>
      </c>
      <c r="E335" s="1">
        <v>31</v>
      </c>
      <c r="F335" s="1" t="s">
        <v>16</v>
      </c>
      <c r="G335" s="1">
        <v>3</v>
      </c>
      <c r="H335" s="1">
        <v>300</v>
      </c>
      <c r="I335" s="1">
        <v>900</v>
      </c>
    </row>
    <row r="336" spans="1:9" ht="12.75" x14ac:dyDescent="0.2">
      <c r="A336" s="1">
        <v>335</v>
      </c>
      <c r="B336" s="2">
        <v>44961</v>
      </c>
      <c r="C336" s="1" t="s">
        <v>348</v>
      </c>
      <c r="D336" s="1" t="s">
        <v>13</v>
      </c>
      <c r="E336" s="1">
        <v>47</v>
      </c>
      <c r="F336" s="1" t="s">
        <v>11</v>
      </c>
      <c r="G336" s="1">
        <v>4</v>
      </c>
      <c r="H336" s="1">
        <v>30</v>
      </c>
      <c r="I336" s="1">
        <v>120</v>
      </c>
    </row>
    <row r="337" spans="1:9" ht="12.75" x14ac:dyDescent="0.2">
      <c r="A337" s="1">
        <v>336</v>
      </c>
      <c r="B337" s="2">
        <v>45272</v>
      </c>
      <c r="C337" s="1" t="s">
        <v>349</v>
      </c>
      <c r="D337" s="1" t="s">
        <v>13</v>
      </c>
      <c r="E337" s="1">
        <v>52</v>
      </c>
      <c r="F337" s="1" t="s">
        <v>11</v>
      </c>
      <c r="G337" s="1">
        <v>3</v>
      </c>
      <c r="H337" s="1">
        <v>50</v>
      </c>
      <c r="I337" s="1">
        <v>150</v>
      </c>
    </row>
    <row r="338" spans="1:9" ht="12.75" x14ac:dyDescent="0.2">
      <c r="A338" s="1">
        <v>337</v>
      </c>
      <c r="B338" s="2">
        <v>45047</v>
      </c>
      <c r="C338" s="1" t="s">
        <v>350</v>
      </c>
      <c r="D338" s="1" t="s">
        <v>10</v>
      </c>
      <c r="E338" s="1">
        <v>38</v>
      </c>
      <c r="F338" s="1" t="s">
        <v>14</v>
      </c>
      <c r="G338" s="1">
        <v>1</v>
      </c>
      <c r="H338" s="1">
        <v>500</v>
      </c>
      <c r="I338" s="1">
        <v>500</v>
      </c>
    </row>
    <row r="339" spans="1:9" ht="12.75" x14ac:dyDescent="0.2">
      <c r="A339" s="1">
        <v>338</v>
      </c>
      <c r="B339" s="2">
        <v>45133</v>
      </c>
      <c r="C339" s="1" t="s">
        <v>351</v>
      </c>
      <c r="D339" s="1" t="s">
        <v>10</v>
      </c>
      <c r="E339" s="1">
        <v>54</v>
      </c>
      <c r="F339" s="1" t="s">
        <v>11</v>
      </c>
      <c r="G339" s="1">
        <v>2</v>
      </c>
      <c r="H339" s="1">
        <v>50</v>
      </c>
      <c r="I339" s="1">
        <v>100</v>
      </c>
    </row>
    <row r="340" spans="1:9" ht="12.75" x14ac:dyDescent="0.2">
      <c r="A340" s="1">
        <v>339</v>
      </c>
      <c r="B340" s="2">
        <v>44988</v>
      </c>
      <c r="C340" s="1" t="s">
        <v>352</v>
      </c>
      <c r="D340" s="1" t="s">
        <v>13</v>
      </c>
      <c r="E340" s="1">
        <v>22</v>
      </c>
      <c r="F340" s="1" t="s">
        <v>16</v>
      </c>
      <c r="G340" s="1">
        <v>2</v>
      </c>
      <c r="H340" s="1">
        <v>25</v>
      </c>
      <c r="I340" s="1">
        <v>50</v>
      </c>
    </row>
    <row r="341" spans="1:9" ht="12.75" x14ac:dyDescent="0.2">
      <c r="A341" s="1">
        <v>340</v>
      </c>
      <c r="B341" s="2">
        <v>45218</v>
      </c>
      <c r="C341" s="1" t="s">
        <v>353</v>
      </c>
      <c r="D341" s="1" t="s">
        <v>13</v>
      </c>
      <c r="E341" s="1">
        <v>36</v>
      </c>
      <c r="F341" s="1" t="s">
        <v>14</v>
      </c>
      <c r="G341" s="1">
        <v>4</v>
      </c>
      <c r="H341" s="1">
        <v>300</v>
      </c>
      <c r="I341" s="1">
        <v>1200</v>
      </c>
    </row>
    <row r="342" spans="1:9" ht="12.75" x14ac:dyDescent="0.2">
      <c r="A342" s="1">
        <v>341</v>
      </c>
      <c r="B342" s="2">
        <v>45053</v>
      </c>
      <c r="C342" s="1" t="s">
        <v>354</v>
      </c>
      <c r="D342" s="1" t="s">
        <v>10</v>
      </c>
      <c r="E342" s="1">
        <v>31</v>
      </c>
      <c r="F342" s="1" t="s">
        <v>14</v>
      </c>
      <c r="G342" s="1">
        <v>4</v>
      </c>
      <c r="H342" s="1">
        <v>50</v>
      </c>
      <c r="I342" s="1">
        <v>200</v>
      </c>
    </row>
    <row r="343" spans="1:9" ht="12.75" x14ac:dyDescent="0.2">
      <c r="A343" s="1">
        <v>342</v>
      </c>
      <c r="B343" s="2">
        <v>45223</v>
      </c>
      <c r="C343" s="1" t="s">
        <v>355</v>
      </c>
      <c r="D343" s="1" t="s">
        <v>13</v>
      </c>
      <c r="E343" s="1">
        <v>43</v>
      </c>
      <c r="F343" s="1" t="s">
        <v>14</v>
      </c>
      <c r="G343" s="1">
        <v>4</v>
      </c>
      <c r="H343" s="1">
        <v>500</v>
      </c>
      <c r="I343" s="1">
        <v>2000</v>
      </c>
    </row>
    <row r="344" spans="1:9" ht="12.75" x14ac:dyDescent="0.2">
      <c r="A344" s="1">
        <v>343</v>
      </c>
      <c r="B344" s="2">
        <v>45231</v>
      </c>
      <c r="C344" s="1" t="s">
        <v>356</v>
      </c>
      <c r="D344" s="1" t="s">
        <v>10</v>
      </c>
      <c r="E344" s="1">
        <v>21</v>
      </c>
      <c r="F344" s="1" t="s">
        <v>16</v>
      </c>
      <c r="G344" s="1">
        <v>2</v>
      </c>
      <c r="H344" s="1">
        <v>25</v>
      </c>
      <c r="I344" s="1">
        <v>50</v>
      </c>
    </row>
    <row r="345" spans="1:9" ht="12.75" x14ac:dyDescent="0.2">
      <c r="A345" s="1">
        <v>344</v>
      </c>
      <c r="B345" s="2">
        <v>44947</v>
      </c>
      <c r="C345" s="1" t="s">
        <v>357</v>
      </c>
      <c r="D345" s="1" t="s">
        <v>13</v>
      </c>
      <c r="E345" s="1">
        <v>42</v>
      </c>
      <c r="F345" s="1" t="s">
        <v>11</v>
      </c>
      <c r="G345" s="1">
        <v>1</v>
      </c>
      <c r="H345" s="1">
        <v>30</v>
      </c>
      <c r="I345" s="1">
        <v>30</v>
      </c>
    </row>
    <row r="346" spans="1:9" ht="12.75" x14ac:dyDescent="0.2">
      <c r="A346" s="1">
        <v>345</v>
      </c>
      <c r="B346" s="2">
        <v>45244</v>
      </c>
      <c r="C346" s="1" t="s">
        <v>358</v>
      </c>
      <c r="D346" s="1" t="s">
        <v>10</v>
      </c>
      <c r="E346" s="1">
        <v>62</v>
      </c>
      <c r="F346" s="1" t="s">
        <v>16</v>
      </c>
      <c r="G346" s="1">
        <v>1</v>
      </c>
      <c r="H346" s="1">
        <v>30</v>
      </c>
      <c r="I346" s="1">
        <v>30</v>
      </c>
    </row>
    <row r="347" spans="1:9" ht="12.75" x14ac:dyDescent="0.2">
      <c r="A347" s="1">
        <v>346</v>
      </c>
      <c r="B347" s="2">
        <v>44968</v>
      </c>
      <c r="C347" s="1" t="s">
        <v>359</v>
      </c>
      <c r="D347" s="1" t="s">
        <v>10</v>
      </c>
      <c r="E347" s="1">
        <v>59</v>
      </c>
      <c r="F347" s="1" t="s">
        <v>14</v>
      </c>
      <c r="G347" s="1">
        <v>2</v>
      </c>
      <c r="H347" s="1">
        <v>500</v>
      </c>
      <c r="I347" s="1">
        <v>1000</v>
      </c>
    </row>
    <row r="348" spans="1:9" ht="12.75" x14ac:dyDescent="0.2">
      <c r="A348" s="1">
        <v>347</v>
      </c>
      <c r="B348" s="2">
        <v>45141</v>
      </c>
      <c r="C348" s="1" t="s">
        <v>360</v>
      </c>
      <c r="D348" s="1" t="s">
        <v>10</v>
      </c>
      <c r="E348" s="1">
        <v>42</v>
      </c>
      <c r="F348" s="1" t="s">
        <v>16</v>
      </c>
      <c r="G348" s="1">
        <v>1</v>
      </c>
      <c r="H348" s="1">
        <v>25</v>
      </c>
      <c r="I348" s="1">
        <v>25</v>
      </c>
    </row>
    <row r="349" spans="1:9" ht="12.75" x14ac:dyDescent="0.2">
      <c r="A349" s="1">
        <v>348</v>
      </c>
      <c r="B349" s="2">
        <v>45263</v>
      </c>
      <c r="C349" s="1" t="s">
        <v>361</v>
      </c>
      <c r="D349" s="1" t="s">
        <v>13</v>
      </c>
      <c r="E349" s="1">
        <v>35</v>
      </c>
      <c r="F349" s="1" t="s">
        <v>16</v>
      </c>
      <c r="G349" s="1">
        <v>2</v>
      </c>
      <c r="H349" s="1">
        <v>300</v>
      </c>
      <c r="I349" s="1">
        <v>600</v>
      </c>
    </row>
    <row r="350" spans="1:9" ht="12.75" x14ac:dyDescent="0.2">
      <c r="A350" s="1">
        <v>349</v>
      </c>
      <c r="B350" s="2">
        <v>45225</v>
      </c>
      <c r="C350" s="1" t="s">
        <v>362</v>
      </c>
      <c r="D350" s="1" t="s">
        <v>13</v>
      </c>
      <c r="E350" s="1">
        <v>57</v>
      </c>
      <c r="F350" s="1" t="s">
        <v>11</v>
      </c>
      <c r="G350" s="1">
        <v>1</v>
      </c>
      <c r="H350" s="1">
        <v>50</v>
      </c>
      <c r="I350" s="1">
        <v>50</v>
      </c>
    </row>
    <row r="351" spans="1:9" ht="12.75" x14ac:dyDescent="0.2">
      <c r="A351" s="1">
        <v>350</v>
      </c>
      <c r="B351" s="2">
        <v>45216</v>
      </c>
      <c r="C351" s="1" t="s">
        <v>363</v>
      </c>
      <c r="D351" s="1" t="s">
        <v>10</v>
      </c>
      <c r="E351" s="1">
        <v>25</v>
      </c>
      <c r="F351" s="1" t="s">
        <v>11</v>
      </c>
      <c r="G351" s="1">
        <v>3</v>
      </c>
      <c r="H351" s="1">
        <v>25</v>
      </c>
      <c r="I351" s="1">
        <v>75</v>
      </c>
    </row>
    <row r="352" spans="1:9" ht="12.75" x14ac:dyDescent="0.2">
      <c r="A352" s="1">
        <v>351</v>
      </c>
      <c r="B352" s="2">
        <v>45194</v>
      </c>
      <c r="C352" s="1" t="s">
        <v>364</v>
      </c>
      <c r="D352" s="1" t="s">
        <v>13</v>
      </c>
      <c r="E352" s="1">
        <v>56</v>
      </c>
      <c r="F352" s="1" t="s">
        <v>14</v>
      </c>
      <c r="G352" s="1">
        <v>3</v>
      </c>
      <c r="H352" s="1">
        <v>30</v>
      </c>
      <c r="I352" s="1">
        <v>90</v>
      </c>
    </row>
    <row r="353" spans="1:9" ht="12.75" x14ac:dyDescent="0.2">
      <c r="A353" s="1">
        <v>352</v>
      </c>
      <c r="B353" s="2">
        <v>45088</v>
      </c>
      <c r="C353" s="1" t="s">
        <v>365</v>
      </c>
      <c r="D353" s="1" t="s">
        <v>10</v>
      </c>
      <c r="E353" s="1">
        <v>57</v>
      </c>
      <c r="F353" s="1" t="s">
        <v>16</v>
      </c>
      <c r="G353" s="1">
        <v>2</v>
      </c>
      <c r="H353" s="1">
        <v>500</v>
      </c>
      <c r="I353" s="1">
        <v>1000</v>
      </c>
    </row>
    <row r="354" spans="1:9" ht="12.75" x14ac:dyDescent="0.2">
      <c r="A354" s="1">
        <v>353</v>
      </c>
      <c r="B354" s="2">
        <v>45060</v>
      </c>
      <c r="C354" s="1" t="s">
        <v>366</v>
      </c>
      <c r="D354" s="1" t="s">
        <v>10</v>
      </c>
      <c r="E354" s="1">
        <v>31</v>
      </c>
      <c r="F354" s="1" t="s">
        <v>16</v>
      </c>
      <c r="G354" s="1">
        <v>1</v>
      </c>
      <c r="H354" s="1">
        <v>500</v>
      </c>
      <c r="I354" s="1">
        <v>500</v>
      </c>
    </row>
    <row r="355" spans="1:9" ht="12.75" x14ac:dyDescent="0.2">
      <c r="A355" s="1">
        <v>354</v>
      </c>
      <c r="B355" s="2">
        <v>45031</v>
      </c>
      <c r="C355" s="1" t="s">
        <v>367</v>
      </c>
      <c r="D355" s="1" t="s">
        <v>13</v>
      </c>
      <c r="E355" s="1">
        <v>49</v>
      </c>
      <c r="F355" s="1" t="s">
        <v>11</v>
      </c>
      <c r="G355" s="1">
        <v>4</v>
      </c>
      <c r="H355" s="1">
        <v>50</v>
      </c>
      <c r="I355" s="1">
        <v>200</v>
      </c>
    </row>
    <row r="356" spans="1:9" ht="12.75" x14ac:dyDescent="0.2">
      <c r="A356" s="1">
        <v>355</v>
      </c>
      <c r="B356" s="2">
        <v>45269</v>
      </c>
      <c r="C356" s="1" t="s">
        <v>368</v>
      </c>
      <c r="D356" s="1" t="s">
        <v>13</v>
      </c>
      <c r="E356" s="1">
        <v>55</v>
      </c>
      <c r="F356" s="1" t="s">
        <v>16</v>
      </c>
      <c r="G356" s="1">
        <v>1</v>
      </c>
      <c r="H356" s="1">
        <v>500</v>
      </c>
      <c r="I356" s="1">
        <v>500</v>
      </c>
    </row>
    <row r="357" spans="1:9" ht="12.75" x14ac:dyDescent="0.2">
      <c r="A357" s="1">
        <v>356</v>
      </c>
      <c r="B357" s="2">
        <v>45087</v>
      </c>
      <c r="C357" s="1" t="s">
        <v>369</v>
      </c>
      <c r="D357" s="1" t="s">
        <v>10</v>
      </c>
      <c r="E357" s="1">
        <v>50</v>
      </c>
      <c r="F357" s="1" t="s">
        <v>16</v>
      </c>
      <c r="G357" s="1">
        <v>3</v>
      </c>
      <c r="H357" s="1">
        <v>500</v>
      </c>
      <c r="I357" s="1">
        <v>1500</v>
      </c>
    </row>
    <row r="358" spans="1:9" ht="12.75" x14ac:dyDescent="0.2">
      <c r="A358" s="1">
        <v>357</v>
      </c>
      <c r="B358" s="2">
        <v>45049</v>
      </c>
      <c r="C358" s="1" t="s">
        <v>370</v>
      </c>
      <c r="D358" s="1" t="s">
        <v>13</v>
      </c>
      <c r="E358" s="1">
        <v>40</v>
      </c>
      <c r="F358" s="1" t="s">
        <v>16</v>
      </c>
      <c r="G358" s="1">
        <v>3</v>
      </c>
      <c r="H358" s="1">
        <v>25</v>
      </c>
      <c r="I358" s="1">
        <v>75</v>
      </c>
    </row>
    <row r="359" spans="1:9" ht="12.75" x14ac:dyDescent="0.2">
      <c r="A359" s="1">
        <v>358</v>
      </c>
      <c r="B359" s="2">
        <v>45062</v>
      </c>
      <c r="C359" s="1" t="s">
        <v>371</v>
      </c>
      <c r="D359" s="1" t="s">
        <v>13</v>
      </c>
      <c r="E359" s="1">
        <v>32</v>
      </c>
      <c r="F359" s="1" t="s">
        <v>11</v>
      </c>
      <c r="G359" s="1">
        <v>1</v>
      </c>
      <c r="H359" s="1">
        <v>300</v>
      </c>
      <c r="I359" s="1">
        <v>300</v>
      </c>
    </row>
    <row r="360" spans="1:9" ht="12.75" x14ac:dyDescent="0.2">
      <c r="A360" s="1">
        <v>359</v>
      </c>
      <c r="B360" s="2">
        <v>45129</v>
      </c>
      <c r="C360" s="1" t="s">
        <v>372</v>
      </c>
      <c r="D360" s="1" t="s">
        <v>10</v>
      </c>
      <c r="E360" s="1">
        <v>50</v>
      </c>
      <c r="F360" s="1" t="s">
        <v>14</v>
      </c>
      <c r="G360" s="1">
        <v>1</v>
      </c>
      <c r="H360" s="1">
        <v>50</v>
      </c>
      <c r="I360" s="1">
        <v>50</v>
      </c>
    </row>
    <row r="361" spans="1:9" ht="12.75" x14ac:dyDescent="0.2">
      <c r="A361" s="1">
        <v>360</v>
      </c>
      <c r="B361" s="2">
        <v>44994</v>
      </c>
      <c r="C361" s="1" t="s">
        <v>373</v>
      </c>
      <c r="D361" s="1" t="s">
        <v>10</v>
      </c>
      <c r="E361" s="1">
        <v>42</v>
      </c>
      <c r="F361" s="1" t="s">
        <v>14</v>
      </c>
      <c r="G361" s="1">
        <v>4</v>
      </c>
      <c r="H361" s="1">
        <v>25</v>
      </c>
      <c r="I361" s="1">
        <v>100</v>
      </c>
    </row>
    <row r="362" spans="1:9" ht="12.75" x14ac:dyDescent="0.2">
      <c r="A362" s="1">
        <v>361</v>
      </c>
      <c r="B362" s="2">
        <v>45270</v>
      </c>
      <c r="C362" s="1" t="s">
        <v>374</v>
      </c>
      <c r="D362" s="1" t="s">
        <v>13</v>
      </c>
      <c r="E362" s="1">
        <v>34</v>
      </c>
      <c r="F362" s="1" t="s">
        <v>16</v>
      </c>
      <c r="G362" s="1">
        <v>4</v>
      </c>
      <c r="H362" s="1">
        <v>300</v>
      </c>
      <c r="I362" s="1">
        <v>1200</v>
      </c>
    </row>
    <row r="363" spans="1:9" ht="12.75" x14ac:dyDescent="0.2">
      <c r="A363" s="1">
        <v>362</v>
      </c>
      <c r="B363" s="2">
        <v>45257</v>
      </c>
      <c r="C363" s="1" t="s">
        <v>375</v>
      </c>
      <c r="D363" s="1" t="s">
        <v>10</v>
      </c>
      <c r="E363" s="1">
        <v>50</v>
      </c>
      <c r="F363" s="1" t="s">
        <v>14</v>
      </c>
      <c r="G363" s="1">
        <v>1</v>
      </c>
      <c r="H363" s="1">
        <v>25</v>
      </c>
      <c r="I363" s="1">
        <v>25</v>
      </c>
    </row>
    <row r="364" spans="1:9" ht="12.75" x14ac:dyDescent="0.2">
      <c r="A364" s="1">
        <v>363</v>
      </c>
      <c r="B364" s="2">
        <v>45080</v>
      </c>
      <c r="C364" s="1" t="s">
        <v>376</v>
      </c>
      <c r="D364" s="1" t="s">
        <v>10</v>
      </c>
      <c r="E364" s="1">
        <v>64</v>
      </c>
      <c r="F364" s="1" t="s">
        <v>11</v>
      </c>
      <c r="G364" s="1">
        <v>1</v>
      </c>
      <c r="H364" s="1">
        <v>25</v>
      </c>
      <c r="I364" s="1">
        <v>25</v>
      </c>
    </row>
    <row r="365" spans="1:9" ht="12.75" x14ac:dyDescent="0.2">
      <c r="A365" s="1">
        <v>364</v>
      </c>
      <c r="B365" s="2">
        <v>45161</v>
      </c>
      <c r="C365" s="1" t="s">
        <v>377</v>
      </c>
      <c r="D365" s="1" t="s">
        <v>13</v>
      </c>
      <c r="E365" s="1">
        <v>19</v>
      </c>
      <c r="F365" s="1" t="s">
        <v>11</v>
      </c>
      <c r="G365" s="1">
        <v>1</v>
      </c>
      <c r="H365" s="1">
        <v>500</v>
      </c>
      <c r="I365" s="1">
        <v>500</v>
      </c>
    </row>
    <row r="366" spans="1:9" ht="12.75" x14ac:dyDescent="0.2">
      <c r="A366" s="1">
        <v>365</v>
      </c>
      <c r="B366" s="2">
        <v>45088</v>
      </c>
      <c r="C366" s="1" t="s">
        <v>378</v>
      </c>
      <c r="D366" s="1" t="s">
        <v>10</v>
      </c>
      <c r="E366" s="1">
        <v>31</v>
      </c>
      <c r="F366" s="1" t="s">
        <v>14</v>
      </c>
      <c r="G366" s="1">
        <v>1</v>
      </c>
      <c r="H366" s="1">
        <v>300</v>
      </c>
      <c r="I366" s="1">
        <v>300</v>
      </c>
    </row>
    <row r="367" spans="1:9" ht="12.75" x14ac:dyDescent="0.2">
      <c r="A367" s="1">
        <v>366</v>
      </c>
      <c r="B367" s="2">
        <v>44964</v>
      </c>
      <c r="C367" s="1" t="s">
        <v>379</v>
      </c>
      <c r="D367" s="1" t="s">
        <v>10</v>
      </c>
      <c r="E367" s="1">
        <v>57</v>
      </c>
      <c r="F367" s="1" t="s">
        <v>14</v>
      </c>
      <c r="G367" s="1">
        <v>2</v>
      </c>
      <c r="H367" s="1">
        <v>50</v>
      </c>
      <c r="I367" s="1">
        <v>100</v>
      </c>
    </row>
    <row r="368" spans="1:9" ht="12.75" x14ac:dyDescent="0.2">
      <c r="A368" s="1">
        <v>367</v>
      </c>
      <c r="B368" s="2">
        <v>44931</v>
      </c>
      <c r="C368" s="1" t="s">
        <v>380</v>
      </c>
      <c r="D368" s="1" t="s">
        <v>13</v>
      </c>
      <c r="E368" s="1">
        <v>57</v>
      </c>
      <c r="F368" s="1" t="s">
        <v>16</v>
      </c>
      <c r="G368" s="1">
        <v>1</v>
      </c>
      <c r="H368" s="1">
        <v>50</v>
      </c>
      <c r="I368" s="1">
        <v>50</v>
      </c>
    </row>
    <row r="369" spans="1:9" ht="12.75" x14ac:dyDescent="0.2">
      <c r="A369" s="1">
        <v>368</v>
      </c>
      <c r="B369" s="2">
        <v>45161</v>
      </c>
      <c r="C369" s="1" t="s">
        <v>381</v>
      </c>
      <c r="D369" s="1" t="s">
        <v>13</v>
      </c>
      <c r="E369" s="1">
        <v>56</v>
      </c>
      <c r="F369" s="1" t="s">
        <v>14</v>
      </c>
      <c r="G369" s="1">
        <v>4</v>
      </c>
      <c r="H369" s="1">
        <v>300</v>
      </c>
      <c r="I369" s="1">
        <v>1200</v>
      </c>
    </row>
    <row r="370" spans="1:9" ht="12.75" x14ac:dyDescent="0.2">
      <c r="A370" s="1">
        <v>369</v>
      </c>
      <c r="B370" s="2">
        <v>45245</v>
      </c>
      <c r="C370" s="1" t="s">
        <v>382</v>
      </c>
      <c r="D370" s="1" t="s">
        <v>10</v>
      </c>
      <c r="E370" s="1">
        <v>23</v>
      </c>
      <c r="F370" s="1" t="s">
        <v>16</v>
      </c>
      <c r="G370" s="1">
        <v>3</v>
      </c>
      <c r="H370" s="1">
        <v>500</v>
      </c>
      <c r="I370" s="1">
        <v>1500</v>
      </c>
    </row>
    <row r="371" spans="1:9" ht="12.75" x14ac:dyDescent="0.2">
      <c r="A371" s="1">
        <v>370</v>
      </c>
      <c r="B371" s="2">
        <v>45215</v>
      </c>
      <c r="C371" s="1" t="s">
        <v>383</v>
      </c>
      <c r="D371" s="1" t="s">
        <v>10</v>
      </c>
      <c r="E371" s="1">
        <v>23</v>
      </c>
      <c r="F371" s="1" t="s">
        <v>16</v>
      </c>
      <c r="G371" s="1">
        <v>2</v>
      </c>
      <c r="H371" s="1">
        <v>30</v>
      </c>
      <c r="I371" s="1">
        <v>60</v>
      </c>
    </row>
    <row r="372" spans="1:9" ht="12.75" x14ac:dyDescent="0.2">
      <c r="A372" s="1">
        <v>371</v>
      </c>
      <c r="B372" s="2">
        <v>44978</v>
      </c>
      <c r="C372" s="1" t="s">
        <v>384</v>
      </c>
      <c r="D372" s="1" t="s">
        <v>13</v>
      </c>
      <c r="E372" s="1">
        <v>20</v>
      </c>
      <c r="F372" s="1" t="s">
        <v>11</v>
      </c>
      <c r="G372" s="1">
        <v>1</v>
      </c>
      <c r="H372" s="1">
        <v>25</v>
      </c>
      <c r="I372" s="1">
        <v>25</v>
      </c>
    </row>
    <row r="373" spans="1:9" ht="12.75" x14ac:dyDescent="0.2">
      <c r="A373" s="1">
        <v>372</v>
      </c>
      <c r="B373" s="2">
        <v>44964</v>
      </c>
      <c r="C373" s="1" t="s">
        <v>385</v>
      </c>
      <c r="D373" s="1" t="s">
        <v>13</v>
      </c>
      <c r="E373" s="1">
        <v>24</v>
      </c>
      <c r="F373" s="1" t="s">
        <v>11</v>
      </c>
      <c r="G373" s="1">
        <v>3</v>
      </c>
      <c r="H373" s="1">
        <v>500</v>
      </c>
      <c r="I373" s="1">
        <v>1500</v>
      </c>
    </row>
    <row r="374" spans="1:9" ht="12.75" x14ac:dyDescent="0.2">
      <c r="A374" s="1">
        <v>373</v>
      </c>
      <c r="B374" s="2">
        <v>45202</v>
      </c>
      <c r="C374" s="1" t="s">
        <v>386</v>
      </c>
      <c r="D374" s="1" t="s">
        <v>13</v>
      </c>
      <c r="E374" s="1">
        <v>25</v>
      </c>
      <c r="F374" s="1" t="s">
        <v>11</v>
      </c>
      <c r="G374" s="1">
        <v>2</v>
      </c>
      <c r="H374" s="1">
        <v>300</v>
      </c>
      <c r="I374" s="1">
        <v>600</v>
      </c>
    </row>
    <row r="375" spans="1:9" ht="12.75" x14ac:dyDescent="0.2">
      <c r="A375" s="1">
        <v>374</v>
      </c>
      <c r="B375" s="2">
        <v>45036</v>
      </c>
      <c r="C375" s="1" t="s">
        <v>387</v>
      </c>
      <c r="D375" s="1" t="s">
        <v>13</v>
      </c>
      <c r="E375" s="1">
        <v>59</v>
      </c>
      <c r="F375" s="1" t="s">
        <v>11</v>
      </c>
      <c r="G375" s="1">
        <v>3</v>
      </c>
      <c r="H375" s="1">
        <v>25</v>
      </c>
      <c r="I375" s="1">
        <v>75</v>
      </c>
    </row>
    <row r="376" spans="1:9" ht="12.75" x14ac:dyDescent="0.2">
      <c r="A376" s="1">
        <v>375</v>
      </c>
      <c r="B376" s="2">
        <v>45186</v>
      </c>
      <c r="C376" s="1" t="s">
        <v>388</v>
      </c>
      <c r="D376" s="1" t="s">
        <v>10</v>
      </c>
      <c r="E376" s="1">
        <v>32</v>
      </c>
      <c r="F376" s="1" t="s">
        <v>14</v>
      </c>
      <c r="G376" s="1">
        <v>1</v>
      </c>
      <c r="H376" s="1">
        <v>50</v>
      </c>
      <c r="I376" s="1">
        <v>50</v>
      </c>
    </row>
    <row r="377" spans="1:9" ht="12.75" x14ac:dyDescent="0.2">
      <c r="A377" s="1">
        <v>376</v>
      </c>
      <c r="B377" s="2">
        <v>45062</v>
      </c>
      <c r="C377" s="1" t="s">
        <v>389</v>
      </c>
      <c r="D377" s="1" t="s">
        <v>13</v>
      </c>
      <c r="E377" s="1">
        <v>64</v>
      </c>
      <c r="F377" s="1" t="s">
        <v>11</v>
      </c>
      <c r="G377" s="1">
        <v>1</v>
      </c>
      <c r="H377" s="1">
        <v>30</v>
      </c>
      <c r="I377" s="1">
        <v>30</v>
      </c>
    </row>
    <row r="378" spans="1:9" ht="12.75" x14ac:dyDescent="0.2">
      <c r="A378" s="1">
        <v>377</v>
      </c>
      <c r="B378" s="2">
        <v>44994</v>
      </c>
      <c r="C378" s="1" t="s">
        <v>390</v>
      </c>
      <c r="D378" s="1" t="s">
        <v>13</v>
      </c>
      <c r="E378" s="1">
        <v>46</v>
      </c>
      <c r="F378" s="1" t="s">
        <v>14</v>
      </c>
      <c r="G378" s="1">
        <v>4</v>
      </c>
      <c r="H378" s="1">
        <v>50</v>
      </c>
      <c r="I378" s="1">
        <v>200</v>
      </c>
    </row>
    <row r="379" spans="1:9" ht="12.75" x14ac:dyDescent="0.2">
      <c r="A379" s="1">
        <v>378</v>
      </c>
      <c r="B379" s="2">
        <v>45105</v>
      </c>
      <c r="C379" s="1" t="s">
        <v>391</v>
      </c>
      <c r="D379" s="1" t="s">
        <v>10</v>
      </c>
      <c r="E379" s="1">
        <v>50</v>
      </c>
      <c r="F379" s="1" t="s">
        <v>11</v>
      </c>
      <c r="G379" s="1">
        <v>1</v>
      </c>
      <c r="H379" s="1">
        <v>300</v>
      </c>
      <c r="I379" s="1">
        <v>300</v>
      </c>
    </row>
    <row r="380" spans="1:9" ht="12.75" x14ac:dyDescent="0.2">
      <c r="A380" s="1">
        <v>379</v>
      </c>
      <c r="B380" s="2">
        <v>44962</v>
      </c>
      <c r="C380" s="1" t="s">
        <v>392</v>
      </c>
      <c r="D380" s="1" t="s">
        <v>13</v>
      </c>
      <c r="E380" s="1">
        <v>47</v>
      </c>
      <c r="F380" s="1" t="s">
        <v>14</v>
      </c>
      <c r="G380" s="1">
        <v>1</v>
      </c>
      <c r="H380" s="1">
        <v>25</v>
      </c>
      <c r="I380" s="1">
        <v>25</v>
      </c>
    </row>
    <row r="381" spans="1:9" ht="12.75" x14ac:dyDescent="0.2">
      <c r="A381" s="1">
        <v>380</v>
      </c>
      <c r="B381" s="2">
        <v>45052</v>
      </c>
      <c r="C381" s="1" t="s">
        <v>393</v>
      </c>
      <c r="D381" s="1" t="s">
        <v>10</v>
      </c>
      <c r="E381" s="1">
        <v>56</v>
      </c>
      <c r="F381" s="1" t="s">
        <v>16</v>
      </c>
      <c r="G381" s="1">
        <v>2</v>
      </c>
      <c r="H381" s="1">
        <v>300</v>
      </c>
      <c r="I381" s="1">
        <v>600</v>
      </c>
    </row>
    <row r="382" spans="1:9" ht="12.75" x14ac:dyDescent="0.2">
      <c r="A382" s="1">
        <v>381</v>
      </c>
      <c r="B382" s="2">
        <v>45116</v>
      </c>
      <c r="C382" s="1" t="s">
        <v>394</v>
      </c>
      <c r="D382" s="1" t="s">
        <v>13</v>
      </c>
      <c r="E382" s="1">
        <v>44</v>
      </c>
      <c r="F382" s="1" t="s">
        <v>14</v>
      </c>
      <c r="G382" s="1">
        <v>4</v>
      </c>
      <c r="H382" s="1">
        <v>25</v>
      </c>
      <c r="I382" s="1">
        <v>100</v>
      </c>
    </row>
    <row r="383" spans="1:9" ht="12.75" x14ac:dyDescent="0.2">
      <c r="A383" s="1">
        <v>382</v>
      </c>
      <c r="B383" s="2">
        <v>45072</v>
      </c>
      <c r="C383" s="1" t="s">
        <v>395</v>
      </c>
      <c r="D383" s="1" t="s">
        <v>13</v>
      </c>
      <c r="E383" s="1">
        <v>53</v>
      </c>
      <c r="F383" s="1" t="s">
        <v>14</v>
      </c>
      <c r="G383" s="1">
        <v>2</v>
      </c>
      <c r="H383" s="1">
        <v>500</v>
      </c>
      <c r="I383" s="1">
        <v>1000</v>
      </c>
    </row>
    <row r="384" spans="1:9" ht="12.75" x14ac:dyDescent="0.2">
      <c r="A384" s="1">
        <v>383</v>
      </c>
      <c r="B384" s="2">
        <v>45007</v>
      </c>
      <c r="C384" s="1" t="s">
        <v>396</v>
      </c>
      <c r="D384" s="1" t="s">
        <v>13</v>
      </c>
      <c r="E384" s="1">
        <v>46</v>
      </c>
      <c r="F384" s="1" t="s">
        <v>11</v>
      </c>
      <c r="G384" s="1">
        <v>3</v>
      </c>
      <c r="H384" s="1">
        <v>30</v>
      </c>
      <c r="I384" s="1">
        <v>90</v>
      </c>
    </row>
    <row r="385" spans="1:9" ht="12.75" x14ac:dyDescent="0.2">
      <c r="A385" s="1">
        <v>384</v>
      </c>
      <c r="B385" s="2">
        <v>45151</v>
      </c>
      <c r="C385" s="1" t="s">
        <v>397</v>
      </c>
      <c r="D385" s="1" t="s">
        <v>10</v>
      </c>
      <c r="E385" s="1">
        <v>55</v>
      </c>
      <c r="F385" s="1" t="s">
        <v>14</v>
      </c>
      <c r="G385" s="1">
        <v>1</v>
      </c>
      <c r="H385" s="1">
        <v>500</v>
      </c>
      <c r="I385" s="1">
        <v>500</v>
      </c>
    </row>
    <row r="386" spans="1:9" ht="12.75" x14ac:dyDescent="0.2">
      <c r="A386" s="1">
        <v>385</v>
      </c>
      <c r="B386" s="2">
        <v>45205</v>
      </c>
      <c r="C386" s="1" t="s">
        <v>398</v>
      </c>
      <c r="D386" s="1" t="s">
        <v>10</v>
      </c>
      <c r="E386" s="1">
        <v>50</v>
      </c>
      <c r="F386" s="1" t="s">
        <v>16</v>
      </c>
      <c r="G386" s="1">
        <v>3</v>
      </c>
      <c r="H386" s="1">
        <v>500</v>
      </c>
      <c r="I386" s="1">
        <v>1500</v>
      </c>
    </row>
    <row r="387" spans="1:9" ht="12.75" x14ac:dyDescent="0.2">
      <c r="A387" s="1">
        <v>386</v>
      </c>
      <c r="B387" s="2">
        <v>45287</v>
      </c>
      <c r="C387" s="1" t="s">
        <v>399</v>
      </c>
      <c r="D387" s="1" t="s">
        <v>13</v>
      </c>
      <c r="E387" s="1">
        <v>54</v>
      </c>
      <c r="F387" s="1" t="s">
        <v>16</v>
      </c>
      <c r="G387" s="1">
        <v>2</v>
      </c>
      <c r="H387" s="1">
        <v>300</v>
      </c>
      <c r="I387" s="1">
        <v>600</v>
      </c>
    </row>
    <row r="388" spans="1:9" ht="12.75" x14ac:dyDescent="0.2">
      <c r="A388" s="1">
        <v>387</v>
      </c>
      <c r="B388" s="2">
        <v>45081</v>
      </c>
      <c r="C388" s="1" t="s">
        <v>400</v>
      </c>
      <c r="D388" s="1" t="s">
        <v>10</v>
      </c>
      <c r="E388" s="1">
        <v>44</v>
      </c>
      <c r="F388" s="1" t="s">
        <v>11</v>
      </c>
      <c r="G388" s="1">
        <v>1</v>
      </c>
      <c r="H388" s="1">
        <v>30</v>
      </c>
      <c r="I388" s="1">
        <v>30</v>
      </c>
    </row>
    <row r="389" spans="1:9" ht="12.75" x14ac:dyDescent="0.2">
      <c r="A389" s="1">
        <v>388</v>
      </c>
      <c r="B389" s="2">
        <v>45240</v>
      </c>
      <c r="C389" s="1" t="s">
        <v>401</v>
      </c>
      <c r="D389" s="1" t="s">
        <v>10</v>
      </c>
      <c r="E389" s="1">
        <v>50</v>
      </c>
      <c r="F389" s="1" t="s">
        <v>16</v>
      </c>
      <c r="G389" s="1">
        <v>1</v>
      </c>
      <c r="H389" s="1">
        <v>25</v>
      </c>
      <c r="I389" s="1">
        <v>25</v>
      </c>
    </row>
    <row r="390" spans="1:9" ht="12.75" x14ac:dyDescent="0.2">
      <c r="A390" s="1">
        <v>389</v>
      </c>
      <c r="B390" s="2">
        <v>45261</v>
      </c>
      <c r="C390" s="1" t="s">
        <v>402</v>
      </c>
      <c r="D390" s="1" t="s">
        <v>10</v>
      </c>
      <c r="E390" s="1">
        <v>21</v>
      </c>
      <c r="F390" s="1" t="s">
        <v>14</v>
      </c>
      <c r="G390" s="1">
        <v>2</v>
      </c>
      <c r="H390" s="1">
        <v>25</v>
      </c>
      <c r="I390" s="1">
        <v>50</v>
      </c>
    </row>
    <row r="391" spans="1:9" ht="12.75" x14ac:dyDescent="0.2">
      <c r="A391" s="1">
        <v>390</v>
      </c>
      <c r="B391" s="2">
        <v>45197</v>
      </c>
      <c r="C391" s="1" t="s">
        <v>403</v>
      </c>
      <c r="D391" s="1" t="s">
        <v>10</v>
      </c>
      <c r="E391" s="1">
        <v>39</v>
      </c>
      <c r="F391" s="1" t="s">
        <v>16</v>
      </c>
      <c r="G391" s="1">
        <v>2</v>
      </c>
      <c r="H391" s="1">
        <v>50</v>
      </c>
      <c r="I391" s="1">
        <v>100</v>
      </c>
    </row>
    <row r="392" spans="1:9" ht="12.75" x14ac:dyDescent="0.2">
      <c r="A392" s="1">
        <v>391</v>
      </c>
      <c r="B392" s="2">
        <v>44931</v>
      </c>
      <c r="C392" s="1" t="s">
        <v>404</v>
      </c>
      <c r="D392" s="1" t="s">
        <v>10</v>
      </c>
      <c r="E392" s="1">
        <v>19</v>
      </c>
      <c r="F392" s="1" t="s">
        <v>11</v>
      </c>
      <c r="G392" s="1">
        <v>2</v>
      </c>
      <c r="H392" s="1">
        <v>25</v>
      </c>
      <c r="I392" s="1">
        <v>50</v>
      </c>
    </row>
    <row r="393" spans="1:9" ht="12.75" x14ac:dyDescent="0.2">
      <c r="A393" s="1">
        <v>392</v>
      </c>
      <c r="B393" s="2">
        <v>45268</v>
      </c>
      <c r="C393" s="1" t="s">
        <v>405</v>
      </c>
      <c r="D393" s="1" t="s">
        <v>10</v>
      </c>
      <c r="E393" s="1">
        <v>27</v>
      </c>
      <c r="F393" s="1" t="s">
        <v>14</v>
      </c>
      <c r="G393" s="1">
        <v>2</v>
      </c>
      <c r="H393" s="1">
        <v>300</v>
      </c>
      <c r="I393" s="1">
        <v>600</v>
      </c>
    </row>
    <row r="394" spans="1:9" ht="12.75" x14ac:dyDescent="0.2">
      <c r="A394" s="1">
        <v>393</v>
      </c>
      <c r="B394" s="2">
        <v>45210</v>
      </c>
      <c r="C394" s="1" t="s">
        <v>406</v>
      </c>
      <c r="D394" s="1" t="s">
        <v>13</v>
      </c>
      <c r="E394" s="1">
        <v>22</v>
      </c>
      <c r="F394" s="1" t="s">
        <v>11</v>
      </c>
      <c r="G394" s="1">
        <v>2</v>
      </c>
      <c r="H394" s="1">
        <v>500</v>
      </c>
      <c r="I394" s="1">
        <v>1000</v>
      </c>
    </row>
    <row r="395" spans="1:9" ht="12.75" x14ac:dyDescent="0.2">
      <c r="A395" s="1">
        <v>394</v>
      </c>
      <c r="B395" s="2">
        <v>45080</v>
      </c>
      <c r="C395" s="1" t="s">
        <v>407</v>
      </c>
      <c r="D395" s="1" t="s">
        <v>13</v>
      </c>
      <c r="E395" s="1">
        <v>27</v>
      </c>
      <c r="F395" s="1" t="s">
        <v>14</v>
      </c>
      <c r="G395" s="1">
        <v>1</v>
      </c>
      <c r="H395" s="1">
        <v>500</v>
      </c>
      <c r="I395" s="1">
        <v>500</v>
      </c>
    </row>
    <row r="396" spans="1:9" ht="12.75" x14ac:dyDescent="0.2">
      <c r="A396" s="1">
        <v>395</v>
      </c>
      <c r="B396" s="2">
        <v>45266</v>
      </c>
      <c r="C396" s="1" t="s">
        <v>408</v>
      </c>
      <c r="D396" s="1" t="s">
        <v>10</v>
      </c>
      <c r="E396" s="1">
        <v>50</v>
      </c>
      <c r="F396" s="1" t="s">
        <v>16</v>
      </c>
      <c r="G396" s="1">
        <v>2</v>
      </c>
      <c r="H396" s="1">
        <v>500</v>
      </c>
      <c r="I396" s="1">
        <v>1000</v>
      </c>
    </row>
    <row r="397" spans="1:9" ht="12.75" x14ac:dyDescent="0.2">
      <c r="A397" s="1">
        <v>396</v>
      </c>
      <c r="B397" s="2">
        <v>44980</v>
      </c>
      <c r="C397" s="1" t="s">
        <v>409</v>
      </c>
      <c r="D397" s="1" t="s">
        <v>13</v>
      </c>
      <c r="E397" s="1">
        <v>55</v>
      </c>
      <c r="F397" s="1" t="s">
        <v>11</v>
      </c>
      <c r="G397" s="1">
        <v>1</v>
      </c>
      <c r="H397" s="1">
        <v>30</v>
      </c>
      <c r="I397" s="1">
        <v>30</v>
      </c>
    </row>
    <row r="398" spans="1:9" ht="12.75" x14ac:dyDescent="0.2">
      <c r="A398" s="1">
        <v>397</v>
      </c>
      <c r="B398" s="2">
        <v>44995</v>
      </c>
      <c r="C398" s="1" t="s">
        <v>410</v>
      </c>
      <c r="D398" s="1" t="s">
        <v>13</v>
      </c>
      <c r="E398" s="1">
        <v>30</v>
      </c>
      <c r="F398" s="1" t="s">
        <v>11</v>
      </c>
      <c r="G398" s="1">
        <v>1</v>
      </c>
      <c r="H398" s="1">
        <v>25</v>
      </c>
      <c r="I398" s="1">
        <v>25</v>
      </c>
    </row>
    <row r="399" spans="1:9" ht="12.75" x14ac:dyDescent="0.2">
      <c r="A399" s="1">
        <v>398</v>
      </c>
      <c r="B399" s="2">
        <v>45062</v>
      </c>
      <c r="C399" s="1" t="s">
        <v>411</v>
      </c>
      <c r="D399" s="1" t="s">
        <v>13</v>
      </c>
      <c r="E399" s="1">
        <v>48</v>
      </c>
      <c r="F399" s="1" t="s">
        <v>14</v>
      </c>
      <c r="G399" s="1">
        <v>2</v>
      </c>
      <c r="H399" s="1">
        <v>300</v>
      </c>
      <c r="I399" s="1">
        <v>600</v>
      </c>
    </row>
    <row r="400" spans="1:9" ht="12.75" x14ac:dyDescent="0.2">
      <c r="A400" s="1">
        <v>399</v>
      </c>
      <c r="B400" s="2">
        <v>44986</v>
      </c>
      <c r="C400" s="1" t="s">
        <v>412</v>
      </c>
      <c r="D400" s="1" t="s">
        <v>13</v>
      </c>
      <c r="E400" s="1">
        <v>64</v>
      </c>
      <c r="F400" s="1" t="s">
        <v>11</v>
      </c>
      <c r="G400" s="1">
        <v>2</v>
      </c>
      <c r="H400" s="1">
        <v>30</v>
      </c>
      <c r="I400" s="1">
        <v>60</v>
      </c>
    </row>
    <row r="401" spans="1:9" ht="12.75" x14ac:dyDescent="0.2">
      <c r="A401" s="1">
        <v>400</v>
      </c>
      <c r="B401" s="2">
        <v>44981</v>
      </c>
      <c r="C401" s="1" t="s">
        <v>413</v>
      </c>
      <c r="D401" s="1" t="s">
        <v>10</v>
      </c>
      <c r="E401" s="1">
        <v>53</v>
      </c>
      <c r="F401" s="1" t="s">
        <v>14</v>
      </c>
      <c r="G401" s="1">
        <v>4</v>
      </c>
      <c r="H401" s="1">
        <v>50</v>
      </c>
      <c r="I401" s="1">
        <v>200</v>
      </c>
    </row>
    <row r="402" spans="1:9" ht="12.75" x14ac:dyDescent="0.2">
      <c r="A402" s="1">
        <v>401</v>
      </c>
      <c r="B402" s="2">
        <v>45210</v>
      </c>
      <c r="C402" s="1" t="s">
        <v>414</v>
      </c>
      <c r="D402" s="1" t="s">
        <v>13</v>
      </c>
      <c r="E402" s="1">
        <v>62</v>
      </c>
      <c r="F402" s="1" t="s">
        <v>14</v>
      </c>
      <c r="G402" s="1">
        <v>1</v>
      </c>
      <c r="H402" s="1">
        <v>300</v>
      </c>
      <c r="I402" s="1">
        <v>300</v>
      </c>
    </row>
    <row r="403" spans="1:9" ht="12.75" x14ac:dyDescent="0.2">
      <c r="A403" s="1">
        <v>402</v>
      </c>
      <c r="B403" s="2">
        <v>45006</v>
      </c>
      <c r="C403" s="1" t="s">
        <v>415</v>
      </c>
      <c r="D403" s="1" t="s">
        <v>13</v>
      </c>
      <c r="E403" s="1">
        <v>41</v>
      </c>
      <c r="F403" s="1" t="s">
        <v>14</v>
      </c>
      <c r="G403" s="1">
        <v>2</v>
      </c>
      <c r="H403" s="1">
        <v>300</v>
      </c>
      <c r="I403" s="1">
        <v>600</v>
      </c>
    </row>
    <row r="404" spans="1:9" ht="12.75" x14ac:dyDescent="0.2">
      <c r="A404" s="1">
        <v>403</v>
      </c>
      <c r="B404" s="2">
        <v>45066</v>
      </c>
      <c r="C404" s="1" t="s">
        <v>416</v>
      </c>
      <c r="D404" s="1" t="s">
        <v>10</v>
      </c>
      <c r="E404" s="1">
        <v>32</v>
      </c>
      <c r="F404" s="1" t="s">
        <v>14</v>
      </c>
      <c r="G404" s="1">
        <v>2</v>
      </c>
      <c r="H404" s="1">
        <v>300</v>
      </c>
      <c r="I404" s="1">
        <v>600</v>
      </c>
    </row>
    <row r="405" spans="1:9" ht="12.75" x14ac:dyDescent="0.2">
      <c r="A405" s="1">
        <v>404</v>
      </c>
      <c r="B405" s="2">
        <v>45071</v>
      </c>
      <c r="C405" s="1" t="s">
        <v>417</v>
      </c>
      <c r="D405" s="1" t="s">
        <v>10</v>
      </c>
      <c r="E405" s="1">
        <v>46</v>
      </c>
      <c r="F405" s="1" t="s">
        <v>16</v>
      </c>
      <c r="G405" s="1">
        <v>2</v>
      </c>
      <c r="H405" s="1">
        <v>500</v>
      </c>
      <c r="I405" s="1">
        <v>1000</v>
      </c>
    </row>
    <row r="406" spans="1:9" ht="12.75" x14ac:dyDescent="0.2">
      <c r="A406" s="1">
        <v>405</v>
      </c>
      <c r="B406" s="2">
        <v>45236</v>
      </c>
      <c r="C406" s="1" t="s">
        <v>418</v>
      </c>
      <c r="D406" s="1" t="s">
        <v>13</v>
      </c>
      <c r="E406" s="1">
        <v>25</v>
      </c>
      <c r="F406" s="1" t="s">
        <v>14</v>
      </c>
      <c r="G406" s="1">
        <v>4</v>
      </c>
      <c r="H406" s="1">
        <v>300</v>
      </c>
      <c r="I406" s="1">
        <v>1200</v>
      </c>
    </row>
    <row r="407" spans="1:9" ht="12.75" x14ac:dyDescent="0.2">
      <c r="A407" s="1">
        <v>406</v>
      </c>
      <c r="B407" s="2">
        <v>45034</v>
      </c>
      <c r="C407" s="1" t="s">
        <v>419</v>
      </c>
      <c r="D407" s="1" t="s">
        <v>13</v>
      </c>
      <c r="E407" s="1">
        <v>22</v>
      </c>
      <c r="F407" s="1" t="s">
        <v>11</v>
      </c>
      <c r="G407" s="1">
        <v>4</v>
      </c>
      <c r="H407" s="1">
        <v>25</v>
      </c>
      <c r="I407" s="1">
        <v>100</v>
      </c>
    </row>
    <row r="408" spans="1:9" ht="12.75" x14ac:dyDescent="0.2">
      <c r="A408" s="1">
        <v>407</v>
      </c>
      <c r="B408" s="2">
        <v>45102</v>
      </c>
      <c r="C408" s="1" t="s">
        <v>420</v>
      </c>
      <c r="D408" s="1" t="s">
        <v>13</v>
      </c>
      <c r="E408" s="1">
        <v>46</v>
      </c>
      <c r="F408" s="1" t="s">
        <v>16</v>
      </c>
      <c r="G408" s="1">
        <v>3</v>
      </c>
      <c r="H408" s="1">
        <v>300</v>
      </c>
      <c r="I408" s="1">
        <v>900</v>
      </c>
    </row>
    <row r="409" spans="1:9" ht="12.75" x14ac:dyDescent="0.2">
      <c r="A409" s="1">
        <v>408</v>
      </c>
      <c r="B409" s="2">
        <v>45031</v>
      </c>
      <c r="C409" s="1" t="s">
        <v>421</v>
      </c>
      <c r="D409" s="1" t="s">
        <v>13</v>
      </c>
      <c r="E409" s="1">
        <v>64</v>
      </c>
      <c r="F409" s="1" t="s">
        <v>11</v>
      </c>
      <c r="G409" s="1">
        <v>1</v>
      </c>
      <c r="H409" s="1">
        <v>500</v>
      </c>
      <c r="I409" s="1">
        <v>500</v>
      </c>
    </row>
    <row r="410" spans="1:9" ht="12.75" x14ac:dyDescent="0.2">
      <c r="A410" s="1">
        <v>409</v>
      </c>
      <c r="B410" s="2">
        <v>45278</v>
      </c>
      <c r="C410" s="1" t="s">
        <v>422</v>
      </c>
      <c r="D410" s="1" t="s">
        <v>13</v>
      </c>
      <c r="E410" s="1">
        <v>21</v>
      </c>
      <c r="F410" s="1" t="s">
        <v>16</v>
      </c>
      <c r="G410" s="1">
        <v>3</v>
      </c>
      <c r="H410" s="1">
        <v>300</v>
      </c>
      <c r="I410" s="1">
        <v>900</v>
      </c>
    </row>
    <row r="411" spans="1:9" ht="12.75" x14ac:dyDescent="0.2">
      <c r="A411" s="1">
        <v>410</v>
      </c>
      <c r="B411" s="2">
        <v>45251</v>
      </c>
      <c r="C411" s="1" t="s">
        <v>423</v>
      </c>
      <c r="D411" s="1" t="s">
        <v>13</v>
      </c>
      <c r="E411" s="1">
        <v>29</v>
      </c>
      <c r="F411" s="1" t="s">
        <v>14</v>
      </c>
      <c r="G411" s="1">
        <v>2</v>
      </c>
      <c r="H411" s="1">
        <v>50</v>
      </c>
      <c r="I411" s="1">
        <v>100</v>
      </c>
    </row>
    <row r="412" spans="1:9" ht="12.75" x14ac:dyDescent="0.2">
      <c r="A412" s="1">
        <v>411</v>
      </c>
      <c r="B412" s="2">
        <v>45062</v>
      </c>
      <c r="C412" s="1" t="s">
        <v>424</v>
      </c>
      <c r="D412" s="1" t="s">
        <v>10</v>
      </c>
      <c r="E412" s="1">
        <v>62</v>
      </c>
      <c r="F412" s="1" t="s">
        <v>16</v>
      </c>
      <c r="G412" s="1">
        <v>4</v>
      </c>
      <c r="H412" s="1">
        <v>50</v>
      </c>
      <c r="I412" s="1">
        <v>200</v>
      </c>
    </row>
    <row r="413" spans="1:9" ht="12.75" x14ac:dyDescent="0.2">
      <c r="A413" s="1">
        <v>412</v>
      </c>
      <c r="B413" s="2">
        <v>45185</v>
      </c>
      <c r="C413" s="1" t="s">
        <v>425</v>
      </c>
      <c r="D413" s="1" t="s">
        <v>13</v>
      </c>
      <c r="E413" s="1">
        <v>19</v>
      </c>
      <c r="F413" s="1" t="s">
        <v>16</v>
      </c>
      <c r="G413" s="1">
        <v>4</v>
      </c>
      <c r="H413" s="1">
        <v>500</v>
      </c>
      <c r="I413" s="1">
        <v>2000</v>
      </c>
    </row>
    <row r="414" spans="1:9" ht="12.75" x14ac:dyDescent="0.2">
      <c r="A414" s="1">
        <v>413</v>
      </c>
      <c r="B414" s="2">
        <v>45177</v>
      </c>
      <c r="C414" s="1" t="s">
        <v>426</v>
      </c>
      <c r="D414" s="1" t="s">
        <v>13</v>
      </c>
      <c r="E414" s="1">
        <v>44</v>
      </c>
      <c r="F414" s="1" t="s">
        <v>11</v>
      </c>
      <c r="G414" s="1">
        <v>3</v>
      </c>
      <c r="H414" s="1">
        <v>25</v>
      </c>
      <c r="I414" s="1">
        <v>75</v>
      </c>
    </row>
    <row r="415" spans="1:9" ht="12.75" x14ac:dyDescent="0.2">
      <c r="A415" s="1">
        <v>414</v>
      </c>
      <c r="B415" s="2">
        <v>45055</v>
      </c>
      <c r="C415" s="1" t="s">
        <v>427</v>
      </c>
      <c r="D415" s="1" t="s">
        <v>10</v>
      </c>
      <c r="E415" s="1">
        <v>48</v>
      </c>
      <c r="F415" s="1" t="s">
        <v>11</v>
      </c>
      <c r="G415" s="1">
        <v>4</v>
      </c>
      <c r="H415" s="1">
        <v>25</v>
      </c>
      <c r="I415" s="1">
        <v>100</v>
      </c>
    </row>
    <row r="416" spans="1:9" ht="12.75" x14ac:dyDescent="0.2">
      <c r="A416" s="1">
        <v>415</v>
      </c>
      <c r="B416" s="2">
        <v>44953</v>
      </c>
      <c r="C416" s="1" t="s">
        <v>428</v>
      </c>
      <c r="D416" s="1" t="s">
        <v>10</v>
      </c>
      <c r="E416" s="1">
        <v>53</v>
      </c>
      <c r="F416" s="1" t="s">
        <v>14</v>
      </c>
      <c r="G416" s="1">
        <v>2</v>
      </c>
      <c r="H416" s="1">
        <v>30</v>
      </c>
      <c r="I416" s="1">
        <v>60</v>
      </c>
    </row>
    <row r="417" spans="1:9" ht="12.75" x14ac:dyDescent="0.2">
      <c r="A417" s="1">
        <v>416</v>
      </c>
      <c r="B417" s="2">
        <v>44974</v>
      </c>
      <c r="C417" s="1" t="s">
        <v>429</v>
      </c>
      <c r="D417" s="1" t="s">
        <v>10</v>
      </c>
      <c r="E417" s="1">
        <v>53</v>
      </c>
      <c r="F417" s="1" t="s">
        <v>16</v>
      </c>
      <c r="G417" s="1">
        <v>4</v>
      </c>
      <c r="H417" s="1">
        <v>500</v>
      </c>
      <c r="I417" s="1">
        <v>2000</v>
      </c>
    </row>
    <row r="418" spans="1:9" ht="12.75" x14ac:dyDescent="0.2">
      <c r="A418" s="1">
        <v>417</v>
      </c>
      <c r="B418" s="2">
        <v>45251</v>
      </c>
      <c r="C418" s="1" t="s">
        <v>430</v>
      </c>
      <c r="D418" s="1" t="s">
        <v>10</v>
      </c>
      <c r="E418" s="1">
        <v>43</v>
      </c>
      <c r="F418" s="1" t="s">
        <v>16</v>
      </c>
      <c r="G418" s="1">
        <v>3</v>
      </c>
      <c r="H418" s="1">
        <v>300</v>
      </c>
      <c r="I418" s="1">
        <v>900</v>
      </c>
    </row>
    <row r="419" spans="1:9" ht="12.75" x14ac:dyDescent="0.2">
      <c r="A419" s="1">
        <v>418</v>
      </c>
      <c r="B419" s="2">
        <v>45143</v>
      </c>
      <c r="C419" s="1" t="s">
        <v>431</v>
      </c>
      <c r="D419" s="1" t="s">
        <v>13</v>
      </c>
      <c r="E419" s="1">
        <v>60</v>
      </c>
      <c r="F419" s="1" t="s">
        <v>16</v>
      </c>
      <c r="G419" s="1">
        <v>2</v>
      </c>
      <c r="H419" s="1">
        <v>500</v>
      </c>
      <c r="I419" s="1">
        <v>1000</v>
      </c>
    </row>
    <row r="420" spans="1:9" ht="12.75" x14ac:dyDescent="0.2">
      <c r="A420" s="1">
        <v>419</v>
      </c>
      <c r="B420" s="2">
        <v>45068</v>
      </c>
      <c r="C420" s="1" t="s">
        <v>432</v>
      </c>
      <c r="D420" s="1" t="s">
        <v>13</v>
      </c>
      <c r="E420" s="1">
        <v>44</v>
      </c>
      <c r="F420" s="1" t="s">
        <v>14</v>
      </c>
      <c r="G420" s="1">
        <v>3</v>
      </c>
      <c r="H420" s="1">
        <v>30</v>
      </c>
      <c r="I420" s="1">
        <v>90</v>
      </c>
    </row>
    <row r="421" spans="1:9" ht="12.75" x14ac:dyDescent="0.2">
      <c r="A421" s="1">
        <v>420</v>
      </c>
      <c r="B421" s="2">
        <v>44949</v>
      </c>
      <c r="C421" s="1" t="s">
        <v>433</v>
      </c>
      <c r="D421" s="1" t="s">
        <v>13</v>
      </c>
      <c r="E421" s="1">
        <v>22</v>
      </c>
      <c r="F421" s="1" t="s">
        <v>14</v>
      </c>
      <c r="G421" s="1">
        <v>4</v>
      </c>
      <c r="H421" s="1">
        <v>500</v>
      </c>
      <c r="I421" s="1">
        <v>2000</v>
      </c>
    </row>
    <row r="422" spans="1:9" ht="12.75" x14ac:dyDescent="0.2">
      <c r="A422" s="1">
        <v>421</v>
      </c>
      <c r="B422" s="2">
        <v>44928</v>
      </c>
      <c r="C422" s="1" t="s">
        <v>434</v>
      </c>
      <c r="D422" s="1" t="s">
        <v>13</v>
      </c>
      <c r="E422" s="1">
        <v>37</v>
      </c>
      <c r="F422" s="1" t="s">
        <v>14</v>
      </c>
      <c r="G422" s="1">
        <v>3</v>
      </c>
      <c r="H422" s="1">
        <v>500</v>
      </c>
      <c r="I422" s="1">
        <v>1500</v>
      </c>
    </row>
    <row r="423" spans="1:9" ht="12.75" x14ac:dyDescent="0.2">
      <c r="A423" s="1">
        <v>422</v>
      </c>
      <c r="B423" s="2">
        <v>45097</v>
      </c>
      <c r="C423" s="1" t="s">
        <v>435</v>
      </c>
      <c r="D423" s="1" t="s">
        <v>13</v>
      </c>
      <c r="E423" s="1">
        <v>28</v>
      </c>
      <c r="F423" s="1" t="s">
        <v>14</v>
      </c>
      <c r="G423" s="1">
        <v>3</v>
      </c>
      <c r="H423" s="1">
        <v>30</v>
      </c>
      <c r="I423" s="1">
        <v>90</v>
      </c>
    </row>
    <row r="424" spans="1:9" ht="12.75" x14ac:dyDescent="0.2">
      <c r="A424" s="1">
        <v>423</v>
      </c>
      <c r="B424" s="2">
        <v>44993</v>
      </c>
      <c r="C424" s="1" t="s">
        <v>436</v>
      </c>
      <c r="D424" s="1" t="s">
        <v>13</v>
      </c>
      <c r="E424" s="1">
        <v>27</v>
      </c>
      <c r="F424" s="1" t="s">
        <v>14</v>
      </c>
      <c r="G424" s="1">
        <v>1</v>
      </c>
      <c r="H424" s="1">
        <v>25</v>
      </c>
      <c r="I424" s="1">
        <v>25</v>
      </c>
    </row>
    <row r="425" spans="1:9" ht="12.75" x14ac:dyDescent="0.2">
      <c r="A425" s="1">
        <v>424</v>
      </c>
      <c r="B425" s="2">
        <v>45253</v>
      </c>
      <c r="C425" s="1" t="s">
        <v>437</v>
      </c>
      <c r="D425" s="1" t="s">
        <v>10</v>
      </c>
      <c r="E425" s="1">
        <v>57</v>
      </c>
      <c r="F425" s="1" t="s">
        <v>11</v>
      </c>
      <c r="G425" s="1">
        <v>4</v>
      </c>
      <c r="H425" s="1">
        <v>300</v>
      </c>
      <c r="I425" s="1">
        <v>1200</v>
      </c>
    </row>
    <row r="426" spans="1:9" ht="12.75" x14ac:dyDescent="0.2">
      <c r="A426" s="1">
        <v>425</v>
      </c>
      <c r="B426" s="2">
        <v>45061</v>
      </c>
      <c r="C426" s="1" t="s">
        <v>438</v>
      </c>
      <c r="D426" s="1" t="s">
        <v>13</v>
      </c>
      <c r="E426" s="1">
        <v>55</v>
      </c>
      <c r="F426" s="1" t="s">
        <v>16</v>
      </c>
      <c r="G426" s="1">
        <v>4</v>
      </c>
      <c r="H426" s="1">
        <v>30</v>
      </c>
      <c r="I426" s="1">
        <v>120</v>
      </c>
    </row>
    <row r="427" spans="1:9" ht="12.75" x14ac:dyDescent="0.2">
      <c r="A427" s="1">
        <v>426</v>
      </c>
      <c r="B427" s="2">
        <v>45009</v>
      </c>
      <c r="C427" s="1" t="s">
        <v>439</v>
      </c>
      <c r="D427" s="1" t="s">
        <v>10</v>
      </c>
      <c r="E427" s="1">
        <v>23</v>
      </c>
      <c r="F427" s="1" t="s">
        <v>16</v>
      </c>
      <c r="G427" s="1">
        <v>3</v>
      </c>
      <c r="H427" s="1">
        <v>50</v>
      </c>
      <c r="I427" s="1">
        <v>150</v>
      </c>
    </row>
    <row r="428" spans="1:9" ht="12.75" x14ac:dyDescent="0.2">
      <c r="A428" s="1">
        <v>427</v>
      </c>
      <c r="B428" s="2">
        <v>45153</v>
      </c>
      <c r="C428" s="1" t="s">
        <v>440</v>
      </c>
      <c r="D428" s="1" t="s">
        <v>10</v>
      </c>
      <c r="E428" s="1">
        <v>25</v>
      </c>
      <c r="F428" s="1" t="s">
        <v>16</v>
      </c>
      <c r="G428" s="1">
        <v>1</v>
      </c>
      <c r="H428" s="1">
        <v>25</v>
      </c>
      <c r="I428" s="1">
        <v>25</v>
      </c>
    </row>
    <row r="429" spans="1:9" ht="12.75" x14ac:dyDescent="0.2">
      <c r="A429" s="1">
        <v>428</v>
      </c>
      <c r="B429" s="2">
        <v>45209</v>
      </c>
      <c r="C429" s="1" t="s">
        <v>441</v>
      </c>
      <c r="D429" s="1" t="s">
        <v>13</v>
      </c>
      <c r="E429" s="1">
        <v>40</v>
      </c>
      <c r="F429" s="1" t="s">
        <v>16</v>
      </c>
      <c r="G429" s="1">
        <v>4</v>
      </c>
      <c r="H429" s="1">
        <v>50</v>
      </c>
      <c r="I429" s="1">
        <v>200</v>
      </c>
    </row>
    <row r="430" spans="1:9" ht="12.75" x14ac:dyDescent="0.2">
      <c r="A430" s="1">
        <v>429</v>
      </c>
      <c r="B430" s="2">
        <v>45288</v>
      </c>
      <c r="C430" s="1" t="s">
        <v>442</v>
      </c>
      <c r="D430" s="1" t="s">
        <v>10</v>
      </c>
      <c r="E430" s="1">
        <v>64</v>
      </c>
      <c r="F430" s="1" t="s">
        <v>16</v>
      </c>
      <c r="G430" s="1">
        <v>2</v>
      </c>
      <c r="H430" s="1">
        <v>25</v>
      </c>
      <c r="I430" s="1">
        <v>50</v>
      </c>
    </row>
    <row r="431" spans="1:9" ht="12.75" x14ac:dyDescent="0.2">
      <c r="A431" s="1">
        <v>430</v>
      </c>
      <c r="B431" s="2">
        <v>45145</v>
      </c>
      <c r="C431" s="1" t="s">
        <v>443</v>
      </c>
      <c r="D431" s="1" t="s">
        <v>13</v>
      </c>
      <c r="E431" s="1">
        <v>43</v>
      </c>
      <c r="F431" s="1" t="s">
        <v>16</v>
      </c>
      <c r="G431" s="1">
        <v>3</v>
      </c>
      <c r="H431" s="1">
        <v>300</v>
      </c>
      <c r="I431" s="1">
        <v>900</v>
      </c>
    </row>
    <row r="432" spans="1:9" ht="12.75" x14ac:dyDescent="0.2">
      <c r="A432" s="1">
        <v>431</v>
      </c>
      <c r="B432" s="2">
        <v>45214</v>
      </c>
      <c r="C432" s="1" t="s">
        <v>444</v>
      </c>
      <c r="D432" s="1" t="s">
        <v>10</v>
      </c>
      <c r="E432" s="1">
        <v>63</v>
      </c>
      <c r="F432" s="1" t="s">
        <v>16</v>
      </c>
      <c r="G432" s="1">
        <v>4</v>
      </c>
      <c r="H432" s="1">
        <v>300</v>
      </c>
      <c r="I432" s="1">
        <v>1200</v>
      </c>
    </row>
    <row r="433" spans="1:9" ht="12.75" x14ac:dyDescent="0.2">
      <c r="A433" s="1">
        <v>432</v>
      </c>
      <c r="B433" s="2">
        <v>44931</v>
      </c>
      <c r="C433" s="1" t="s">
        <v>445</v>
      </c>
      <c r="D433" s="1" t="s">
        <v>13</v>
      </c>
      <c r="E433" s="1">
        <v>60</v>
      </c>
      <c r="F433" s="1" t="s">
        <v>16</v>
      </c>
      <c r="G433" s="1">
        <v>2</v>
      </c>
      <c r="H433" s="1">
        <v>500</v>
      </c>
      <c r="I433" s="1">
        <v>1000</v>
      </c>
    </row>
    <row r="434" spans="1:9" ht="12.75" x14ac:dyDescent="0.2">
      <c r="A434" s="1">
        <v>433</v>
      </c>
      <c r="B434" s="2">
        <v>44984</v>
      </c>
      <c r="C434" s="1" t="s">
        <v>446</v>
      </c>
      <c r="D434" s="1" t="s">
        <v>10</v>
      </c>
      <c r="E434" s="1">
        <v>29</v>
      </c>
      <c r="F434" s="1" t="s">
        <v>11</v>
      </c>
      <c r="G434" s="1">
        <v>4</v>
      </c>
      <c r="H434" s="1">
        <v>50</v>
      </c>
      <c r="I434" s="1">
        <v>200</v>
      </c>
    </row>
    <row r="435" spans="1:9" ht="12.75" x14ac:dyDescent="0.2">
      <c r="A435" s="1">
        <v>434</v>
      </c>
      <c r="B435" s="2">
        <v>44965</v>
      </c>
      <c r="C435" s="1" t="s">
        <v>447</v>
      </c>
      <c r="D435" s="1" t="s">
        <v>13</v>
      </c>
      <c r="E435" s="1">
        <v>43</v>
      </c>
      <c r="F435" s="1" t="s">
        <v>16</v>
      </c>
      <c r="G435" s="1">
        <v>2</v>
      </c>
      <c r="H435" s="1">
        <v>25</v>
      </c>
      <c r="I435" s="1">
        <v>50</v>
      </c>
    </row>
    <row r="436" spans="1:9" ht="12.75" x14ac:dyDescent="0.2">
      <c r="A436" s="1">
        <v>435</v>
      </c>
      <c r="B436" s="2">
        <v>45280</v>
      </c>
      <c r="C436" s="1" t="s">
        <v>448</v>
      </c>
      <c r="D436" s="1" t="s">
        <v>13</v>
      </c>
      <c r="E436" s="1">
        <v>30</v>
      </c>
      <c r="F436" s="1" t="s">
        <v>11</v>
      </c>
      <c r="G436" s="1">
        <v>3</v>
      </c>
      <c r="H436" s="1">
        <v>300</v>
      </c>
      <c r="I436" s="1">
        <v>900</v>
      </c>
    </row>
    <row r="437" spans="1:9" ht="12.75" x14ac:dyDescent="0.2">
      <c r="A437" s="1">
        <v>436</v>
      </c>
      <c r="B437" s="2">
        <v>45003</v>
      </c>
      <c r="C437" s="1" t="s">
        <v>449</v>
      </c>
      <c r="D437" s="1" t="s">
        <v>13</v>
      </c>
      <c r="E437" s="1">
        <v>57</v>
      </c>
      <c r="F437" s="1" t="s">
        <v>14</v>
      </c>
      <c r="G437" s="1">
        <v>4</v>
      </c>
      <c r="H437" s="1">
        <v>30</v>
      </c>
      <c r="I437" s="1">
        <v>120</v>
      </c>
    </row>
    <row r="438" spans="1:9" ht="12.75" x14ac:dyDescent="0.2">
      <c r="A438" s="1">
        <v>437</v>
      </c>
      <c r="B438" s="2">
        <v>45206</v>
      </c>
      <c r="C438" s="1" t="s">
        <v>450</v>
      </c>
      <c r="D438" s="1" t="s">
        <v>13</v>
      </c>
      <c r="E438" s="1">
        <v>35</v>
      </c>
      <c r="F438" s="1" t="s">
        <v>16</v>
      </c>
      <c r="G438" s="1">
        <v>4</v>
      </c>
      <c r="H438" s="1">
        <v>300</v>
      </c>
      <c r="I438" s="1">
        <v>1200</v>
      </c>
    </row>
    <row r="439" spans="1:9" ht="12.75" x14ac:dyDescent="0.2">
      <c r="A439" s="1">
        <v>438</v>
      </c>
      <c r="B439" s="2">
        <v>44945</v>
      </c>
      <c r="C439" s="1" t="s">
        <v>451</v>
      </c>
      <c r="D439" s="1" t="s">
        <v>13</v>
      </c>
      <c r="E439" s="1">
        <v>42</v>
      </c>
      <c r="F439" s="1" t="s">
        <v>14</v>
      </c>
      <c r="G439" s="1">
        <v>1</v>
      </c>
      <c r="H439" s="1">
        <v>30</v>
      </c>
      <c r="I439" s="1">
        <v>30</v>
      </c>
    </row>
    <row r="440" spans="1:9" ht="12.75" x14ac:dyDescent="0.2">
      <c r="A440" s="1">
        <v>439</v>
      </c>
      <c r="B440" s="2">
        <v>45116</v>
      </c>
      <c r="C440" s="1" t="s">
        <v>452</v>
      </c>
      <c r="D440" s="1" t="s">
        <v>10</v>
      </c>
      <c r="E440" s="1">
        <v>50</v>
      </c>
      <c r="F440" s="1" t="s">
        <v>14</v>
      </c>
      <c r="G440" s="1">
        <v>3</v>
      </c>
      <c r="H440" s="1">
        <v>25</v>
      </c>
      <c r="I440" s="1">
        <v>75</v>
      </c>
    </row>
    <row r="441" spans="1:9" ht="12.75" x14ac:dyDescent="0.2">
      <c r="A441" s="1">
        <v>440</v>
      </c>
      <c r="B441" s="2">
        <v>45225</v>
      </c>
      <c r="C441" s="1" t="s">
        <v>453</v>
      </c>
      <c r="D441" s="1" t="s">
        <v>10</v>
      </c>
      <c r="E441" s="1">
        <v>64</v>
      </c>
      <c r="F441" s="1" t="s">
        <v>14</v>
      </c>
      <c r="G441" s="1">
        <v>2</v>
      </c>
      <c r="H441" s="1">
        <v>300</v>
      </c>
      <c r="I441" s="1">
        <v>600</v>
      </c>
    </row>
    <row r="442" spans="1:9" ht="12.75" x14ac:dyDescent="0.2">
      <c r="A442" s="1">
        <v>441</v>
      </c>
      <c r="B442" s="2">
        <v>45209</v>
      </c>
      <c r="C442" s="1" t="s">
        <v>454</v>
      </c>
      <c r="D442" s="1" t="s">
        <v>10</v>
      </c>
      <c r="E442" s="1">
        <v>57</v>
      </c>
      <c r="F442" s="1" t="s">
        <v>11</v>
      </c>
      <c r="G442" s="1">
        <v>4</v>
      </c>
      <c r="H442" s="1">
        <v>300</v>
      </c>
      <c r="I442" s="1">
        <v>1200</v>
      </c>
    </row>
    <row r="443" spans="1:9" ht="12.75" x14ac:dyDescent="0.2">
      <c r="A443" s="1">
        <v>442</v>
      </c>
      <c r="B443" s="2">
        <v>45002</v>
      </c>
      <c r="C443" s="1" t="s">
        <v>455</v>
      </c>
      <c r="D443" s="1" t="s">
        <v>13</v>
      </c>
      <c r="E443" s="1">
        <v>60</v>
      </c>
      <c r="F443" s="1" t="s">
        <v>14</v>
      </c>
      <c r="G443" s="1">
        <v>4</v>
      </c>
      <c r="H443" s="1">
        <v>25</v>
      </c>
      <c r="I443" s="1">
        <v>100</v>
      </c>
    </row>
    <row r="444" spans="1:9" ht="12.75" x14ac:dyDescent="0.2">
      <c r="A444" s="1">
        <v>443</v>
      </c>
      <c r="B444" s="2">
        <v>45147</v>
      </c>
      <c r="C444" s="1" t="s">
        <v>456</v>
      </c>
      <c r="D444" s="1" t="s">
        <v>10</v>
      </c>
      <c r="E444" s="1">
        <v>29</v>
      </c>
      <c r="F444" s="1" t="s">
        <v>14</v>
      </c>
      <c r="G444" s="1">
        <v>2</v>
      </c>
      <c r="H444" s="1">
        <v>300</v>
      </c>
      <c r="I444" s="1">
        <v>600</v>
      </c>
    </row>
    <row r="445" spans="1:9" ht="12.75" x14ac:dyDescent="0.2">
      <c r="A445" s="1">
        <v>444</v>
      </c>
      <c r="B445" s="2">
        <v>44992</v>
      </c>
      <c r="C445" s="1" t="s">
        <v>457</v>
      </c>
      <c r="D445" s="1" t="s">
        <v>13</v>
      </c>
      <c r="E445" s="1">
        <v>61</v>
      </c>
      <c r="F445" s="1" t="s">
        <v>14</v>
      </c>
      <c r="G445" s="1">
        <v>3</v>
      </c>
      <c r="H445" s="1">
        <v>30</v>
      </c>
      <c r="I445" s="1">
        <v>90</v>
      </c>
    </row>
    <row r="446" spans="1:9" ht="12.75" x14ac:dyDescent="0.2">
      <c r="A446" s="1">
        <v>445</v>
      </c>
      <c r="B446" s="2">
        <v>44948</v>
      </c>
      <c r="C446" s="1" t="s">
        <v>458</v>
      </c>
      <c r="D446" s="1" t="s">
        <v>13</v>
      </c>
      <c r="E446" s="1">
        <v>53</v>
      </c>
      <c r="F446" s="1" t="s">
        <v>16</v>
      </c>
      <c r="G446" s="1">
        <v>1</v>
      </c>
      <c r="H446" s="1">
        <v>300</v>
      </c>
      <c r="I446" s="1">
        <v>300</v>
      </c>
    </row>
    <row r="447" spans="1:9" ht="12.75" x14ac:dyDescent="0.2">
      <c r="A447" s="1">
        <v>446</v>
      </c>
      <c r="B447" s="2">
        <v>45084</v>
      </c>
      <c r="C447" s="1" t="s">
        <v>459</v>
      </c>
      <c r="D447" s="1" t="s">
        <v>10</v>
      </c>
      <c r="E447" s="1">
        <v>21</v>
      </c>
      <c r="F447" s="1" t="s">
        <v>16</v>
      </c>
      <c r="G447" s="1">
        <v>1</v>
      </c>
      <c r="H447" s="1">
        <v>50</v>
      </c>
      <c r="I447" s="1">
        <v>50</v>
      </c>
    </row>
    <row r="448" spans="1:9" ht="12.75" x14ac:dyDescent="0.2">
      <c r="A448" s="1">
        <v>447</v>
      </c>
      <c r="B448" s="2">
        <v>45113</v>
      </c>
      <c r="C448" s="1" t="s">
        <v>460</v>
      </c>
      <c r="D448" s="1" t="s">
        <v>10</v>
      </c>
      <c r="E448" s="1">
        <v>22</v>
      </c>
      <c r="F448" s="1" t="s">
        <v>11</v>
      </c>
      <c r="G448" s="1">
        <v>4</v>
      </c>
      <c r="H448" s="1">
        <v>500</v>
      </c>
      <c r="I448" s="1">
        <v>2000</v>
      </c>
    </row>
    <row r="449" spans="1:9" ht="12.75" x14ac:dyDescent="0.2">
      <c r="A449" s="1">
        <v>448</v>
      </c>
      <c r="B449" s="2">
        <v>44947</v>
      </c>
      <c r="C449" s="1" t="s">
        <v>461</v>
      </c>
      <c r="D449" s="1" t="s">
        <v>13</v>
      </c>
      <c r="E449" s="1">
        <v>54</v>
      </c>
      <c r="F449" s="1" t="s">
        <v>11</v>
      </c>
      <c r="G449" s="1">
        <v>2</v>
      </c>
      <c r="H449" s="1">
        <v>30</v>
      </c>
      <c r="I449" s="1">
        <v>60</v>
      </c>
    </row>
    <row r="450" spans="1:9" ht="12.75" x14ac:dyDescent="0.2">
      <c r="A450" s="1">
        <v>449</v>
      </c>
      <c r="B450" s="2">
        <v>45110</v>
      </c>
      <c r="C450" s="1" t="s">
        <v>462</v>
      </c>
      <c r="D450" s="1" t="s">
        <v>10</v>
      </c>
      <c r="E450" s="1">
        <v>25</v>
      </c>
      <c r="F450" s="1" t="s">
        <v>16</v>
      </c>
      <c r="G450" s="1">
        <v>4</v>
      </c>
      <c r="H450" s="1">
        <v>50</v>
      </c>
      <c r="I450" s="1">
        <v>200</v>
      </c>
    </row>
    <row r="451" spans="1:9" ht="12.75" x14ac:dyDescent="0.2">
      <c r="A451" s="1">
        <v>450</v>
      </c>
      <c r="B451" s="2">
        <v>45034</v>
      </c>
      <c r="C451" s="1" t="s">
        <v>463</v>
      </c>
      <c r="D451" s="1" t="s">
        <v>13</v>
      </c>
      <c r="E451" s="1">
        <v>59</v>
      </c>
      <c r="F451" s="1" t="s">
        <v>11</v>
      </c>
      <c r="G451" s="1">
        <v>2</v>
      </c>
      <c r="H451" s="1">
        <v>25</v>
      </c>
      <c r="I451" s="1">
        <v>50</v>
      </c>
    </row>
    <row r="452" spans="1:9" ht="12.75" x14ac:dyDescent="0.2">
      <c r="A452" s="1">
        <v>451</v>
      </c>
      <c r="B452" s="2">
        <v>45276</v>
      </c>
      <c r="C452" s="1" t="s">
        <v>464</v>
      </c>
      <c r="D452" s="1" t="s">
        <v>13</v>
      </c>
      <c r="E452" s="1">
        <v>45</v>
      </c>
      <c r="F452" s="1" t="s">
        <v>16</v>
      </c>
      <c r="G452" s="1">
        <v>1</v>
      </c>
      <c r="H452" s="1">
        <v>30</v>
      </c>
      <c r="I452" s="1">
        <v>30</v>
      </c>
    </row>
    <row r="453" spans="1:9" ht="12.75" x14ac:dyDescent="0.2">
      <c r="A453" s="1">
        <v>452</v>
      </c>
      <c r="B453" s="2">
        <v>45054</v>
      </c>
      <c r="C453" s="1" t="s">
        <v>465</v>
      </c>
      <c r="D453" s="1" t="s">
        <v>13</v>
      </c>
      <c r="E453" s="1">
        <v>48</v>
      </c>
      <c r="F453" s="1" t="s">
        <v>14</v>
      </c>
      <c r="G453" s="1">
        <v>3</v>
      </c>
      <c r="H453" s="1">
        <v>500</v>
      </c>
      <c r="I453" s="1">
        <v>1500</v>
      </c>
    </row>
    <row r="454" spans="1:9" ht="12.75" x14ac:dyDescent="0.2">
      <c r="A454" s="1">
        <v>453</v>
      </c>
      <c r="B454" s="2">
        <v>45268</v>
      </c>
      <c r="C454" s="1" t="s">
        <v>466</v>
      </c>
      <c r="D454" s="1" t="s">
        <v>13</v>
      </c>
      <c r="E454" s="1">
        <v>26</v>
      </c>
      <c r="F454" s="1" t="s">
        <v>14</v>
      </c>
      <c r="G454" s="1">
        <v>2</v>
      </c>
      <c r="H454" s="1">
        <v>500</v>
      </c>
      <c r="I454" s="1">
        <v>1000</v>
      </c>
    </row>
    <row r="455" spans="1:9" ht="12.75" x14ac:dyDescent="0.2">
      <c r="A455" s="1">
        <v>454</v>
      </c>
      <c r="B455" s="2">
        <v>44979</v>
      </c>
      <c r="C455" s="1" t="s">
        <v>467</v>
      </c>
      <c r="D455" s="1" t="s">
        <v>13</v>
      </c>
      <c r="E455" s="1">
        <v>46</v>
      </c>
      <c r="F455" s="1" t="s">
        <v>11</v>
      </c>
      <c r="G455" s="1">
        <v>1</v>
      </c>
      <c r="H455" s="1">
        <v>25</v>
      </c>
      <c r="I455" s="1">
        <v>25</v>
      </c>
    </row>
    <row r="456" spans="1:9" ht="12.75" x14ac:dyDescent="0.2">
      <c r="A456" s="1">
        <v>455</v>
      </c>
      <c r="B456" s="2">
        <v>45108</v>
      </c>
      <c r="C456" s="1" t="s">
        <v>468</v>
      </c>
      <c r="D456" s="1" t="s">
        <v>10</v>
      </c>
      <c r="E456" s="1">
        <v>31</v>
      </c>
      <c r="F456" s="1" t="s">
        <v>16</v>
      </c>
      <c r="G456" s="1">
        <v>4</v>
      </c>
      <c r="H456" s="1">
        <v>25</v>
      </c>
      <c r="I456" s="1">
        <v>100</v>
      </c>
    </row>
    <row r="457" spans="1:9" ht="12.75" x14ac:dyDescent="0.2">
      <c r="A457" s="1">
        <v>456</v>
      </c>
      <c r="B457" s="2">
        <v>45213</v>
      </c>
      <c r="C457" s="1" t="s">
        <v>469</v>
      </c>
      <c r="D457" s="1" t="s">
        <v>10</v>
      </c>
      <c r="E457" s="1">
        <v>57</v>
      </c>
      <c r="F457" s="1" t="s">
        <v>16</v>
      </c>
      <c r="G457" s="1">
        <v>2</v>
      </c>
      <c r="H457" s="1">
        <v>30</v>
      </c>
      <c r="I457" s="1">
        <v>60</v>
      </c>
    </row>
    <row r="458" spans="1:9" ht="12.75" x14ac:dyDescent="0.2">
      <c r="A458" s="1">
        <v>457</v>
      </c>
      <c r="B458" s="2">
        <v>45135</v>
      </c>
      <c r="C458" s="1" t="s">
        <v>470</v>
      </c>
      <c r="D458" s="1" t="s">
        <v>13</v>
      </c>
      <c r="E458" s="1">
        <v>58</v>
      </c>
      <c r="F458" s="1" t="s">
        <v>11</v>
      </c>
      <c r="G458" s="1">
        <v>3</v>
      </c>
      <c r="H458" s="1">
        <v>300</v>
      </c>
      <c r="I458" s="1">
        <v>900</v>
      </c>
    </row>
    <row r="459" spans="1:9" ht="12.75" x14ac:dyDescent="0.2">
      <c r="A459" s="1">
        <v>458</v>
      </c>
      <c r="B459" s="2">
        <v>45244</v>
      </c>
      <c r="C459" s="1" t="s">
        <v>471</v>
      </c>
      <c r="D459" s="1" t="s">
        <v>13</v>
      </c>
      <c r="E459" s="1">
        <v>39</v>
      </c>
      <c r="F459" s="1" t="s">
        <v>16</v>
      </c>
      <c r="G459" s="1">
        <v>4</v>
      </c>
      <c r="H459" s="1">
        <v>25</v>
      </c>
      <c r="I459" s="1">
        <v>100</v>
      </c>
    </row>
    <row r="460" spans="1:9" ht="12.75" x14ac:dyDescent="0.2">
      <c r="A460" s="1">
        <v>459</v>
      </c>
      <c r="B460" s="2">
        <v>45006</v>
      </c>
      <c r="C460" s="1" t="s">
        <v>472</v>
      </c>
      <c r="D460" s="1" t="s">
        <v>10</v>
      </c>
      <c r="E460" s="1">
        <v>28</v>
      </c>
      <c r="F460" s="1" t="s">
        <v>14</v>
      </c>
      <c r="G460" s="1">
        <v>4</v>
      </c>
      <c r="H460" s="1">
        <v>300</v>
      </c>
      <c r="I460" s="1">
        <v>1200</v>
      </c>
    </row>
    <row r="461" spans="1:9" ht="12.75" x14ac:dyDescent="0.2">
      <c r="A461" s="1">
        <v>460</v>
      </c>
      <c r="B461" s="2">
        <v>45048</v>
      </c>
      <c r="C461" s="1" t="s">
        <v>473</v>
      </c>
      <c r="D461" s="1" t="s">
        <v>10</v>
      </c>
      <c r="E461" s="1">
        <v>40</v>
      </c>
      <c r="F461" s="1" t="s">
        <v>11</v>
      </c>
      <c r="G461" s="1">
        <v>1</v>
      </c>
      <c r="H461" s="1">
        <v>50</v>
      </c>
      <c r="I461" s="1">
        <v>50</v>
      </c>
    </row>
    <row r="462" spans="1:9" ht="12.75" x14ac:dyDescent="0.2">
      <c r="A462" s="1">
        <v>461</v>
      </c>
      <c r="B462" s="2">
        <v>45010</v>
      </c>
      <c r="C462" s="1" t="s">
        <v>474</v>
      </c>
      <c r="D462" s="1" t="s">
        <v>13</v>
      </c>
      <c r="E462" s="1">
        <v>18</v>
      </c>
      <c r="F462" s="1" t="s">
        <v>11</v>
      </c>
      <c r="G462" s="1">
        <v>2</v>
      </c>
      <c r="H462" s="1">
        <v>500</v>
      </c>
      <c r="I462" s="1">
        <v>1000</v>
      </c>
    </row>
    <row r="463" spans="1:9" ht="12.75" x14ac:dyDescent="0.2">
      <c r="A463" s="1">
        <v>462</v>
      </c>
      <c r="B463" s="2">
        <v>45017</v>
      </c>
      <c r="C463" s="1" t="s">
        <v>475</v>
      </c>
      <c r="D463" s="1" t="s">
        <v>10</v>
      </c>
      <c r="E463" s="1">
        <v>63</v>
      </c>
      <c r="F463" s="1" t="s">
        <v>16</v>
      </c>
      <c r="G463" s="1">
        <v>4</v>
      </c>
      <c r="H463" s="1">
        <v>300</v>
      </c>
      <c r="I463" s="1">
        <v>1200</v>
      </c>
    </row>
    <row r="464" spans="1:9" ht="12.75" x14ac:dyDescent="0.2">
      <c r="A464" s="1">
        <v>463</v>
      </c>
      <c r="B464" s="2">
        <v>45138</v>
      </c>
      <c r="C464" s="1" t="s">
        <v>476</v>
      </c>
      <c r="D464" s="1" t="s">
        <v>13</v>
      </c>
      <c r="E464" s="1">
        <v>54</v>
      </c>
      <c r="F464" s="1" t="s">
        <v>11</v>
      </c>
      <c r="G464" s="1">
        <v>3</v>
      </c>
      <c r="H464" s="1">
        <v>500</v>
      </c>
      <c r="I464" s="1">
        <v>1500</v>
      </c>
    </row>
    <row r="465" spans="1:9" ht="12.75" x14ac:dyDescent="0.2">
      <c r="A465" s="1">
        <v>464</v>
      </c>
      <c r="B465" s="2">
        <v>44939</v>
      </c>
      <c r="C465" s="1" t="s">
        <v>477</v>
      </c>
      <c r="D465" s="1" t="s">
        <v>10</v>
      </c>
      <c r="E465" s="1">
        <v>38</v>
      </c>
      <c r="F465" s="1" t="s">
        <v>16</v>
      </c>
      <c r="G465" s="1">
        <v>2</v>
      </c>
      <c r="H465" s="1">
        <v>300</v>
      </c>
      <c r="I465" s="1">
        <v>600</v>
      </c>
    </row>
    <row r="466" spans="1:9" ht="12.75" x14ac:dyDescent="0.2">
      <c r="A466" s="1">
        <v>465</v>
      </c>
      <c r="B466" s="2">
        <v>45018</v>
      </c>
      <c r="C466" s="1" t="s">
        <v>478</v>
      </c>
      <c r="D466" s="1" t="s">
        <v>13</v>
      </c>
      <c r="E466" s="1">
        <v>43</v>
      </c>
      <c r="F466" s="1" t="s">
        <v>16</v>
      </c>
      <c r="G466" s="1">
        <v>3</v>
      </c>
      <c r="H466" s="1">
        <v>50</v>
      </c>
      <c r="I466" s="1">
        <v>150</v>
      </c>
    </row>
    <row r="467" spans="1:9" ht="12.75" x14ac:dyDescent="0.2">
      <c r="A467" s="1">
        <v>466</v>
      </c>
      <c r="B467" s="2">
        <v>45097</v>
      </c>
      <c r="C467" s="1" t="s">
        <v>479</v>
      </c>
      <c r="D467" s="1" t="s">
        <v>10</v>
      </c>
      <c r="E467" s="1">
        <v>63</v>
      </c>
      <c r="F467" s="1" t="s">
        <v>16</v>
      </c>
      <c r="G467" s="1">
        <v>4</v>
      </c>
      <c r="H467" s="1">
        <v>25</v>
      </c>
      <c r="I467" s="1">
        <v>100</v>
      </c>
    </row>
    <row r="468" spans="1:9" ht="12.75" x14ac:dyDescent="0.2">
      <c r="A468" s="1">
        <v>467</v>
      </c>
      <c r="B468" s="2">
        <v>45137</v>
      </c>
      <c r="C468" s="1" t="s">
        <v>480</v>
      </c>
      <c r="D468" s="1" t="s">
        <v>13</v>
      </c>
      <c r="E468" s="1">
        <v>53</v>
      </c>
      <c r="F468" s="1" t="s">
        <v>16</v>
      </c>
      <c r="G468" s="1">
        <v>3</v>
      </c>
      <c r="H468" s="1">
        <v>50</v>
      </c>
      <c r="I468" s="1">
        <v>150</v>
      </c>
    </row>
    <row r="469" spans="1:9" ht="12.75" x14ac:dyDescent="0.2">
      <c r="A469" s="1">
        <v>468</v>
      </c>
      <c r="B469" s="2">
        <v>45269</v>
      </c>
      <c r="C469" s="1" t="s">
        <v>481</v>
      </c>
      <c r="D469" s="1" t="s">
        <v>10</v>
      </c>
      <c r="E469" s="1">
        <v>40</v>
      </c>
      <c r="F469" s="1" t="s">
        <v>16</v>
      </c>
      <c r="G469" s="1">
        <v>1</v>
      </c>
      <c r="H469" s="1">
        <v>25</v>
      </c>
      <c r="I469" s="1">
        <v>25</v>
      </c>
    </row>
    <row r="470" spans="1:9" ht="12.75" x14ac:dyDescent="0.2">
      <c r="A470" s="1">
        <v>469</v>
      </c>
      <c r="B470" s="2">
        <v>45054</v>
      </c>
      <c r="C470" s="1" t="s">
        <v>482</v>
      </c>
      <c r="D470" s="1" t="s">
        <v>10</v>
      </c>
      <c r="E470" s="1">
        <v>18</v>
      </c>
      <c r="F470" s="1" t="s">
        <v>11</v>
      </c>
      <c r="G470" s="1">
        <v>3</v>
      </c>
      <c r="H470" s="1">
        <v>25</v>
      </c>
      <c r="I470" s="1">
        <v>75</v>
      </c>
    </row>
    <row r="471" spans="1:9" ht="12.75" x14ac:dyDescent="0.2">
      <c r="A471" s="1">
        <v>470</v>
      </c>
      <c r="B471" s="2">
        <v>45063</v>
      </c>
      <c r="C471" s="1" t="s">
        <v>483</v>
      </c>
      <c r="D471" s="1" t="s">
        <v>13</v>
      </c>
      <c r="E471" s="1">
        <v>57</v>
      </c>
      <c r="F471" s="1" t="s">
        <v>14</v>
      </c>
      <c r="G471" s="1">
        <v>2</v>
      </c>
      <c r="H471" s="1">
        <v>500</v>
      </c>
      <c r="I471" s="1">
        <v>1000</v>
      </c>
    </row>
    <row r="472" spans="1:9" ht="12.75" x14ac:dyDescent="0.2">
      <c r="A472" s="1">
        <v>471</v>
      </c>
      <c r="B472" s="2">
        <v>45008</v>
      </c>
      <c r="C472" s="1" t="s">
        <v>484</v>
      </c>
      <c r="D472" s="1" t="s">
        <v>10</v>
      </c>
      <c r="E472" s="1">
        <v>32</v>
      </c>
      <c r="F472" s="1" t="s">
        <v>14</v>
      </c>
      <c r="G472" s="1">
        <v>3</v>
      </c>
      <c r="H472" s="1">
        <v>50</v>
      </c>
      <c r="I472" s="1">
        <v>150</v>
      </c>
    </row>
    <row r="473" spans="1:9" ht="12.75" x14ac:dyDescent="0.2">
      <c r="A473" s="1">
        <v>472</v>
      </c>
      <c r="B473" s="2">
        <v>45286</v>
      </c>
      <c r="C473" s="1" t="s">
        <v>485</v>
      </c>
      <c r="D473" s="1" t="s">
        <v>13</v>
      </c>
      <c r="E473" s="1">
        <v>38</v>
      </c>
      <c r="F473" s="1" t="s">
        <v>11</v>
      </c>
      <c r="G473" s="1">
        <v>3</v>
      </c>
      <c r="H473" s="1">
        <v>300</v>
      </c>
      <c r="I473" s="1">
        <v>900</v>
      </c>
    </row>
    <row r="474" spans="1:9" ht="12.75" x14ac:dyDescent="0.2">
      <c r="A474" s="1">
        <v>473</v>
      </c>
      <c r="B474" s="2">
        <v>44982</v>
      </c>
      <c r="C474" s="1" t="s">
        <v>486</v>
      </c>
      <c r="D474" s="1" t="s">
        <v>10</v>
      </c>
      <c r="E474" s="1">
        <v>64</v>
      </c>
      <c r="F474" s="1" t="s">
        <v>11</v>
      </c>
      <c r="G474" s="1">
        <v>1</v>
      </c>
      <c r="H474" s="1">
        <v>50</v>
      </c>
      <c r="I474" s="1">
        <v>50</v>
      </c>
    </row>
    <row r="475" spans="1:9" ht="12.75" x14ac:dyDescent="0.2">
      <c r="A475" s="1">
        <v>474</v>
      </c>
      <c r="B475" s="2">
        <v>45122</v>
      </c>
      <c r="C475" s="1" t="s">
        <v>487</v>
      </c>
      <c r="D475" s="1" t="s">
        <v>13</v>
      </c>
      <c r="E475" s="1">
        <v>26</v>
      </c>
      <c r="F475" s="1" t="s">
        <v>14</v>
      </c>
      <c r="G475" s="1">
        <v>3</v>
      </c>
      <c r="H475" s="1">
        <v>500</v>
      </c>
      <c r="I475" s="1">
        <v>1500</v>
      </c>
    </row>
    <row r="476" spans="1:9" ht="12.75" x14ac:dyDescent="0.2">
      <c r="A476" s="1">
        <v>475</v>
      </c>
      <c r="B476" s="2">
        <v>44946</v>
      </c>
      <c r="C476" s="1" t="s">
        <v>488</v>
      </c>
      <c r="D476" s="1" t="s">
        <v>10</v>
      </c>
      <c r="E476" s="1">
        <v>26</v>
      </c>
      <c r="F476" s="1" t="s">
        <v>14</v>
      </c>
      <c r="G476" s="1">
        <v>3</v>
      </c>
      <c r="H476" s="1">
        <v>25</v>
      </c>
      <c r="I476" s="1">
        <v>75</v>
      </c>
    </row>
    <row r="477" spans="1:9" ht="12.75" x14ac:dyDescent="0.2">
      <c r="A477" s="1">
        <v>476</v>
      </c>
      <c r="B477" s="2">
        <v>45167</v>
      </c>
      <c r="C477" s="1" t="s">
        <v>489</v>
      </c>
      <c r="D477" s="1" t="s">
        <v>13</v>
      </c>
      <c r="E477" s="1">
        <v>27</v>
      </c>
      <c r="F477" s="1" t="s">
        <v>14</v>
      </c>
      <c r="G477" s="1">
        <v>4</v>
      </c>
      <c r="H477" s="1">
        <v>500</v>
      </c>
      <c r="I477" s="1">
        <v>2000</v>
      </c>
    </row>
    <row r="478" spans="1:9" ht="12.75" x14ac:dyDescent="0.2">
      <c r="A478" s="1">
        <v>477</v>
      </c>
      <c r="B478" s="2">
        <v>45040</v>
      </c>
      <c r="C478" s="1" t="s">
        <v>490</v>
      </c>
      <c r="D478" s="1" t="s">
        <v>10</v>
      </c>
      <c r="E478" s="1">
        <v>43</v>
      </c>
      <c r="F478" s="1" t="s">
        <v>14</v>
      </c>
      <c r="G478" s="1">
        <v>4</v>
      </c>
      <c r="H478" s="1">
        <v>30</v>
      </c>
      <c r="I478" s="1">
        <v>120</v>
      </c>
    </row>
    <row r="479" spans="1:9" ht="12.75" x14ac:dyDescent="0.2">
      <c r="A479" s="1">
        <v>478</v>
      </c>
      <c r="B479" s="2">
        <v>45029</v>
      </c>
      <c r="C479" s="1" t="s">
        <v>491</v>
      </c>
      <c r="D479" s="1" t="s">
        <v>13</v>
      </c>
      <c r="E479" s="1">
        <v>58</v>
      </c>
      <c r="F479" s="1" t="s">
        <v>14</v>
      </c>
      <c r="G479" s="1">
        <v>2</v>
      </c>
      <c r="H479" s="1">
        <v>30</v>
      </c>
      <c r="I479" s="1">
        <v>60</v>
      </c>
    </row>
    <row r="480" spans="1:9" ht="12.75" x14ac:dyDescent="0.2">
      <c r="A480" s="1">
        <v>479</v>
      </c>
      <c r="B480" s="2">
        <v>45162</v>
      </c>
      <c r="C480" s="1" t="s">
        <v>492</v>
      </c>
      <c r="D480" s="1" t="s">
        <v>10</v>
      </c>
      <c r="E480" s="1">
        <v>52</v>
      </c>
      <c r="F480" s="1" t="s">
        <v>16</v>
      </c>
      <c r="G480" s="1">
        <v>4</v>
      </c>
      <c r="H480" s="1">
        <v>300</v>
      </c>
      <c r="I480" s="1">
        <v>1200</v>
      </c>
    </row>
    <row r="481" spans="1:9" ht="12.75" x14ac:dyDescent="0.2">
      <c r="A481" s="1">
        <v>480</v>
      </c>
      <c r="B481" s="2">
        <v>45106</v>
      </c>
      <c r="C481" s="1" t="s">
        <v>493</v>
      </c>
      <c r="D481" s="1" t="s">
        <v>13</v>
      </c>
      <c r="E481" s="1">
        <v>42</v>
      </c>
      <c r="F481" s="1" t="s">
        <v>11</v>
      </c>
      <c r="G481" s="1">
        <v>4</v>
      </c>
      <c r="H481" s="1">
        <v>500</v>
      </c>
      <c r="I481" s="1">
        <v>2000</v>
      </c>
    </row>
    <row r="482" spans="1:9" ht="12.75" x14ac:dyDescent="0.2">
      <c r="A482" s="1">
        <v>481</v>
      </c>
      <c r="B482" s="2">
        <v>45083</v>
      </c>
      <c r="C482" s="1" t="s">
        <v>494</v>
      </c>
      <c r="D482" s="1" t="s">
        <v>13</v>
      </c>
      <c r="E482" s="1">
        <v>43</v>
      </c>
      <c r="F482" s="1" t="s">
        <v>16</v>
      </c>
      <c r="G482" s="1">
        <v>4</v>
      </c>
      <c r="H482" s="1">
        <v>300</v>
      </c>
      <c r="I482" s="1">
        <v>1200</v>
      </c>
    </row>
    <row r="483" spans="1:9" ht="12.75" x14ac:dyDescent="0.2">
      <c r="A483" s="1">
        <v>482</v>
      </c>
      <c r="B483" s="2">
        <v>45043</v>
      </c>
      <c r="C483" s="1" t="s">
        <v>495</v>
      </c>
      <c r="D483" s="1" t="s">
        <v>13</v>
      </c>
      <c r="E483" s="1">
        <v>28</v>
      </c>
      <c r="F483" s="1" t="s">
        <v>14</v>
      </c>
      <c r="G483" s="1">
        <v>4</v>
      </c>
      <c r="H483" s="1">
        <v>300</v>
      </c>
      <c r="I483" s="1">
        <v>1200</v>
      </c>
    </row>
    <row r="484" spans="1:9" ht="12.75" x14ac:dyDescent="0.2">
      <c r="A484" s="1">
        <v>483</v>
      </c>
      <c r="B484" s="2">
        <v>45041</v>
      </c>
      <c r="C484" s="1" t="s">
        <v>496</v>
      </c>
      <c r="D484" s="1" t="s">
        <v>10</v>
      </c>
      <c r="E484" s="1">
        <v>55</v>
      </c>
      <c r="F484" s="1" t="s">
        <v>14</v>
      </c>
      <c r="G484" s="1">
        <v>1</v>
      </c>
      <c r="H484" s="1">
        <v>30</v>
      </c>
      <c r="I484" s="1">
        <v>30</v>
      </c>
    </row>
    <row r="485" spans="1:9" ht="12.75" x14ac:dyDescent="0.2">
      <c r="A485" s="1">
        <v>484</v>
      </c>
      <c r="B485" s="2">
        <v>44939</v>
      </c>
      <c r="C485" s="1" t="s">
        <v>497</v>
      </c>
      <c r="D485" s="1" t="s">
        <v>13</v>
      </c>
      <c r="E485" s="1">
        <v>19</v>
      </c>
      <c r="F485" s="1" t="s">
        <v>14</v>
      </c>
      <c r="G485" s="1">
        <v>4</v>
      </c>
      <c r="H485" s="1">
        <v>300</v>
      </c>
      <c r="I485" s="1">
        <v>1200</v>
      </c>
    </row>
    <row r="486" spans="1:9" ht="12.75" x14ac:dyDescent="0.2">
      <c r="A486" s="1">
        <v>485</v>
      </c>
      <c r="B486" s="2">
        <v>45264</v>
      </c>
      <c r="C486" s="1" t="s">
        <v>498</v>
      </c>
      <c r="D486" s="1" t="s">
        <v>10</v>
      </c>
      <c r="E486" s="1">
        <v>24</v>
      </c>
      <c r="F486" s="1" t="s">
        <v>16</v>
      </c>
      <c r="G486" s="1">
        <v>1</v>
      </c>
      <c r="H486" s="1">
        <v>30</v>
      </c>
      <c r="I486" s="1">
        <v>30</v>
      </c>
    </row>
    <row r="487" spans="1:9" ht="12.75" x14ac:dyDescent="0.2">
      <c r="A487" s="1">
        <v>486</v>
      </c>
      <c r="B487" s="2">
        <v>45025</v>
      </c>
      <c r="C487" s="1" t="s">
        <v>499</v>
      </c>
      <c r="D487" s="1" t="s">
        <v>13</v>
      </c>
      <c r="E487" s="1">
        <v>35</v>
      </c>
      <c r="F487" s="1" t="s">
        <v>16</v>
      </c>
      <c r="G487" s="1">
        <v>1</v>
      </c>
      <c r="H487" s="1">
        <v>25</v>
      </c>
      <c r="I487" s="1">
        <v>25</v>
      </c>
    </row>
    <row r="488" spans="1:9" ht="12.75" x14ac:dyDescent="0.2">
      <c r="A488" s="1">
        <v>487</v>
      </c>
      <c r="B488" s="2">
        <v>45131</v>
      </c>
      <c r="C488" s="1" t="s">
        <v>500</v>
      </c>
      <c r="D488" s="1" t="s">
        <v>10</v>
      </c>
      <c r="E488" s="1">
        <v>44</v>
      </c>
      <c r="F488" s="1" t="s">
        <v>14</v>
      </c>
      <c r="G488" s="1">
        <v>4</v>
      </c>
      <c r="H488" s="1">
        <v>500</v>
      </c>
      <c r="I488" s="1">
        <v>2000</v>
      </c>
    </row>
    <row r="489" spans="1:9" ht="12.75" x14ac:dyDescent="0.2">
      <c r="A489" s="1">
        <v>488</v>
      </c>
      <c r="B489" s="2">
        <v>45095</v>
      </c>
      <c r="C489" s="1" t="s">
        <v>501</v>
      </c>
      <c r="D489" s="1" t="s">
        <v>13</v>
      </c>
      <c r="E489" s="1">
        <v>51</v>
      </c>
      <c r="F489" s="1" t="s">
        <v>16</v>
      </c>
      <c r="G489" s="1">
        <v>3</v>
      </c>
      <c r="H489" s="1">
        <v>300</v>
      </c>
      <c r="I489" s="1">
        <v>900</v>
      </c>
    </row>
    <row r="490" spans="1:9" ht="12.75" x14ac:dyDescent="0.2">
      <c r="A490" s="1">
        <v>489</v>
      </c>
      <c r="B490" s="2">
        <v>45069</v>
      </c>
      <c r="C490" s="1" t="s">
        <v>502</v>
      </c>
      <c r="D490" s="1" t="s">
        <v>10</v>
      </c>
      <c r="E490" s="1">
        <v>44</v>
      </c>
      <c r="F490" s="1" t="s">
        <v>16</v>
      </c>
      <c r="G490" s="1">
        <v>1</v>
      </c>
      <c r="H490" s="1">
        <v>30</v>
      </c>
      <c r="I490" s="1">
        <v>30</v>
      </c>
    </row>
    <row r="491" spans="1:9" ht="12.75" x14ac:dyDescent="0.2">
      <c r="A491" s="1">
        <v>490</v>
      </c>
      <c r="B491" s="2">
        <v>44962</v>
      </c>
      <c r="C491" s="1" t="s">
        <v>503</v>
      </c>
      <c r="D491" s="1" t="s">
        <v>10</v>
      </c>
      <c r="E491" s="1">
        <v>34</v>
      </c>
      <c r="F491" s="1" t="s">
        <v>14</v>
      </c>
      <c r="G491" s="1">
        <v>3</v>
      </c>
      <c r="H491" s="1">
        <v>50</v>
      </c>
      <c r="I491" s="1">
        <v>150</v>
      </c>
    </row>
    <row r="492" spans="1:9" ht="12.75" x14ac:dyDescent="0.2">
      <c r="A492" s="1">
        <v>491</v>
      </c>
      <c r="B492" s="2">
        <v>45069</v>
      </c>
      <c r="C492" s="1" t="s">
        <v>504</v>
      </c>
      <c r="D492" s="1" t="s">
        <v>13</v>
      </c>
      <c r="E492" s="1">
        <v>60</v>
      </c>
      <c r="F492" s="1" t="s">
        <v>16</v>
      </c>
      <c r="G492" s="1">
        <v>3</v>
      </c>
      <c r="H492" s="1">
        <v>300</v>
      </c>
      <c r="I492" s="1">
        <v>900</v>
      </c>
    </row>
    <row r="493" spans="1:9" ht="12.75" x14ac:dyDescent="0.2">
      <c r="A493" s="1">
        <v>492</v>
      </c>
      <c r="B493" s="2">
        <v>45106</v>
      </c>
      <c r="C493" s="1" t="s">
        <v>505</v>
      </c>
      <c r="D493" s="1" t="s">
        <v>10</v>
      </c>
      <c r="E493" s="1">
        <v>61</v>
      </c>
      <c r="F493" s="1" t="s">
        <v>11</v>
      </c>
      <c r="G493" s="1">
        <v>4</v>
      </c>
      <c r="H493" s="1">
        <v>25</v>
      </c>
      <c r="I493" s="1">
        <v>100</v>
      </c>
    </row>
    <row r="494" spans="1:9" ht="12.75" x14ac:dyDescent="0.2">
      <c r="A494" s="1">
        <v>493</v>
      </c>
      <c r="B494" s="2">
        <v>45255</v>
      </c>
      <c r="C494" s="1" t="s">
        <v>506</v>
      </c>
      <c r="D494" s="1" t="s">
        <v>10</v>
      </c>
      <c r="E494" s="1">
        <v>41</v>
      </c>
      <c r="F494" s="1" t="s">
        <v>11</v>
      </c>
      <c r="G494" s="1">
        <v>2</v>
      </c>
      <c r="H494" s="1">
        <v>25</v>
      </c>
      <c r="I494" s="1">
        <v>50</v>
      </c>
    </row>
    <row r="495" spans="1:9" ht="12.75" x14ac:dyDescent="0.2">
      <c r="A495" s="1">
        <v>494</v>
      </c>
      <c r="B495" s="2">
        <v>45187</v>
      </c>
      <c r="C495" s="1" t="s">
        <v>507</v>
      </c>
      <c r="D495" s="1" t="s">
        <v>13</v>
      </c>
      <c r="E495" s="1">
        <v>42</v>
      </c>
      <c r="F495" s="1" t="s">
        <v>11</v>
      </c>
      <c r="G495" s="1">
        <v>4</v>
      </c>
      <c r="H495" s="1">
        <v>50</v>
      </c>
      <c r="I495" s="1">
        <v>200</v>
      </c>
    </row>
    <row r="496" spans="1:9" ht="12.75" x14ac:dyDescent="0.2">
      <c r="A496" s="1">
        <v>495</v>
      </c>
      <c r="B496" s="2">
        <v>45131</v>
      </c>
      <c r="C496" s="1" t="s">
        <v>508</v>
      </c>
      <c r="D496" s="1" t="s">
        <v>10</v>
      </c>
      <c r="E496" s="1">
        <v>24</v>
      </c>
      <c r="F496" s="1" t="s">
        <v>11</v>
      </c>
      <c r="G496" s="1">
        <v>2</v>
      </c>
      <c r="H496" s="1">
        <v>30</v>
      </c>
      <c r="I496" s="1">
        <v>60</v>
      </c>
    </row>
    <row r="497" spans="1:9" ht="12.75" x14ac:dyDescent="0.2">
      <c r="A497" s="1">
        <v>496</v>
      </c>
      <c r="B497" s="2">
        <v>45274</v>
      </c>
      <c r="C497" s="1" t="s">
        <v>509</v>
      </c>
      <c r="D497" s="1" t="s">
        <v>10</v>
      </c>
      <c r="E497" s="1">
        <v>23</v>
      </c>
      <c r="F497" s="1" t="s">
        <v>14</v>
      </c>
      <c r="G497" s="1">
        <v>2</v>
      </c>
      <c r="H497" s="1">
        <v>300</v>
      </c>
      <c r="I497" s="1">
        <v>600</v>
      </c>
    </row>
    <row r="498" spans="1:9" ht="12.75" x14ac:dyDescent="0.2">
      <c r="A498" s="1">
        <v>497</v>
      </c>
      <c r="B498" s="2">
        <v>45201</v>
      </c>
      <c r="C498" s="1" t="s">
        <v>510</v>
      </c>
      <c r="D498" s="1" t="s">
        <v>10</v>
      </c>
      <c r="E498" s="1">
        <v>41</v>
      </c>
      <c r="F498" s="1" t="s">
        <v>14</v>
      </c>
      <c r="G498" s="1">
        <v>4</v>
      </c>
      <c r="H498" s="1">
        <v>30</v>
      </c>
      <c r="I498" s="1">
        <v>120</v>
      </c>
    </row>
    <row r="499" spans="1:9" ht="12.75" x14ac:dyDescent="0.2">
      <c r="A499" s="1">
        <v>498</v>
      </c>
      <c r="B499" s="2">
        <v>45096</v>
      </c>
      <c r="C499" s="1" t="s">
        <v>511</v>
      </c>
      <c r="D499" s="1" t="s">
        <v>13</v>
      </c>
      <c r="E499" s="1">
        <v>50</v>
      </c>
      <c r="F499" s="1" t="s">
        <v>14</v>
      </c>
      <c r="G499" s="1">
        <v>4</v>
      </c>
      <c r="H499" s="1">
        <v>25</v>
      </c>
      <c r="I499" s="1">
        <v>100</v>
      </c>
    </row>
    <row r="500" spans="1:9" ht="12.75" x14ac:dyDescent="0.2">
      <c r="A500" s="1">
        <v>499</v>
      </c>
      <c r="B500" s="2">
        <v>44941</v>
      </c>
      <c r="C500" s="1" t="s">
        <v>512</v>
      </c>
      <c r="D500" s="1" t="s">
        <v>10</v>
      </c>
      <c r="E500" s="1">
        <v>46</v>
      </c>
      <c r="F500" s="1" t="s">
        <v>11</v>
      </c>
      <c r="G500" s="1">
        <v>2</v>
      </c>
      <c r="H500" s="1">
        <v>30</v>
      </c>
      <c r="I500" s="1">
        <v>60</v>
      </c>
    </row>
    <row r="501" spans="1:9" ht="12.75" x14ac:dyDescent="0.2">
      <c r="A501" s="1">
        <v>500</v>
      </c>
      <c r="B501" s="2">
        <v>44986</v>
      </c>
      <c r="C501" s="1" t="s">
        <v>513</v>
      </c>
      <c r="D501" s="1" t="s">
        <v>13</v>
      </c>
      <c r="E501" s="1">
        <v>60</v>
      </c>
      <c r="F501" s="1" t="s">
        <v>11</v>
      </c>
      <c r="G501" s="1">
        <v>4</v>
      </c>
      <c r="H501" s="1">
        <v>25</v>
      </c>
      <c r="I501" s="1">
        <v>100</v>
      </c>
    </row>
    <row r="502" spans="1:9" ht="12.75" x14ac:dyDescent="0.2">
      <c r="A502" s="1">
        <v>501</v>
      </c>
      <c r="B502" s="2">
        <v>45060</v>
      </c>
      <c r="C502" s="1" t="s">
        <v>514</v>
      </c>
      <c r="D502" s="1" t="s">
        <v>10</v>
      </c>
      <c r="E502" s="1">
        <v>39</v>
      </c>
      <c r="F502" s="1" t="s">
        <v>16</v>
      </c>
      <c r="G502" s="1">
        <v>2</v>
      </c>
      <c r="H502" s="1">
        <v>30</v>
      </c>
      <c r="I502" s="1">
        <v>60</v>
      </c>
    </row>
    <row r="503" spans="1:9" ht="12.75" x14ac:dyDescent="0.2">
      <c r="A503" s="1">
        <v>502</v>
      </c>
      <c r="B503" s="2">
        <v>45018</v>
      </c>
      <c r="C503" s="1" t="s">
        <v>515</v>
      </c>
      <c r="D503" s="1" t="s">
        <v>10</v>
      </c>
      <c r="E503" s="1">
        <v>43</v>
      </c>
      <c r="F503" s="1" t="s">
        <v>16</v>
      </c>
      <c r="G503" s="1">
        <v>3</v>
      </c>
      <c r="H503" s="1">
        <v>50</v>
      </c>
      <c r="I503" s="1">
        <v>150</v>
      </c>
    </row>
    <row r="504" spans="1:9" ht="12.75" x14ac:dyDescent="0.2">
      <c r="A504" s="1">
        <v>503</v>
      </c>
      <c r="B504" s="2">
        <v>45224</v>
      </c>
      <c r="C504" s="1" t="s">
        <v>516</v>
      </c>
      <c r="D504" s="1" t="s">
        <v>10</v>
      </c>
      <c r="E504" s="1">
        <v>45</v>
      </c>
      <c r="F504" s="1" t="s">
        <v>11</v>
      </c>
      <c r="G504" s="1">
        <v>4</v>
      </c>
      <c r="H504" s="1">
        <v>500</v>
      </c>
      <c r="I504" s="1">
        <v>2000</v>
      </c>
    </row>
    <row r="505" spans="1:9" ht="12.75" x14ac:dyDescent="0.2">
      <c r="A505" s="1">
        <v>504</v>
      </c>
      <c r="B505" s="2">
        <v>45062</v>
      </c>
      <c r="C505" s="1" t="s">
        <v>517</v>
      </c>
      <c r="D505" s="1" t="s">
        <v>13</v>
      </c>
      <c r="E505" s="1">
        <v>38</v>
      </c>
      <c r="F505" s="1" t="s">
        <v>11</v>
      </c>
      <c r="G505" s="1">
        <v>3</v>
      </c>
      <c r="H505" s="1">
        <v>50</v>
      </c>
      <c r="I505" s="1">
        <v>150</v>
      </c>
    </row>
    <row r="506" spans="1:9" ht="12.75" x14ac:dyDescent="0.2">
      <c r="A506" s="1">
        <v>505</v>
      </c>
      <c r="B506" s="2">
        <v>44946</v>
      </c>
      <c r="C506" s="1" t="s">
        <v>518</v>
      </c>
      <c r="D506" s="1" t="s">
        <v>10</v>
      </c>
      <c r="E506" s="1">
        <v>24</v>
      </c>
      <c r="F506" s="1" t="s">
        <v>11</v>
      </c>
      <c r="G506" s="1">
        <v>1</v>
      </c>
      <c r="H506" s="1">
        <v>50</v>
      </c>
      <c r="I506" s="1">
        <v>50</v>
      </c>
    </row>
    <row r="507" spans="1:9" ht="12.75" x14ac:dyDescent="0.2">
      <c r="A507" s="1">
        <v>506</v>
      </c>
      <c r="B507" s="2">
        <v>44982</v>
      </c>
      <c r="C507" s="1" t="s">
        <v>519</v>
      </c>
      <c r="D507" s="1" t="s">
        <v>10</v>
      </c>
      <c r="E507" s="1">
        <v>34</v>
      </c>
      <c r="F507" s="1" t="s">
        <v>11</v>
      </c>
      <c r="G507" s="1">
        <v>3</v>
      </c>
      <c r="H507" s="1">
        <v>500</v>
      </c>
      <c r="I507" s="1">
        <v>1500</v>
      </c>
    </row>
    <row r="508" spans="1:9" ht="12.75" x14ac:dyDescent="0.2">
      <c r="A508" s="1">
        <v>507</v>
      </c>
      <c r="B508" s="2">
        <v>45232</v>
      </c>
      <c r="C508" s="1" t="s">
        <v>520</v>
      </c>
      <c r="D508" s="1" t="s">
        <v>13</v>
      </c>
      <c r="E508" s="1">
        <v>37</v>
      </c>
      <c r="F508" s="1" t="s">
        <v>16</v>
      </c>
      <c r="G508" s="1">
        <v>3</v>
      </c>
      <c r="H508" s="1">
        <v>500</v>
      </c>
      <c r="I508" s="1">
        <v>1500</v>
      </c>
    </row>
    <row r="509" spans="1:9" ht="12.75" x14ac:dyDescent="0.2">
      <c r="A509" s="1">
        <v>508</v>
      </c>
      <c r="B509" s="2">
        <v>45149</v>
      </c>
      <c r="C509" s="1" t="s">
        <v>521</v>
      </c>
      <c r="D509" s="1" t="s">
        <v>10</v>
      </c>
      <c r="E509" s="1">
        <v>58</v>
      </c>
      <c r="F509" s="1" t="s">
        <v>11</v>
      </c>
      <c r="G509" s="1">
        <v>2</v>
      </c>
      <c r="H509" s="1">
        <v>300</v>
      </c>
      <c r="I509" s="1">
        <v>600</v>
      </c>
    </row>
    <row r="510" spans="1:9" ht="12.75" x14ac:dyDescent="0.2">
      <c r="A510" s="1">
        <v>509</v>
      </c>
      <c r="B510" s="2">
        <v>45103</v>
      </c>
      <c r="C510" s="1" t="s">
        <v>522</v>
      </c>
      <c r="D510" s="1" t="s">
        <v>13</v>
      </c>
      <c r="E510" s="1">
        <v>37</v>
      </c>
      <c r="F510" s="1" t="s">
        <v>16</v>
      </c>
      <c r="G510" s="1">
        <v>3</v>
      </c>
      <c r="H510" s="1">
        <v>300</v>
      </c>
      <c r="I510" s="1">
        <v>900</v>
      </c>
    </row>
    <row r="511" spans="1:9" ht="12.75" x14ac:dyDescent="0.2">
      <c r="A511" s="1">
        <v>510</v>
      </c>
      <c r="B511" s="2">
        <v>45087</v>
      </c>
      <c r="C511" s="1" t="s">
        <v>523</v>
      </c>
      <c r="D511" s="1" t="s">
        <v>13</v>
      </c>
      <c r="E511" s="1">
        <v>39</v>
      </c>
      <c r="F511" s="1" t="s">
        <v>11</v>
      </c>
      <c r="G511" s="1">
        <v>4</v>
      </c>
      <c r="H511" s="1">
        <v>50</v>
      </c>
      <c r="I511" s="1">
        <v>200</v>
      </c>
    </row>
    <row r="512" spans="1:9" ht="12.75" x14ac:dyDescent="0.2">
      <c r="A512" s="1">
        <v>511</v>
      </c>
      <c r="B512" s="2">
        <v>45150</v>
      </c>
      <c r="C512" s="1" t="s">
        <v>524</v>
      </c>
      <c r="D512" s="1" t="s">
        <v>10</v>
      </c>
      <c r="E512" s="1">
        <v>45</v>
      </c>
      <c r="F512" s="1" t="s">
        <v>11</v>
      </c>
      <c r="G512" s="1">
        <v>2</v>
      </c>
      <c r="H512" s="1">
        <v>50</v>
      </c>
      <c r="I512" s="1">
        <v>100</v>
      </c>
    </row>
    <row r="513" spans="1:9" ht="12.75" x14ac:dyDescent="0.2">
      <c r="A513" s="1">
        <v>512</v>
      </c>
      <c r="B513" s="2">
        <v>45237</v>
      </c>
      <c r="C513" s="1" t="s">
        <v>525</v>
      </c>
      <c r="D513" s="1" t="s">
        <v>13</v>
      </c>
      <c r="E513" s="1">
        <v>57</v>
      </c>
      <c r="F513" s="1" t="s">
        <v>11</v>
      </c>
      <c r="G513" s="1">
        <v>1</v>
      </c>
      <c r="H513" s="1">
        <v>25</v>
      </c>
      <c r="I513" s="1">
        <v>25</v>
      </c>
    </row>
    <row r="514" spans="1:9" ht="12.75" x14ac:dyDescent="0.2">
      <c r="A514" s="1">
        <v>513</v>
      </c>
      <c r="B514" s="2">
        <v>45188</v>
      </c>
      <c r="C514" s="1" t="s">
        <v>526</v>
      </c>
      <c r="D514" s="1" t="s">
        <v>10</v>
      </c>
      <c r="E514" s="1">
        <v>24</v>
      </c>
      <c r="F514" s="1" t="s">
        <v>16</v>
      </c>
      <c r="G514" s="1">
        <v>4</v>
      </c>
      <c r="H514" s="1">
        <v>25</v>
      </c>
      <c r="I514" s="1">
        <v>100</v>
      </c>
    </row>
    <row r="515" spans="1:9" ht="12.75" x14ac:dyDescent="0.2">
      <c r="A515" s="1">
        <v>514</v>
      </c>
      <c r="B515" s="2">
        <v>44986</v>
      </c>
      <c r="C515" s="1" t="s">
        <v>527</v>
      </c>
      <c r="D515" s="1" t="s">
        <v>13</v>
      </c>
      <c r="E515" s="1">
        <v>18</v>
      </c>
      <c r="F515" s="1" t="s">
        <v>16</v>
      </c>
      <c r="G515" s="1">
        <v>1</v>
      </c>
      <c r="H515" s="1">
        <v>300</v>
      </c>
      <c r="I515" s="1">
        <v>300</v>
      </c>
    </row>
    <row r="516" spans="1:9" ht="12.75" x14ac:dyDescent="0.2">
      <c r="A516" s="1">
        <v>515</v>
      </c>
      <c r="B516" s="2">
        <v>45124</v>
      </c>
      <c r="C516" s="1" t="s">
        <v>528</v>
      </c>
      <c r="D516" s="1" t="s">
        <v>13</v>
      </c>
      <c r="E516" s="1">
        <v>49</v>
      </c>
      <c r="F516" s="1" t="s">
        <v>14</v>
      </c>
      <c r="G516" s="1">
        <v>3</v>
      </c>
      <c r="H516" s="1">
        <v>300</v>
      </c>
      <c r="I516" s="1">
        <v>900</v>
      </c>
    </row>
    <row r="517" spans="1:9" ht="12.75" x14ac:dyDescent="0.2">
      <c r="A517" s="1">
        <v>516</v>
      </c>
      <c r="B517" s="2">
        <v>45222</v>
      </c>
      <c r="C517" s="1" t="s">
        <v>529</v>
      </c>
      <c r="D517" s="1" t="s">
        <v>10</v>
      </c>
      <c r="E517" s="1">
        <v>30</v>
      </c>
      <c r="F517" s="1" t="s">
        <v>11</v>
      </c>
      <c r="G517" s="1">
        <v>4</v>
      </c>
      <c r="H517" s="1">
        <v>25</v>
      </c>
      <c r="I517" s="1">
        <v>100</v>
      </c>
    </row>
    <row r="518" spans="1:9" ht="12.75" x14ac:dyDescent="0.2">
      <c r="A518" s="1">
        <v>517</v>
      </c>
      <c r="B518" s="2">
        <v>45024</v>
      </c>
      <c r="C518" s="1" t="s">
        <v>530</v>
      </c>
      <c r="D518" s="1" t="s">
        <v>13</v>
      </c>
      <c r="E518" s="1">
        <v>47</v>
      </c>
      <c r="F518" s="1" t="s">
        <v>14</v>
      </c>
      <c r="G518" s="1">
        <v>4</v>
      </c>
      <c r="H518" s="1">
        <v>25</v>
      </c>
      <c r="I518" s="1">
        <v>100</v>
      </c>
    </row>
    <row r="519" spans="1:9" ht="12.75" x14ac:dyDescent="0.2">
      <c r="A519" s="1">
        <v>518</v>
      </c>
      <c r="B519" s="2">
        <v>45057</v>
      </c>
      <c r="C519" s="1" t="s">
        <v>531</v>
      </c>
      <c r="D519" s="1" t="s">
        <v>13</v>
      </c>
      <c r="E519" s="1">
        <v>40</v>
      </c>
      <c r="F519" s="1" t="s">
        <v>14</v>
      </c>
      <c r="G519" s="1">
        <v>1</v>
      </c>
      <c r="H519" s="1">
        <v>30</v>
      </c>
      <c r="I519" s="1">
        <v>30</v>
      </c>
    </row>
    <row r="520" spans="1:9" ht="12.75" x14ac:dyDescent="0.2">
      <c r="A520" s="1">
        <v>519</v>
      </c>
      <c r="B520" s="2">
        <v>44949</v>
      </c>
      <c r="C520" s="1" t="s">
        <v>532</v>
      </c>
      <c r="D520" s="1" t="s">
        <v>13</v>
      </c>
      <c r="E520" s="1">
        <v>36</v>
      </c>
      <c r="F520" s="1" t="s">
        <v>16</v>
      </c>
      <c r="G520" s="1">
        <v>4</v>
      </c>
      <c r="H520" s="1">
        <v>30</v>
      </c>
      <c r="I520" s="1">
        <v>120</v>
      </c>
    </row>
    <row r="521" spans="1:9" ht="12.75" x14ac:dyDescent="0.2">
      <c r="A521" s="1">
        <v>520</v>
      </c>
      <c r="B521" s="2">
        <v>45289</v>
      </c>
      <c r="C521" s="1" t="s">
        <v>533</v>
      </c>
      <c r="D521" s="1" t="s">
        <v>13</v>
      </c>
      <c r="E521" s="1">
        <v>49</v>
      </c>
      <c r="F521" s="1" t="s">
        <v>16</v>
      </c>
      <c r="G521" s="1">
        <v>4</v>
      </c>
      <c r="H521" s="1">
        <v>25</v>
      </c>
      <c r="I521" s="1">
        <v>100</v>
      </c>
    </row>
    <row r="522" spans="1:9" ht="12.75" x14ac:dyDescent="0.2">
      <c r="A522" s="1">
        <v>521</v>
      </c>
      <c r="B522" s="2">
        <v>45150</v>
      </c>
      <c r="C522" s="1" t="s">
        <v>534</v>
      </c>
      <c r="D522" s="1" t="s">
        <v>13</v>
      </c>
      <c r="E522" s="1">
        <v>47</v>
      </c>
      <c r="F522" s="1" t="s">
        <v>14</v>
      </c>
      <c r="G522" s="1">
        <v>4</v>
      </c>
      <c r="H522" s="1">
        <v>30</v>
      </c>
      <c r="I522" s="1">
        <v>120</v>
      </c>
    </row>
    <row r="523" spans="1:9" ht="12.75" x14ac:dyDescent="0.2">
      <c r="A523" s="1">
        <v>522</v>
      </c>
      <c r="B523" s="2">
        <v>44927</v>
      </c>
      <c r="C523" s="1" t="s">
        <v>535</v>
      </c>
      <c r="D523" s="1" t="s">
        <v>10</v>
      </c>
      <c r="E523" s="1">
        <v>46</v>
      </c>
      <c r="F523" s="1" t="s">
        <v>11</v>
      </c>
      <c r="G523" s="1">
        <v>3</v>
      </c>
      <c r="H523" s="1">
        <v>500</v>
      </c>
      <c r="I523" s="1">
        <v>1500</v>
      </c>
    </row>
    <row r="524" spans="1:9" ht="12.75" x14ac:dyDescent="0.2">
      <c r="A524" s="1">
        <v>523</v>
      </c>
      <c r="B524" s="2">
        <v>45193</v>
      </c>
      <c r="C524" s="1" t="s">
        <v>536</v>
      </c>
      <c r="D524" s="1" t="s">
        <v>13</v>
      </c>
      <c r="E524" s="1">
        <v>62</v>
      </c>
      <c r="F524" s="1" t="s">
        <v>16</v>
      </c>
      <c r="G524" s="1">
        <v>1</v>
      </c>
      <c r="H524" s="1">
        <v>300</v>
      </c>
      <c r="I524" s="1">
        <v>300</v>
      </c>
    </row>
    <row r="525" spans="1:9" ht="12.75" x14ac:dyDescent="0.2">
      <c r="A525" s="1">
        <v>524</v>
      </c>
      <c r="B525" s="2">
        <v>45202</v>
      </c>
      <c r="C525" s="1" t="s">
        <v>537</v>
      </c>
      <c r="D525" s="1" t="s">
        <v>10</v>
      </c>
      <c r="E525" s="1">
        <v>46</v>
      </c>
      <c r="F525" s="1" t="s">
        <v>11</v>
      </c>
      <c r="G525" s="1">
        <v>4</v>
      </c>
      <c r="H525" s="1">
        <v>300</v>
      </c>
      <c r="I525" s="1">
        <v>1200</v>
      </c>
    </row>
    <row r="526" spans="1:9" ht="12.75" x14ac:dyDescent="0.2">
      <c r="A526" s="1">
        <v>525</v>
      </c>
      <c r="B526" s="2">
        <v>45278</v>
      </c>
      <c r="C526" s="1" t="s">
        <v>538</v>
      </c>
      <c r="D526" s="1" t="s">
        <v>13</v>
      </c>
      <c r="E526" s="1">
        <v>47</v>
      </c>
      <c r="F526" s="1" t="s">
        <v>11</v>
      </c>
      <c r="G526" s="1">
        <v>2</v>
      </c>
      <c r="H526" s="1">
        <v>25</v>
      </c>
      <c r="I526" s="1">
        <v>50</v>
      </c>
    </row>
    <row r="527" spans="1:9" ht="12.75" x14ac:dyDescent="0.2">
      <c r="A527" s="1">
        <v>526</v>
      </c>
      <c r="B527" s="2">
        <v>45270</v>
      </c>
      <c r="C527" s="1" t="s">
        <v>539</v>
      </c>
      <c r="D527" s="1" t="s">
        <v>10</v>
      </c>
      <c r="E527" s="1">
        <v>33</v>
      </c>
      <c r="F527" s="1" t="s">
        <v>14</v>
      </c>
      <c r="G527" s="1">
        <v>2</v>
      </c>
      <c r="H527" s="1">
        <v>50</v>
      </c>
      <c r="I527" s="1">
        <v>100</v>
      </c>
    </row>
    <row r="528" spans="1:9" ht="12.75" x14ac:dyDescent="0.2">
      <c r="A528" s="1">
        <v>527</v>
      </c>
      <c r="B528" s="2">
        <v>45027</v>
      </c>
      <c r="C528" s="1" t="s">
        <v>540</v>
      </c>
      <c r="D528" s="1" t="s">
        <v>10</v>
      </c>
      <c r="E528" s="1">
        <v>57</v>
      </c>
      <c r="F528" s="1" t="s">
        <v>14</v>
      </c>
      <c r="G528" s="1">
        <v>2</v>
      </c>
      <c r="H528" s="1">
        <v>25</v>
      </c>
      <c r="I528" s="1">
        <v>50</v>
      </c>
    </row>
    <row r="529" spans="1:9" ht="12.75" x14ac:dyDescent="0.2">
      <c r="A529" s="1">
        <v>528</v>
      </c>
      <c r="B529" s="2">
        <v>45113</v>
      </c>
      <c r="C529" s="1" t="s">
        <v>541</v>
      </c>
      <c r="D529" s="1" t="s">
        <v>13</v>
      </c>
      <c r="E529" s="1">
        <v>36</v>
      </c>
      <c r="F529" s="1" t="s">
        <v>14</v>
      </c>
      <c r="G529" s="1">
        <v>2</v>
      </c>
      <c r="H529" s="1">
        <v>30</v>
      </c>
      <c r="I529" s="1">
        <v>60</v>
      </c>
    </row>
    <row r="530" spans="1:9" ht="12.75" x14ac:dyDescent="0.2">
      <c r="A530" s="1">
        <v>529</v>
      </c>
      <c r="B530" s="2">
        <v>45147</v>
      </c>
      <c r="C530" s="1" t="s">
        <v>542</v>
      </c>
      <c r="D530" s="1" t="s">
        <v>13</v>
      </c>
      <c r="E530" s="1">
        <v>35</v>
      </c>
      <c r="F530" s="1" t="s">
        <v>14</v>
      </c>
      <c r="G530" s="1">
        <v>3</v>
      </c>
      <c r="H530" s="1">
        <v>50</v>
      </c>
      <c r="I530" s="1">
        <v>150</v>
      </c>
    </row>
    <row r="531" spans="1:9" ht="12.75" x14ac:dyDescent="0.2">
      <c r="A531" s="1">
        <v>530</v>
      </c>
      <c r="B531" s="2">
        <v>44962</v>
      </c>
      <c r="C531" s="1" t="s">
        <v>543</v>
      </c>
      <c r="D531" s="1" t="s">
        <v>13</v>
      </c>
      <c r="E531" s="1">
        <v>18</v>
      </c>
      <c r="F531" s="1" t="s">
        <v>16</v>
      </c>
      <c r="G531" s="1">
        <v>4</v>
      </c>
      <c r="H531" s="1">
        <v>30</v>
      </c>
      <c r="I531" s="1">
        <v>120</v>
      </c>
    </row>
    <row r="532" spans="1:9" ht="12.75" x14ac:dyDescent="0.2">
      <c r="A532" s="1">
        <v>531</v>
      </c>
      <c r="B532" s="2">
        <v>45267</v>
      </c>
      <c r="C532" s="1" t="s">
        <v>544</v>
      </c>
      <c r="D532" s="1" t="s">
        <v>10</v>
      </c>
      <c r="E532" s="1">
        <v>31</v>
      </c>
      <c r="F532" s="1" t="s">
        <v>16</v>
      </c>
      <c r="G532" s="1">
        <v>1</v>
      </c>
      <c r="H532" s="1">
        <v>500</v>
      </c>
      <c r="I532" s="1">
        <v>500</v>
      </c>
    </row>
    <row r="533" spans="1:9" ht="12.75" x14ac:dyDescent="0.2">
      <c r="A533" s="1">
        <v>532</v>
      </c>
      <c r="B533" s="2">
        <v>45096</v>
      </c>
      <c r="C533" s="1" t="s">
        <v>545</v>
      </c>
      <c r="D533" s="1" t="s">
        <v>13</v>
      </c>
      <c r="E533" s="1">
        <v>64</v>
      </c>
      <c r="F533" s="1" t="s">
        <v>14</v>
      </c>
      <c r="G533" s="1">
        <v>4</v>
      </c>
      <c r="H533" s="1">
        <v>30</v>
      </c>
      <c r="I533" s="1">
        <v>120</v>
      </c>
    </row>
    <row r="534" spans="1:9" ht="12.75" x14ac:dyDescent="0.2">
      <c r="A534" s="1">
        <v>533</v>
      </c>
      <c r="B534" s="2">
        <v>45246</v>
      </c>
      <c r="C534" s="1" t="s">
        <v>546</v>
      </c>
      <c r="D534" s="1" t="s">
        <v>10</v>
      </c>
      <c r="E534" s="1">
        <v>19</v>
      </c>
      <c r="F534" s="1" t="s">
        <v>16</v>
      </c>
      <c r="G534" s="1">
        <v>3</v>
      </c>
      <c r="H534" s="1">
        <v>500</v>
      </c>
      <c r="I534" s="1">
        <v>1500</v>
      </c>
    </row>
    <row r="535" spans="1:9" ht="12.75" x14ac:dyDescent="0.2">
      <c r="A535" s="1">
        <v>534</v>
      </c>
      <c r="B535" s="2">
        <v>45087</v>
      </c>
      <c r="C535" s="1" t="s">
        <v>547</v>
      </c>
      <c r="D535" s="1" t="s">
        <v>10</v>
      </c>
      <c r="E535" s="1">
        <v>45</v>
      </c>
      <c r="F535" s="1" t="s">
        <v>14</v>
      </c>
      <c r="G535" s="1">
        <v>2</v>
      </c>
      <c r="H535" s="1">
        <v>500</v>
      </c>
      <c r="I535" s="1">
        <v>1000</v>
      </c>
    </row>
    <row r="536" spans="1:9" ht="12.75" x14ac:dyDescent="0.2">
      <c r="A536" s="1">
        <v>535</v>
      </c>
      <c r="B536" s="2">
        <v>45266</v>
      </c>
      <c r="C536" s="1" t="s">
        <v>548</v>
      </c>
      <c r="D536" s="1" t="s">
        <v>10</v>
      </c>
      <c r="E536" s="1">
        <v>47</v>
      </c>
      <c r="F536" s="1" t="s">
        <v>11</v>
      </c>
      <c r="G536" s="1">
        <v>3</v>
      </c>
      <c r="H536" s="1">
        <v>30</v>
      </c>
      <c r="I536" s="1">
        <v>90</v>
      </c>
    </row>
    <row r="537" spans="1:9" ht="12.75" x14ac:dyDescent="0.2">
      <c r="A537" s="1">
        <v>536</v>
      </c>
      <c r="B537" s="2">
        <v>44990</v>
      </c>
      <c r="C537" s="1" t="s">
        <v>549</v>
      </c>
      <c r="D537" s="1" t="s">
        <v>13</v>
      </c>
      <c r="E537" s="1">
        <v>55</v>
      </c>
      <c r="F537" s="1" t="s">
        <v>11</v>
      </c>
      <c r="G537" s="1">
        <v>4</v>
      </c>
      <c r="H537" s="1">
        <v>30</v>
      </c>
      <c r="I537" s="1">
        <v>120</v>
      </c>
    </row>
    <row r="538" spans="1:9" ht="12.75" x14ac:dyDescent="0.2">
      <c r="A538" s="1">
        <v>537</v>
      </c>
      <c r="B538" s="2">
        <v>45080</v>
      </c>
      <c r="C538" s="1" t="s">
        <v>550</v>
      </c>
      <c r="D538" s="1" t="s">
        <v>13</v>
      </c>
      <c r="E538" s="1">
        <v>21</v>
      </c>
      <c r="F538" s="1" t="s">
        <v>11</v>
      </c>
      <c r="G538" s="1">
        <v>1</v>
      </c>
      <c r="H538" s="1">
        <v>500</v>
      </c>
      <c r="I538" s="1">
        <v>500</v>
      </c>
    </row>
    <row r="539" spans="1:9" ht="12.75" x14ac:dyDescent="0.2">
      <c r="A539" s="1">
        <v>538</v>
      </c>
      <c r="B539" s="2">
        <v>45186</v>
      </c>
      <c r="C539" s="1" t="s">
        <v>551</v>
      </c>
      <c r="D539" s="1" t="s">
        <v>10</v>
      </c>
      <c r="E539" s="1">
        <v>18</v>
      </c>
      <c r="F539" s="1" t="s">
        <v>14</v>
      </c>
      <c r="G539" s="1">
        <v>3</v>
      </c>
      <c r="H539" s="1">
        <v>50</v>
      </c>
      <c r="I539" s="1">
        <v>150</v>
      </c>
    </row>
    <row r="540" spans="1:9" ht="12.75" x14ac:dyDescent="0.2">
      <c r="A540" s="1">
        <v>539</v>
      </c>
      <c r="B540" s="2">
        <v>45085</v>
      </c>
      <c r="C540" s="1" t="s">
        <v>552</v>
      </c>
      <c r="D540" s="1" t="s">
        <v>10</v>
      </c>
      <c r="E540" s="1">
        <v>25</v>
      </c>
      <c r="F540" s="1" t="s">
        <v>11</v>
      </c>
      <c r="G540" s="1">
        <v>1</v>
      </c>
      <c r="H540" s="1">
        <v>500</v>
      </c>
      <c r="I540" s="1">
        <v>500</v>
      </c>
    </row>
    <row r="541" spans="1:9" ht="12.75" x14ac:dyDescent="0.2">
      <c r="A541" s="1">
        <v>540</v>
      </c>
      <c r="B541" s="2">
        <v>45268</v>
      </c>
      <c r="C541" s="1" t="s">
        <v>553</v>
      </c>
      <c r="D541" s="1" t="s">
        <v>13</v>
      </c>
      <c r="E541" s="1">
        <v>46</v>
      </c>
      <c r="F541" s="1" t="s">
        <v>16</v>
      </c>
      <c r="G541" s="1">
        <v>3</v>
      </c>
      <c r="H541" s="1">
        <v>300</v>
      </c>
      <c r="I541" s="1">
        <v>900</v>
      </c>
    </row>
    <row r="542" spans="1:9" ht="12.75" x14ac:dyDescent="0.2">
      <c r="A542" s="1">
        <v>541</v>
      </c>
      <c r="B542" s="2">
        <v>45136</v>
      </c>
      <c r="C542" s="1" t="s">
        <v>554</v>
      </c>
      <c r="D542" s="1" t="s">
        <v>10</v>
      </c>
      <c r="E542" s="1">
        <v>56</v>
      </c>
      <c r="F542" s="1" t="s">
        <v>11</v>
      </c>
      <c r="G542" s="1">
        <v>1</v>
      </c>
      <c r="H542" s="1">
        <v>500</v>
      </c>
      <c r="I542" s="1">
        <v>500</v>
      </c>
    </row>
    <row r="543" spans="1:9" ht="12.75" x14ac:dyDescent="0.2">
      <c r="A543" s="1">
        <v>542</v>
      </c>
      <c r="B543" s="2">
        <v>45094</v>
      </c>
      <c r="C543" s="1" t="s">
        <v>555</v>
      </c>
      <c r="D543" s="1" t="s">
        <v>13</v>
      </c>
      <c r="E543" s="1">
        <v>20</v>
      </c>
      <c r="F543" s="1" t="s">
        <v>11</v>
      </c>
      <c r="G543" s="1">
        <v>1</v>
      </c>
      <c r="H543" s="1">
        <v>50</v>
      </c>
      <c r="I543" s="1">
        <v>50</v>
      </c>
    </row>
    <row r="544" spans="1:9" ht="12.75" x14ac:dyDescent="0.2">
      <c r="A544" s="1">
        <v>543</v>
      </c>
      <c r="B544" s="2">
        <v>45133</v>
      </c>
      <c r="C544" s="1" t="s">
        <v>556</v>
      </c>
      <c r="D544" s="1" t="s">
        <v>10</v>
      </c>
      <c r="E544" s="1">
        <v>49</v>
      </c>
      <c r="F544" s="1" t="s">
        <v>11</v>
      </c>
      <c r="G544" s="1">
        <v>2</v>
      </c>
      <c r="H544" s="1">
        <v>300</v>
      </c>
      <c r="I544" s="1">
        <v>600</v>
      </c>
    </row>
    <row r="545" spans="1:9" ht="12.75" x14ac:dyDescent="0.2">
      <c r="A545" s="1">
        <v>544</v>
      </c>
      <c r="B545" s="2">
        <v>45283</v>
      </c>
      <c r="C545" s="1" t="s">
        <v>557</v>
      </c>
      <c r="D545" s="1" t="s">
        <v>13</v>
      </c>
      <c r="E545" s="1">
        <v>27</v>
      </c>
      <c r="F545" s="1" t="s">
        <v>16</v>
      </c>
      <c r="G545" s="1">
        <v>1</v>
      </c>
      <c r="H545" s="1">
        <v>25</v>
      </c>
      <c r="I545" s="1">
        <v>25</v>
      </c>
    </row>
    <row r="546" spans="1:9" ht="12.75" x14ac:dyDescent="0.2">
      <c r="A546" s="1">
        <v>545</v>
      </c>
      <c r="B546" s="2">
        <v>45078</v>
      </c>
      <c r="C546" s="1" t="s">
        <v>558</v>
      </c>
      <c r="D546" s="1" t="s">
        <v>10</v>
      </c>
      <c r="E546" s="1">
        <v>27</v>
      </c>
      <c r="F546" s="1" t="s">
        <v>14</v>
      </c>
      <c r="G546" s="1">
        <v>2</v>
      </c>
      <c r="H546" s="1">
        <v>25</v>
      </c>
      <c r="I546" s="1">
        <v>50</v>
      </c>
    </row>
    <row r="547" spans="1:9" ht="12.75" x14ac:dyDescent="0.2">
      <c r="A547" s="1">
        <v>546</v>
      </c>
      <c r="B547" s="2">
        <v>45210</v>
      </c>
      <c r="C547" s="1" t="s">
        <v>559</v>
      </c>
      <c r="D547" s="1" t="s">
        <v>13</v>
      </c>
      <c r="E547" s="1">
        <v>36</v>
      </c>
      <c r="F547" s="1" t="s">
        <v>16</v>
      </c>
      <c r="G547" s="1">
        <v>4</v>
      </c>
      <c r="H547" s="1">
        <v>50</v>
      </c>
      <c r="I547" s="1">
        <v>200</v>
      </c>
    </row>
    <row r="548" spans="1:9" ht="12.75" x14ac:dyDescent="0.2">
      <c r="A548" s="1">
        <v>547</v>
      </c>
      <c r="B548" s="2">
        <v>44992</v>
      </c>
      <c r="C548" s="1" t="s">
        <v>560</v>
      </c>
      <c r="D548" s="1" t="s">
        <v>10</v>
      </c>
      <c r="E548" s="1">
        <v>63</v>
      </c>
      <c r="F548" s="1" t="s">
        <v>14</v>
      </c>
      <c r="G548" s="1">
        <v>4</v>
      </c>
      <c r="H548" s="1">
        <v>500</v>
      </c>
      <c r="I548" s="1">
        <v>2000</v>
      </c>
    </row>
    <row r="549" spans="1:9" ht="12.75" x14ac:dyDescent="0.2">
      <c r="A549" s="1">
        <v>548</v>
      </c>
      <c r="B549" s="2">
        <v>45025</v>
      </c>
      <c r="C549" s="1" t="s">
        <v>561</v>
      </c>
      <c r="D549" s="1" t="s">
        <v>13</v>
      </c>
      <c r="E549" s="1">
        <v>51</v>
      </c>
      <c r="F549" s="1" t="s">
        <v>14</v>
      </c>
      <c r="G549" s="1">
        <v>2</v>
      </c>
      <c r="H549" s="1">
        <v>30</v>
      </c>
      <c r="I549" s="1">
        <v>60</v>
      </c>
    </row>
    <row r="550" spans="1:9" ht="12.75" x14ac:dyDescent="0.2">
      <c r="A550" s="1">
        <v>549</v>
      </c>
      <c r="B550" s="2">
        <v>45142</v>
      </c>
      <c r="C550" s="1" t="s">
        <v>562</v>
      </c>
      <c r="D550" s="1" t="s">
        <v>13</v>
      </c>
      <c r="E550" s="1">
        <v>50</v>
      </c>
      <c r="F550" s="1" t="s">
        <v>11</v>
      </c>
      <c r="G550" s="1">
        <v>2</v>
      </c>
      <c r="H550" s="1">
        <v>50</v>
      </c>
      <c r="I550" s="1">
        <v>100</v>
      </c>
    </row>
    <row r="551" spans="1:9" ht="12.75" x14ac:dyDescent="0.2">
      <c r="A551" s="1">
        <v>550</v>
      </c>
      <c r="B551" s="2">
        <v>45267</v>
      </c>
      <c r="C551" s="1" t="s">
        <v>563</v>
      </c>
      <c r="D551" s="1" t="s">
        <v>10</v>
      </c>
      <c r="E551" s="1">
        <v>40</v>
      </c>
      <c r="F551" s="1" t="s">
        <v>14</v>
      </c>
      <c r="G551" s="1">
        <v>3</v>
      </c>
      <c r="H551" s="1">
        <v>300</v>
      </c>
      <c r="I551" s="1">
        <v>900</v>
      </c>
    </row>
    <row r="552" spans="1:9" ht="12.75" x14ac:dyDescent="0.2">
      <c r="A552" s="1">
        <v>551</v>
      </c>
      <c r="B552" s="2">
        <v>45121</v>
      </c>
      <c r="C552" s="1" t="s">
        <v>564</v>
      </c>
      <c r="D552" s="1" t="s">
        <v>10</v>
      </c>
      <c r="E552" s="1">
        <v>45</v>
      </c>
      <c r="F552" s="1" t="s">
        <v>16</v>
      </c>
      <c r="G552" s="1">
        <v>3</v>
      </c>
      <c r="H552" s="1">
        <v>300</v>
      </c>
      <c r="I552" s="1">
        <v>900</v>
      </c>
    </row>
    <row r="553" spans="1:9" ht="12.75" x14ac:dyDescent="0.2">
      <c r="A553" s="1">
        <v>552</v>
      </c>
      <c r="B553" s="2">
        <v>45273</v>
      </c>
      <c r="C553" s="1" t="s">
        <v>565</v>
      </c>
      <c r="D553" s="1" t="s">
        <v>13</v>
      </c>
      <c r="E553" s="1">
        <v>49</v>
      </c>
      <c r="F553" s="1" t="s">
        <v>16</v>
      </c>
      <c r="G553" s="1">
        <v>3</v>
      </c>
      <c r="H553" s="1">
        <v>25</v>
      </c>
      <c r="I553" s="1">
        <v>75</v>
      </c>
    </row>
    <row r="554" spans="1:9" ht="12.75" x14ac:dyDescent="0.2">
      <c r="A554" s="1">
        <v>553</v>
      </c>
      <c r="B554" s="2">
        <v>45016</v>
      </c>
      <c r="C554" s="1" t="s">
        <v>566</v>
      </c>
      <c r="D554" s="1" t="s">
        <v>10</v>
      </c>
      <c r="E554" s="1">
        <v>24</v>
      </c>
      <c r="F554" s="1" t="s">
        <v>14</v>
      </c>
      <c r="G554" s="1">
        <v>4</v>
      </c>
      <c r="H554" s="1">
        <v>300</v>
      </c>
      <c r="I554" s="1">
        <v>1200</v>
      </c>
    </row>
    <row r="555" spans="1:9" ht="12.75" x14ac:dyDescent="0.2">
      <c r="A555" s="1">
        <v>554</v>
      </c>
      <c r="B555" s="2">
        <v>45242</v>
      </c>
      <c r="C555" s="1" t="s">
        <v>567</v>
      </c>
      <c r="D555" s="1" t="s">
        <v>13</v>
      </c>
      <c r="E555" s="1">
        <v>46</v>
      </c>
      <c r="F555" s="1" t="s">
        <v>11</v>
      </c>
      <c r="G555" s="1">
        <v>3</v>
      </c>
      <c r="H555" s="1">
        <v>50</v>
      </c>
      <c r="I555" s="1">
        <v>150</v>
      </c>
    </row>
    <row r="556" spans="1:9" ht="12.75" x14ac:dyDescent="0.2">
      <c r="A556" s="1">
        <v>555</v>
      </c>
      <c r="B556" s="2">
        <v>45218</v>
      </c>
      <c r="C556" s="1" t="s">
        <v>568</v>
      </c>
      <c r="D556" s="1" t="s">
        <v>10</v>
      </c>
      <c r="E556" s="1">
        <v>25</v>
      </c>
      <c r="F556" s="1" t="s">
        <v>11</v>
      </c>
      <c r="G556" s="1">
        <v>1</v>
      </c>
      <c r="H556" s="1">
        <v>300</v>
      </c>
      <c r="I556" s="1">
        <v>300</v>
      </c>
    </row>
    <row r="557" spans="1:9" ht="12.75" x14ac:dyDescent="0.2">
      <c r="A557" s="1">
        <v>556</v>
      </c>
      <c r="B557" s="2">
        <v>45081</v>
      </c>
      <c r="C557" s="1" t="s">
        <v>569</v>
      </c>
      <c r="D557" s="1" t="s">
        <v>13</v>
      </c>
      <c r="E557" s="1">
        <v>18</v>
      </c>
      <c r="F557" s="1" t="s">
        <v>16</v>
      </c>
      <c r="G557" s="1">
        <v>1</v>
      </c>
      <c r="H557" s="1">
        <v>50</v>
      </c>
      <c r="I557" s="1">
        <v>50</v>
      </c>
    </row>
    <row r="558" spans="1:9" ht="12.75" x14ac:dyDescent="0.2">
      <c r="A558" s="1">
        <v>557</v>
      </c>
      <c r="B558" s="2">
        <v>45134</v>
      </c>
      <c r="C558" s="1" t="s">
        <v>570</v>
      </c>
      <c r="D558" s="1" t="s">
        <v>13</v>
      </c>
      <c r="E558" s="1">
        <v>20</v>
      </c>
      <c r="F558" s="1" t="s">
        <v>11</v>
      </c>
      <c r="G558" s="1">
        <v>3</v>
      </c>
      <c r="H558" s="1">
        <v>30</v>
      </c>
      <c r="I558" s="1">
        <v>90</v>
      </c>
    </row>
    <row r="559" spans="1:9" ht="12.75" x14ac:dyDescent="0.2">
      <c r="A559" s="1">
        <v>558</v>
      </c>
      <c r="B559" s="2">
        <v>45207</v>
      </c>
      <c r="C559" s="1" t="s">
        <v>571</v>
      </c>
      <c r="D559" s="1" t="s">
        <v>13</v>
      </c>
      <c r="E559" s="1">
        <v>41</v>
      </c>
      <c r="F559" s="1" t="s">
        <v>14</v>
      </c>
      <c r="G559" s="1">
        <v>1</v>
      </c>
      <c r="H559" s="1">
        <v>25</v>
      </c>
      <c r="I559" s="1">
        <v>25</v>
      </c>
    </row>
    <row r="560" spans="1:9" ht="12.75" x14ac:dyDescent="0.2">
      <c r="A560" s="1">
        <v>559</v>
      </c>
      <c r="B560" s="2">
        <v>44927</v>
      </c>
      <c r="C560" s="1" t="s">
        <v>572</v>
      </c>
      <c r="D560" s="1" t="s">
        <v>13</v>
      </c>
      <c r="E560" s="1">
        <v>40</v>
      </c>
      <c r="F560" s="1" t="s">
        <v>14</v>
      </c>
      <c r="G560" s="1">
        <v>4</v>
      </c>
      <c r="H560" s="1">
        <v>300</v>
      </c>
      <c r="I560" s="1">
        <v>1200</v>
      </c>
    </row>
    <row r="561" spans="1:9" ht="12.75" x14ac:dyDescent="0.2">
      <c r="A561" s="1">
        <v>560</v>
      </c>
      <c r="B561" s="2">
        <v>45082</v>
      </c>
      <c r="C561" s="1" t="s">
        <v>573</v>
      </c>
      <c r="D561" s="1" t="s">
        <v>13</v>
      </c>
      <c r="E561" s="1">
        <v>25</v>
      </c>
      <c r="F561" s="1" t="s">
        <v>16</v>
      </c>
      <c r="G561" s="1">
        <v>1</v>
      </c>
      <c r="H561" s="1">
        <v>50</v>
      </c>
      <c r="I561" s="1">
        <v>50</v>
      </c>
    </row>
    <row r="562" spans="1:9" ht="12.75" x14ac:dyDescent="0.2">
      <c r="A562" s="1">
        <v>561</v>
      </c>
      <c r="B562" s="2">
        <v>45073</v>
      </c>
      <c r="C562" s="1" t="s">
        <v>574</v>
      </c>
      <c r="D562" s="1" t="s">
        <v>13</v>
      </c>
      <c r="E562" s="1">
        <v>64</v>
      </c>
      <c r="F562" s="1" t="s">
        <v>14</v>
      </c>
      <c r="G562" s="1">
        <v>4</v>
      </c>
      <c r="H562" s="1">
        <v>500</v>
      </c>
      <c r="I562" s="1">
        <v>2000</v>
      </c>
    </row>
    <row r="563" spans="1:9" ht="12.75" x14ac:dyDescent="0.2">
      <c r="A563" s="1">
        <v>562</v>
      </c>
      <c r="B563" s="2">
        <v>45034</v>
      </c>
      <c r="C563" s="1" t="s">
        <v>575</v>
      </c>
      <c r="D563" s="1" t="s">
        <v>10</v>
      </c>
      <c r="E563" s="1">
        <v>54</v>
      </c>
      <c r="F563" s="1" t="s">
        <v>16</v>
      </c>
      <c r="G563" s="1">
        <v>2</v>
      </c>
      <c r="H563" s="1">
        <v>25</v>
      </c>
      <c r="I563" s="1">
        <v>50</v>
      </c>
    </row>
    <row r="564" spans="1:9" ht="12.75" x14ac:dyDescent="0.2">
      <c r="A564" s="1">
        <v>563</v>
      </c>
      <c r="B564" s="2">
        <v>45147</v>
      </c>
      <c r="C564" s="1" t="s">
        <v>576</v>
      </c>
      <c r="D564" s="1" t="s">
        <v>10</v>
      </c>
      <c r="E564" s="1">
        <v>20</v>
      </c>
      <c r="F564" s="1" t="s">
        <v>14</v>
      </c>
      <c r="G564" s="1">
        <v>2</v>
      </c>
      <c r="H564" s="1">
        <v>30</v>
      </c>
      <c r="I564" s="1">
        <v>60</v>
      </c>
    </row>
    <row r="565" spans="1:9" ht="12.75" x14ac:dyDescent="0.2">
      <c r="A565" s="1">
        <v>564</v>
      </c>
      <c r="B565" s="2">
        <v>45223</v>
      </c>
      <c r="C565" s="1" t="s">
        <v>577</v>
      </c>
      <c r="D565" s="1" t="s">
        <v>10</v>
      </c>
      <c r="E565" s="1">
        <v>50</v>
      </c>
      <c r="F565" s="1" t="s">
        <v>16</v>
      </c>
      <c r="G565" s="1">
        <v>2</v>
      </c>
      <c r="H565" s="1">
        <v>50</v>
      </c>
      <c r="I565" s="1">
        <v>100</v>
      </c>
    </row>
    <row r="566" spans="1:9" ht="12.75" x14ac:dyDescent="0.2">
      <c r="A566" s="1">
        <v>565</v>
      </c>
      <c r="B566" s="2">
        <v>45237</v>
      </c>
      <c r="C566" s="1" t="s">
        <v>578</v>
      </c>
      <c r="D566" s="1" t="s">
        <v>13</v>
      </c>
      <c r="E566" s="1">
        <v>45</v>
      </c>
      <c r="F566" s="1" t="s">
        <v>11</v>
      </c>
      <c r="G566" s="1">
        <v>2</v>
      </c>
      <c r="H566" s="1">
        <v>30</v>
      </c>
      <c r="I566" s="1">
        <v>60</v>
      </c>
    </row>
    <row r="567" spans="1:9" ht="12.75" x14ac:dyDescent="0.2">
      <c r="A567" s="1">
        <v>566</v>
      </c>
      <c r="B567" s="2">
        <v>45262</v>
      </c>
      <c r="C567" s="1" t="s">
        <v>579</v>
      </c>
      <c r="D567" s="1" t="s">
        <v>13</v>
      </c>
      <c r="E567" s="1">
        <v>64</v>
      </c>
      <c r="F567" s="1" t="s">
        <v>14</v>
      </c>
      <c r="G567" s="1">
        <v>1</v>
      </c>
      <c r="H567" s="1">
        <v>30</v>
      </c>
      <c r="I567" s="1">
        <v>30</v>
      </c>
    </row>
    <row r="568" spans="1:9" ht="12.75" x14ac:dyDescent="0.2">
      <c r="A568" s="1">
        <v>567</v>
      </c>
      <c r="B568" s="2">
        <v>45091</v>
      </c>
      <c r="C568" s="1" t="s">
        <v>580</v>
      </c>
      <c r="D568" s="1" t="s">
        <v>13</v>
      </c>
      <c r="E568" s="1">
        <v>25</v>
      </c>
      <c r="F568" s="1" t="s">
        <v>14</v>
      </c>
      <c r="G568" s="1">
        <v>3</v>
      </c>
      <c r="H568" s="1">
        <v>300</v>
      </c>
      <c r="I568" s="1">
        <v>900</v>
      </c>
    </row>
    <row r="569" spans="1:9" ht="12.75" x14ac:dyDescent="0.2">
      <c r="A569" s="1">
        <v>568</v>
      </c>
      <c r="B569" s="2">
        <v>45165</v>
      </c>
      <c r="C569" s="1" t="s">
        <v>581</v>
      </c>
      <c r="D569" s="1" t="s">
        <v>13</v>
      </c>
      <c r="E569" s="1">
        <v>51</v>
      </c>
      <c r="F569" s="1" t="s">
        <v>16</v>
      </c>
      <c r="G569" s="1">
        <v>1</v>
      </c>
      <c r="H569" s="1">
        <v>300</v>
      </c>
      <c r="I569" s="1">
        <v>300</v>
      </c>
    </row>
    <row r="570" spans="1:9" ht="12.75" x14ac:dyDescent="0.2">
      <c r="A570" s="1">
        <v>569</v>
      </c>
      <c r="B570" s="2">
        <v>45153</v>
      </c>
      <c r="C570" s="1" t="s">
        <v>582</v>
      </c>
      <c r="D570" s="1" t="s">
        <v>10</v>
      </c>
      <c r="E570" s="1">
        <v>52</v>
      </c>
      <c r="F570" s="1" t="s">
        <v>16</v>
      </c>
      <c r="G570" s="1">
        <v>4</v>
      </c>
      <c r="H570" s="1">
        <v>50</v>
      </c>
      <c r="I570" s="1">
        <v>200</v>
      </c>
    </row>
    <row r="571" spans="1:9" ht="12.75" x14ac:dyDescent="0.2">
      <c r="A571" s="1">
        <v>570</v>
      </c>
      <c r="B571" s="2">
        <v>45153</v>
      </c>
      <c r="C571" s="1" t="s">
        <v>583</v>
      </c>
      <c r="D571" s="1" t="s">
        <v>10</v>
      </c>
      <c r="E571" s="1">
        <v>49</v>
      </c>
      <c r="F571" s="1" t="s">
        <v>14</v>
      </c>
      <c r="G571" s="1">
        <v>1</v>
      </c>
      <c r="H571" s="1">
        <v>500</v>
      </c>
      <c r="I571" s="1">
        <v>500</v>
      </c>
    </row>
    <row r="572" spans="1:9" ht="12.75" x14ac:dyDescent="0.2">
      <c r="A572" s="1">
        <v>571</v>
      </c>
      <c r="B572" s="2">
        <v>45272</v>
      </c>
      <c r="C572" s="1" t="s">
        <v>584</v>
      </c>
      <c r="D572" s="1" t="s">
        <v>13</v>
      </c>
      <c r="E572" s="1">
        <v>41</v>
      </c>
      <c r="F572" s="1" t="s">
        <v>16</v>
      </c>
      <c r="G572" s="1">
        <v>1</v>
      </c>
      <c r="H572" s="1">
        <v>50</v>
      </c>
      <c r="I572" s="1">
        <v>50</v>
      </c>
    </row>
    <row r="573" spans="1:9" ht="12.75" x14ac:dyDescent="0.2">
      <c r="A573" s="1">
        <v>572</v>
      </c>
      <c r="B573" s="2">
        <v>45036</v>
      </c>
      <c r="C573" s="1" t="s">
        <v>585</v>
      </c>
      <c r="D573" s="1" t="s">
        <v>10</v>
      </c>
      <c r="E573" s="1">
        <v>31</v>
      </c>
      <c r="F573" s="1" t="s">
        <v>14</v>
      </c>
      <c r="G573" s="1">
        <v>4</v>
      </c>
      <c r="H573" s="1">
        <v>500</v>
      </c>
      <c r="I573" s="1">
        <v>2000</v>
      </c>
    </row>
    <row r="574" spans="1:9" ht="12.75" x14ac:dyDescent="0.2">
      <c r="A574" s="1">
        <v>573</v>
      </c>
      <c r="B574" s="2">
        <v>45188</v>
      </c>
      <c r="C574" s="1" t="s">
        <v>586</v>
      </c>
      <c r="D574" s="1" t="s">
        <v>10</v>
      </c>
      <c r="E574" s="1">
        <v>49</v>
      </c>
      <c r="F574" s="1" t="s">
        <v>11</v>
      </c>
      <c r="G574" s="1">
        <v>2</v>
      </c>
      <c r="H574" s="1">
        <v>30</v>
      </c>
      <c r="I574" s="1">
        <v>60</v>
      </c>
    </row>
    <row r="575" spans="1:9" ht="12.75" x14ac:dyDescent="0.2">
      <c r="A575" s="1">
        <v>574</v>
      </c>
      <c r="B575" s="2">
        <v>45169</v>
      </c>
      <c r="C575" s="1" t="s">
        <v>587</v>
      </c>
      <c r="D575" s="1" t="s">
        <v>13</v>
      </c>
      <c r="E575" s="1">
        <v>63</v>
      </c>
      <c r="F575" s="1" t="s">
        <v>16</v>
      </c>
      <c r="G575" s="1">
        <v>2</v>
      </c>
      <c r="H575" s="1">
        <v>25</v>
      </c>
      <c r="I575" s="1">
        <v>50</v>
      </c>
    </row>
    <row r="576" spans="1:9" ht="12.75" x14ac:dyDescent="0.2">
      <c r="A576" s="1">
        <v>575</v>
      </c>
      <c r="B576" s="2">
        <v>45013</v>
      </c>
      <c r="C576" s="1" t="s">
        <v>588</v>
      </c>
      <c r="D576" s="1" t="s">
        <v>10</v>
      </c>
      <c r="E576" s="1">
        <v>60</v>
      </c>
      <c r="F576" s="1" t="s">
        <v>14</v>
      </c>
      <c r="G576" s="1">
        <v>2</v>
      </c>
      <c r="H576" s="1">
        <v>50</v>
      </c>
      <c r="I576" s="1">
        <v>100</v>
      </c>
    </row>
    <row r="577" spans="1:9" ht="12.75" x14ac:dyDescent="0.2">
      <c r="A577" s="1">
        <v>576</v>
      </c>
      <c r="B577" s="2">
        <v>45264</v>
      </c>
      <c r="C577" s="1" t="s">
        <v>589</v>
      </c>
      <c r="D577" s="1" t="s">
        <v>13</v>
      </c>
      <c r="E577" s="1">
        <v>33</v>
      </c>
      <c r="F577" s="1" t="s">
        <v>11</v>
      </c>
      <c r="G577" s="1">
        <v>3</v>
      </c>
      <c r="H577" s="1">
        <v>50</v>
      </c>
      <c r="I577" s="1">
        <v>150</v>
      </c>
    </row>
    <row r="578" spans="1:9" ht="12.75" x14ac:dyDescent="0.2">
      <c r="A578" s="1">
        <v>577</v>
      </c>
      <c r="B578" s="2">
        <v>44970</v>
      </c>
      <c r="C578" s="1" t="s">
        <v>590</v>
      </c>
      <c r="D578" s="1" t="s">
        <v>10</v>
      </c>
      <c r="E578" s="1">
        <v>21</v>
      </c>
      <c r="F578" s="1" t="s">
        <v>11</v>
      </c>
      <c r="G578" s="1">
        <v>4</v>
      </c>
      <c r="H578" s="1">
        <v>500</v>
      </c>
      <c r="I578" s="1">
        <v>2000</v>
      </c>
    </row>
    <row r="579" spans="1:9" ht="12.75" x14ac:dyDescent="0.2">
      <c r="A579" s="1">
        <v>578</v>
      </c>
      <c r="B579" s="2">
        <v>45072</v>
      </c>
      <c r="C579" s="1" t="s">
        <v>591</v>
      </c>
      <c r="D579" s="1" t="s">
        <v>13</v>
      </c>
      <c r="E579" s="1">
        <v>54</v>
      </c>
      <c r="F579" s="1" t="s">
        <v>14</v>
      </c>
      <c r="G579" s="1">
        <v>4</v>
      </c>
      <c r="H579" s="1">
        <v>30</v>
      </c>
      <c r="I579" s="1">
        <v>120</v>
      </c>
    </row>
    <row r="580" spans="1:9" ht="12.75" x14ac:dyDescent="0.2">
      <c r="A580" s="1">
        <v>579</v>
      </c>
      <c r="B580" s="2">
        <v>45190</v>
      </c>
      <c r="C580" s="1" t="s">
        <v>592</v>
      </c>
      <c r="D580" s="1" t="s">
        <v>13</v>
      </c>
      <c r="E580" s="1">
        <v>38</v>
      </c>
      <c r="F580" s="1" t="s">
        <v>16</v>
      </c>
      <c r="G580" s="1">
        <v>1</v>
      </c>
      <c r="H580" s="1">
        <v>30</v>
      </c>
      <c r="I580" s="1">
        <v>30</v>
      </c>
    </row>
    <row r="581" spans="1:9" ht="12.75" x14ac:dyDescent="0.2">
      <c r="A581" s="1">
        <v>580</v>
      </c>
      <c r="B581" s="2">
        <v>45266</v>
      </c>
      <c r="C581" s="1" t="s">
        <v>593</v>
      </c>
      <c r="D581" s="1" t="s">
        <v>13</v>
      </c>
      <c r="E581" s="1">
        <v>31</v>
      </c>
      <c r="F581" s="1" t="s">
        <v>14</v>
      </c>
      <c r="G581" s="1">
        <v>3</v>
      </c>
      <c r="H581" s="1">
        <v>500</v>
      </c>
      <c r="I581" s="1">
        <v>1500</v>
      </c>
    </row>
    <row r="582" spans="1:9" ht="12.75" x14ac:dyDescent="0.2">
      <c r="A582" s="1">
        <v>581</v>
      </c>
      <c r="B582" s="2">
        <v>45251</v>
      </c>
      <c r="C582" s="1" t="s">
        <v>594</v>
      </c>
      <c r="D582" s="1" t="s">
        <v>13</v>
      </c>
      <c r="E582" s="1">
        <v>48</v>
      </c>
      <c r="F582" s="1" t="s">
        <v>11</v>
      </c>
      <c r="G582" s="1">
        <v>2</v>
      </c>
      <c r="H582" s="1">
        <v>30</v>
      </c>
      <c r="I582" s="1">
        <v>60</v>
      </c>
    </row>
    <row r="583" spans="1:9" ht="12.75" x14ac:dyDescent="0.2">
      <c r="A583" s="1">
        <v>582</v>
      </c>
      <c r="B583" s="2">
        <v>45244</v>
      </c>
      <c r="C583" s="1" t="s">
        <v>595</v>
      </c>
      <c r="D583" s="1" t="s">
        <v>10</v>
      </c>
      <c r="E583" s="1">
        <v>35</v>
      </c>
      <c r="F583" s="1" t="s">
        <v>14</v>
      </c>
      <c r="G583" s="1">
        <v>3</v>
      </c>
      <c r="H583" s="1">
        <v>300</v>
      </c>
      <c r="I583" s="1">
        <v>900</v>
      </c>
    </row>
    <row r="584" spans="1:9" ht="12.75" x14ac:dyDescent="0.2">
      <c r="A584" s="1">
        <v>583</v>
      </c>
      <c r="B584" s="2">
        <v>45098</v>
      </c>
      <c r="C584" s="1" t="s">
        <v>596</v>
      </c>
      <c r="D584" s="1" t="s">
        <v>13</v>
      </c>
      <c r="E584" s="1">
        <v>24</v>
      </c>
      <c r="F584" s="1" t="s">
        <v>16</v>
      </c>
      <c r="G584" s="1">
        <v>4</v>
      </c>
      <c r="H584" s="1">
        <v>25</v>
      </c>
      <c r="I584" s="1">
        <v>100</v>
      </c>
    </row>
    <row r="585" spans="1:9" ht="12.75" x14ac:dyDescent="0.2">
      <c r="A585" s="1">
        <v>584</v>
      </c>
      <c r="B585" s="2">
        <v>44974</v>
      </c>
      <c r="C585" s="1" t="s">
        <v>597</v>
      </c>
      <c r="D585" s="1" t="s">
        <v>13</v>
      </c>
      <c r="E585" s="1">
        <v>27</v>
      </c>
      <c r="F585" s="1" t="s">
        <v>11</v>
      </c>
      <c r="G585" s="1">
        <v>4</v>
      </c>
      <c r="H585" s="1">
        <v>50</v>
      </c>
      <c r="I585" s="1">
        <v>200</v>
      </c>
    </row>
    <row r="586" spans="1:9" ht="12.75" x14ac:dyDescent="0.2">
      <c r="A586" s="1">
        <v>585</v>
      </c>
      <c r="B586" s="2">
        <v>45047</v>
      </c>
      <c r="C586" s="1" t="s">
        <v>598</v>
      </c>
      <c r="D586" s="1" t="s">
        <v>13</v>
      </c>
      <c r="E586" s="1">
        <v>24</v>
      </c>
      <c r="F586" s="1" t="s">
        <v>14</v>
      </c>
      <c r="G586" s="1">
        <v>1</v>
      </c>
      <c r="H586" s="1">
        <v>25</v>
      </c>
      <c r="I586" s="1">
        <v>25</v>
      </c>
    </row>
    <row r="587" spans="1:9" ht="12.75" x14ac:dyDescent="0.2">
      <c r="A587" s="1">
        <v>586</v>
      </c>
      <c r="B587" s="2">
        <v>45271</v>
      </c>
      <c r="C587" s="1" t="s">
        <v>599</v>
      </c>
      <c r="D587" s="1" t="s">
        <v>10</v>
      </c>
      <c r="E587" s="1">
        <v>50</v>
      </c>
      <c r="F587" s="1" t="s">
        <v>16</v>
      </c>
      <c r="G587" s="1">
        <v>1</v>
      </c>
      <c r="H587" s="1">
        <v>50</v>
      </c>
      <c r="I587" s="1">
        <v>50</v>
      </c>
    </row>
    <row r="588" spans="1:9" ht="12.75" x14ac:dyDescent="0.2">
      <c r="A588" s="1">
        <v>587</v>
      </c>
      <c r="B588" s="2">
        <v>45085</v>
      </c>
      <c r="C588" s="1" t="s">
        <v>600</v>
      </c>
      <c r="D588" s="1" t="s">
        <v>13</v>
      </c>
      <c r="E588" s="1">
        <v>40</v>
      </c>
      <c r="F588" s="1" t="s">
        <v>11</v>
      </c>
      <c r="G588" s="1">
        <v>4</v>
      </c>
      <c r="H588" s="1">
        <v>300</v>
      </c>
      <c r="I588" s="1">
        <v>1200</v>
      </c>
    </row>
    <row r="589" spans="1:9" ht="12.75" x14ac:dyDescent="0.2">
      <c r="A589" s="1">
        <v>588</v>
      </c>
      <c r="B589" s="2">
        <v>45042</v>
      </c>
      <c r="C589" s="1" t="s">
        <v>601</v>
      </c>
      <c r="D589" s="1" t="s">
        <v>10</v>
      </c>
      <c r="E589" s="1">
        <v>38</v>
      </c>
      <c r="F589" s="1" t="s">
        <v>16</v>
      </c>
      <c r="G589" s="1">
        <v>2</v>
      </c>
      <c r="H589" s="1">
        <v>30</v>
      </c>
      <c r="I589" s="1">
        <v>60</v>
      </c>
    </row>
    <row r="590" spans="1:9" ht="12.75" x14ac:dyDescent="0.2">
      <c r="A590" s="1">
        <v>589</v>
      </c>
      <c r="B590" s="2">
        <v>45028</v>
      </c>
      <c r="C590" s="1" t="s">
        <v>602</v>
      </c>
      <c r="D590" s="1" t="s">
        <v>13</v>
      </c>
      <c r="E590" s="1">
        <v>36</v>
      </c>
      <c r="F590" s="1" t="s">
        <v>11</v>
      </c>
      <c r="G590" s="1">
        <v>2</v>
      </c>
      <c r="H590" s="1">
        <v>500</v>
      </c>
      <c r="I590" s="1">
        <v>1000</v>
      </c>
    </row>
    <row r="591" spans="1:9" ht="12.75" x14ac:dyDescent="0.2">
      <c r="A591" s="1">
        <v>590</v>
      </c>
      <c r="B591" s="2">
        <v>45002</v>
      </c>
      <c r="C591" s="1" t="s">
        <v>603</v>
      </c>
      <c r="D591" s="1" t="s">
        <v>10</v>
      </c>
      <c r="E591" s="1">
        <v>36</v>
      </c>
      <c r="F591" s="1" t="s">
        <v>14</v>
      </c>
      <c r="G591" s="1">
        <v>3</v>
      </c>
      <c r="H591" s="1">
        <v>300</v>
      </c>
      <c r="I591" s="1">
        <v>900</v>
      </c>
    </row>
    <row r="592" spans="1:9" ht="12.75" x14ac:dyDescent="0.2">
      <c r="A592" s="1">
        <v>591</v>
      </c>
      <c r="B592" s="2">
        <v>44939</v>
      </c>
      <c r="C592" s="1" t="s">
        <v>604</v>
      </c>
      <c r="D592" s="1" t="s">
        <v>10</v>
      </c>
      <c r="E592" s="1">
        <v>53</v>
      </c>
      <c r="F592" s="1" t="s">
        <v>16</v>
      </c>
      <c r="G592" s="1">
        <v>4</v>
      </c>
      <c r="H592" s="1">
        <v>25</v>
      </c>
      <c r="I592" s="1">
        <v>100</v>
      </c>
    </row>
    <row r="593" spans="1:9" ht="12.75" x14ac:dyDescent="0.2">
      <c r="A593" s="1">
        <v>592</v>
      </c>
      <c r="B593" s="2">
        <v>44950</v>
      </c>
      <c r="C593" s="1" t="s">
        <v>605</v>
      </c>
      <c r="D593" s="1" t="s">
        <v>13</v>
      </c>
      <c r="E593" s="1">
        <v>46</v>
      </c>
      <c r="F593" s="1" t="s">
        <v>11</v>
      </c>
      <c r="G593" s="1">
        <v>4</v>
      </c>
      <c r="H593" s="1">
        <v>500</v>
      </c>
      <c r="I593" s="1">
        <v>2000</v>
      </c>
    </row>
    <row r="594" spans="1:9" ht="12.75" x14ac:dyDescent="0.2">
      <c r="A594" s="1">
        <v>593</v>
      </c>
      <c r="B594" s="2">
        <v>45052</v>
      </c>
      <c r="C594" s="1" t="s">
        <v>606</v>
      </c>
      <c r="D594" s="1" t="s">
        <v>10</v>
      </c>
      <c r="E594" s="1">
        <v>35</v>
      </c>
      <c r="F594" s="1" t="s">
        <v>16</v>
      </c>
      <c r="G594" s="1">
        <v>2</v>
      </c>
      <c r="H594" s="1">
        <v>30</v>
      </c>
      <c r="I594" s="1">
        <v>60</v>
      </c>
    </row>
    <row r="595" spans="1:9" ht="12.75" x14ac:dyDescent="0.2">
      <c r="A595" s="1">
        <v>594</v>
      </c>
      <c r="B595" s="2">
        <v>45170</v>
      </c>
      <c r="C595" s="1" t="s">
        <v>607</v>
      </c>
      <c r="D595" s="1" t="s">
        <v>13</v>
      </c>
      <c r="E595" s="1">
        <v>19</v>
      </c>
      <c r="F595" s="1" t="s">
        <v>16</v>
      </c>
      <c r="G595" s="1">
        <v>2</v>
      </c>
      <c r="H595" s="1">
        <v>300</v>
      </c>
      <c r="I595" s="1">
        <v>600</v>
      </c>
    </row>
    <row r="596" spans="1:9" ht="12.75" x14ac:dyDescent="0.2">
      <c r="A596" s="1">
        <v>595</v>
      </c>
      <c r="B596" s="2">
        <v>45239</v>
      </c>
      <c r="C596" s="1" t="s">
        <v>608</v>
      </c>
      <c r="D596" s="1" t="s">
        <v>13</v>
      </c>
      <c r="E596" s="1">
        <v>18</v>
      </c>
      <c r="F596" s="1" t="s">
        <v>14</v>
      </c>
      <c r="G596" s="1">
        <v>4</v>
      </c>
      <c r="H596" s="1">
        <v>500</v>
      </c>
      <c r="I596" s="1">
        <v>2000</v>
      </c>
    </row>
    <row r="597" spans="1:9" ht="12.75" x14ac:dyDescent="0.2">
      <c r="A597" s="1">
        <v>596</v>
      </c>
      <c r="B597" s="2">
        <v>44964</v>
      </c>
      <c r="C597" s="1" t="s">
        <v>609</v>
      </c>
      <c r="D597" s="1" t="s">
        <v>13</v>
      </c>
      <c r="E597" s="1">
        <v>64</v>
      </c>
      <c r="F597" s="1" t="s">
        <v>16</v>
      </c>
      <c r="G597" s="1">
        <v>1</v>
      </c>
      <c r="H597" s="1">
        <v>300</v>
      </c>
      <c r="I597" s="1">
        <v>300</v>
      </c>
    </row>
    <row r="598" spans="1:9" ht="12.75" x14ac:dyDescent="0.2">
      <c r="A598" s="1">
        <v>597</v>
      </c>
      <c r="B598" s="2">
        <v>45160</v>
      </c>
      <c r="C598" s="1" t="s">
        <v>610</v>
      </c>
      <c r="D598" s="1" t="s">
        <v>10</v>
      </c>
      <c r="E598" s="1">
        <v>22</v>
      </c>
      <c r="F598" s="1" t="s">
        <v>11</v>
      </c>
      <c r="G598" s="1">
        <v>4</v>
      </c>
      <c r="H598" s="1">
        <v>300</v>
      </c>
      <c r="I598" s="1">
        <v>1200</v>
      </c>
    </row>
    <row r="599" spans="1:9" ht="12.75" x14ac:dyDescent="0.2">
      <c r="A599" s="1">
        <v>598</v>
      </c>
      <c r="B599" s="2">
        <v>45139</v>
      </c>
      <c r="C599" s="1" t="s">
        <v>611</v>
      </c>
      <c r="D599" s="1" t="s">
        <v>10</v>
      </c>
      <c r="E599" s="1">
        <v>37</v>
      </c>
      <c r="F599" s="1" t="s">
        <v>11</v>
      </c>
      <c r="G599" s="1">
        <v>4</v>
      </c>
      <c r="H599" s="1">
        <v>30</v>
      </c>
      <c r="I599" s="1">
        <v>120</v>
      </c>
    </row>
    <row r="600" spans="1:9" ht="12.75" x14ac:dyDescent="0.2">
      <c r="A600" s="1">
        <v>599</v>
      </c>
      <c r="B600" s="2">
        <v>45249</v>
      </c>
      <c r="C600" s="1" t="s">
        <v>612</v>
      </c>
      <c r="D600" s="1" t="s">
        <v>13</v>
      </c>
      <c r="E600" s="1">
        <v>28</v>
      </c>
      <c r="F600" s="1" t="s">
        <v>11</v>
      </c>
      <c r="G600" s="1">
        <v>2</v>
      </c>
      <c r="H600" s="1">
        <v>50</v>
      </c>
      <c r="I600" s="1">
        <v>100</v>
      </c>
    </row>
    <row r="601" spans="1:9" ht="12.75" x14ac:dyDescent="0.2">
      <c r="A601" s="1">
        <v>600</v>
      </c>
      <c r="B601" s="2">
        <v>45221</v>
      </c>
      <c r="C601" s="1" t="s">
        <v>613</v>
      </c>
      <c r="D601" s="1" t="s">
        <v>13</v>
      </c>
      <c r="E601" s="1">
        <v>59</v>
      </c>
      <c r="F601" s="1" t="s">
        <v>11</v>
      </c>
      <c r="G601" s="1">
        <v>2</v>
      </c>
      <c r="H601" s="1">
        <v>500</v>
      </c>
      <c r="I601" s="1">
        <v>1000</v>
      </c>
    </row>
    <row r="602" spans="1:9" ht="12.75" x14ac:dyDescent="0.2">
      <c r="A602" s="1">
        <v>601</v>
      </c>
      <c r="B602" s="2">
        <v>45026</v>
      </c>
      <c r="C602" s="1" t="s">
        <v>614</v>
      </c>
      <c r="D602" s="1" t="s">
        <v>10</v>
      </c>
      <c r="E602" s="1">
        <v>19</v>
      </c>
      <c r="F602" s="1" t="s">
        <v>14</v>
      </c>
      <c r="G602" s="1">
        <v>1</v>
      </c>
      <c r="H602" s="1">
        <v>30</v>
      </c>
      <c r="I602" s="1">
        <v>30</v>
      </c>
    </row>
    <row r="603" spans="1:9" ht="12.75" x14ac:dyDescent="0.2">
      <c r="A603" s="1">
        <v>602</v>
      </c>
      <c r="B603" s="2">
        <v>45283</v>
      </c>
      <c r="C603" s="1" t="s">
        <v>615</v>
      </c>
      <c r="D603" s="1" t="s">
        <v>13</v>
      </c>
      <c r="E603" s="1">
        <v>20</v>
      </c>
      <c r="F603" s="1" t="s">
        <v>16</v>
      </c>
      <c r="G603" s="1">
        <v>1</v>
      </c>
      <c r="H603" s="1">
        <v>300</v>
      </c>
      <c r="I603" s="1">
        <v>300</v>
      </c>
    </row>
    <row r="604" spans="1:9" ht="12.75" x14ac:dyDescent="0.2">
      <c r="A604" s="1">
        <v>603</v>
      </c>
      <c r="B604" s="2">
        <v>45123</v>
      </c>
      <c r="C604" s="1" t="s">
        <v>616</v>
      </c>
      <c r="D604" s="1" t="s">
        <v>13</v>
      </c>
      <c r="E604" s="1">
        <v>40</v>
      </c>
      <c r="F604" s="1" t="s">
        <v>14</v>
      </c>
      <c r="G604" s="1">
        <v>3</v>
      </c>
      <c r="H604" s="1">
        <v>30</v>
      </c>
      <c r="I604" s="1">
        <v>90</v>
      </c>
    </row>
    <row r="605" spans="1:9" ht="12.75" x14ac:dyDescent="0.2">
      <c r="A605" s="1">
        <v>604</v>
      </c>
      <c r="B605" s="2">
        <v>45180</v>
      </c>
      <c r="C605" s="1" t="s">
        <v>617</v>
      </c>
      <c r="D605" s="1" t="s">
        <v>13</v>
      </c>
      <c r="E605" s="1">
        <v>29</v>
      </c>
      <c r="F605" s="1" t="s">
        <v>16</v>
      </c>
      <c r="G605" s="1">
        <v>4</v>
      </c>
      <c r="H605" s="1">
        <v>50</v>
      </c>
      <c r="I605" s="1">
        <v>200</v>
      </c>
    </row>
    <row r="606" spans="1:9" ht="12.75" x14ac:dyDescent="0.2">
      <c r="A606" s="1">
        <v>605</v>
      </c>
      <c r="B606" s="2">
        <v>45131</v>
      </c>
      <c r="C606" s="1" t="s">
        <v>618</v>
      </c>
      <c r="D606" s="1" t="s">
        <v>10</v>
      </c>
      <c r="E606" s="1">
        <v>37</v>
      </c>
      <c r="F606" s="1" t="s">
        <v>16</v>
      </c>
      <c r="G606" s="1">
        <v>2</v>
      </c>
      <c r="H606" s="1">
        <v>500</v>
      </c>
      <c r="I606" s="1">
        <v>1000</v>
      </c>
    </row>
    <row r="607" spans="1:9" ht="12.75" x14ac:dyDescent="0.2">
      <c r="A607" s="1">
        <v>606</v>
      </c>
      <c r="B607" s="2">
        <v>45051</v>
      </c>
      <c r="C607" s="1" t="s">
        <v>619</v>
      </c>
      <c r="D607" s="1" t="s">
        <v>10</v>
      </c>
      <c r="E607" s="1">
        <v>22</v>
      </c>
      <c r="F607" s="1" t="s">
        <v>16</v>
      </c>
      <c r="G607" s="1">
        <v>1</v>
      </c>
      <c r="H607" s="1">
        <v>50</v>
      </c>
      <c r="I607" s="1">
        <v>50</v>
      </c>
    </row>
    <row r="608" spans="1:9" ht="12.75" x14ac:dyDescent="0.2">
      <c r="A608" s="1">
        <v>607</v>
      </c>
      <c r="B608" s="2">
        <v>45002</v>
      </c>
      <c r="C608" s="1" t="s">
        <v>620</v>
      </c>
      <c r="D608" s="1" t="s">
        <v>10</v>
      </c>
      <c r="E608" s="1">
        <v>54</v>
      </c>
      <c r="F608" s="1" t="s">
        <v>14</v>
      </c>
      <c r="G608" s="1">
        <v>3</v>
      </c>
      <c r="H608" s="1">
        <v>25</v>
      </c>
      <c r="I608" s="1">
        <v>75</v>
      </c>
    </row>
    <row r="609" spans="1:9" ht="12.75" x14ac:dyDescent="0.2">
      <c r="A609" s="1">
        <v>608</v>
      </c>
      <c r="B609" s="2">
        <v>45262</v>
      </c>
      <c r="C609" s="1" t="s">
        <v>621</v>
      </c>
      <c r="D609" s="1" t="s">
        <v>13</v>
      </c>
      <c r="E609" s="1">
        <v>55</v>
      </c>
      <c r="F609" s="1" t="s">
        <v>16</v>
      </c>
      <c r="G609" s="1">
        <v>3</v>
      </c>
      <c r="H609" s="1">
        <v>500</v>
      </c>
      <c r="I609" s="1">
        <v>1500</v>
      </c>
    </row>
    <row r="610" spans="1:9" ht="12.75" x14ac:dyDescent="0.2">
      <c r="A610" s="1">
        <v>609</v>
      </c>
      <c r="B610" s="2">
        <v>45279</v>
      </c>
      <c r="C610" s="1" t="s">
        <v>622</v>
      </c>
      <c r="D610" s="1" t="s">
        <v>13</v>
      </c>
      <c r="E610" s="1">
        <v>47</v>
      </c>
      <c r="F610" s="1" t="s">
        <v>14</v>
      </c>
      <c r="G610" s="1">
        <v>2</v>
      </c>
      <c r="H610" s="1">
        <v>50</v>
      </c>
      <c r="I610" s="1">
        <v>100</v>
      </c>
    </row>
    <row r="611" spans="1:9" ht="12.75" x14ac:dyDescent="0.2">
      <c r="A611" s="1">
        <v>610</v>
      </c>
      <c r="B611" s="2">
        <v>44929</v>
      </c>
      <c r="C611" s="1" t="s">
        <v>623</v>
      </c>
      <c r="D611" s="1" t="s">
        <v>13</v>
      </c>
      <c r="E611" s="1">
        <v>26</v>
      </c>
      <c r="F611" s="1" t="s">
        <v>11</v>
      </c>
      <c r="G611" s="1">
        <v>2</v>
      </c>
      <c r="H611" s="1">
        <v>300</v>
      </c>
      <c r="I611" s="1">
        <v>600</v>
      </c>
    </row>
    <row r="612" spans="1:9" ht="12.75" x14ac:dyDescent="0.2">
      <c r="A612" s="1">
        <v>611</v>
      </c>
      <c r="B612" s="2">
        <v>44981</v>
      </c>
      <c r="C612" s="1" t="s">
        <v>624</v>
      </c>
      <c r="D612" s="1" t="s">
        <v>10</v>
      </c>
      <c r="E612" s="1">
        <v>51</v>
      </c>
      <c r="F612" s="1" t="s">
        <v>11</v>
      </c>
      <c r="G612" s="1">
        <v>3</v>
      </c>
      <c r="H612" s="1">
        <v>500</v>
      </c>
      <c r="I612" s="1">
        <v>1500</v>
      </c>
    </row>
    <row r="613" spans="1:9" ht="12.75" x14ac:dyDescent="0.2">
      <c r="A613" s="1">
        <v>612</v>
      </c>
      <c r="B613" s="2">
        <v>45144</v>
      </c>
      <c r="C613" s="1" t="s">
        <v>625</v>
      </c>
      <c r="D613" s="1" t="s">
        <v>13</v>
      </c>
      <c r="E613" s="1">
        <v>61</v>
      </c>
      <c r="F613" s="1" t="s">
        <v>16</v>
      </c>
      <c r="G613" s="1">
        <v>1</v>
      </c>
      <c r="H613" s="1">
        <v>500</v>
      </c>
      <c r="I613" s="1">
        <v>500</v>
      </c>
    </row>
    <row r="614" spans="1:9" ht="12.75" x14ac:dyDescent="0.2">
      <c r="A614" s="1">
        <v>613</v>
      </c>
      <c r="B614" s="2">
        <v>45039</v>
      </c>
      <c r="C614" s="1" t="s">
        <v>626</v>
      </c>
      <c r="D614" s="1" t="s">
        <v>13</v>
      </c>
      <c r="E614" s="1">
        <v>52</v>
      </c>
      <c r="F614" s="1" t="s">
        <v>14</v>
      </c>
      <c r="G614" s="1">
        <v>3</v>
      </c>
      <c r="H614" s="1">
        <v>30</v>
      </c>
      <c r="I614" s="1">
        <v>90</v>
      </c>
    </row>
    <row r="615" spans="1:9" ht="12.75" x14ac:dyDescent="0.2">
      <c r="A615" s="1">
        <v>614</v>
      </c>
      <c r="B615" s="2">
        <v>45017</v>
      </c>
      <c r="C615" s="1" t="s">
        <v>627</v>
      </c>
      <c r="D615" s="1" t="s">
        <v>13</v>
      </c>
      <c r="E615" s="1">
        <v>39</v>
      </c>
      <c r="F615" s="1" t="s">
        <v>11</v>
      </c>
      <c r="G615" s="1">
        <v>4</v>
      </c>
      <c r="H615" s="1">
        <v>300</v>
      </c>
      <c r="I615" s="1">
        <v>1200</v>
      </c>
    </row>
    <row r="616" spans="1:9" ht="12.75" x14ac:dyDescent="0.2">
      <c r="A616" s="1">
        <v>615</v>
      </c>
      <c r="B616" s="2">
        <v>45283</v>
      </c>
      <c r="C616" s="1" t="s">
        <v>628</v>
      </c>
      <c r="D616" s="1" t="s">
        <v>13</v>
      </c>
      <c r="E616" s="1">
        <v>61</v>
      </c>
      <c r="F616" s="1" t="s">
        <v>14</v>
      </c>
      <c r="G616" s="1">
        <v>4</v>
      </c>
      <c r="H616" s="1">
        <v>25</v>
      </c>
      <c r="I616" s="1">
        <v>100</v>
      </c>
    </row>
    <row r="617" spans="1:9" ht="12.75" x14ac:dyDescent="0.2">
      <c r="A617" s="1">
        <v>616</v>
      </c>
      <c r="B617" s="2">
        <v>45192</v>
      </c>
      <c r="C617" s="1" t="s">
        <v>629</v>
      </c>
      <c r="D617" s="1" t="s">
        <v>10</v>
      </c>
      <c r="E617" s="1">
        <v>41</v>
      </c>
      <c r="F617" s="1" t="s">
        <v>14</v>
      </c>
      <c r="G617" s="1">
        <v>2</v>
      </c>
      <c r="H617" s="1">
        <v>50</v>
      </c>
      <c r="I617" s="1">
        <v>100</v>
      </c>
    </row>
    <row r="618" spans="1:9" ht="12.75" x14ac:dyDescent="0.2">
      <c r="A618" s="1">
        <v>617</v>
      </c>
      <c r="B618" s="2">
        <v>45164</v>
      </c>
      <c r="C618" s="1" t="s">
        <v>630</v>
      </c>
      <c r="D618" s="1" t="s">
        <v>10</v>
      </c>
      <c r="E618" s="1">
        <v>34</v>
      </c>
      <c r="F618" s="1" t="s">
        <v>16</v>
      </c>
      <c r="G618" s="1">
        <v>1</v>
      </c>
      <c r="H618" s="1">
        <v>30</v>
      </c>
      <c r="I618" s="1">
        <v>30</v>
      </c>
    </row>
    <row r="619" spans="1:9" ht="12.75" x14ac:dyDescent="0.2">
      <c r="A619" s="1">
        <v>618</v>
      </c>
      <c r="B619" s="2">
        <v>44952</v>
      </c>
      <c r="C619" s="1" t="s">
        <v>631</v>
      </c>
      <c r="D619" s="1" t="s">
        <v>13</v>
      </c>
      <c r="E619" s="1">
        <v>27</v>
      </c>
      <c r="F619" s="1" t="s">
        <v>11</v>
      </c>
      <c r="G619" s="1">
        <v>1</v>
      </c>
      <c r="H619" s="1">
        <v>50</v>
      </c>
      <c r="I619" s="1">
        <v>50</v>
      </c>
    </row>
    <row r="620" spans="1:9" ht="12.75" x14ac:dyDescent="0.2">
      <c r="A620" s="1">
        <v>619</v>
      </c>
      <c r="B620" s="2">
        <v>45212</v>
      </c>
      <c r="C620" s="1" t="s">
        <v>632</v>
      </c>
      <c r="D620" s="1" t="s">
        <v>10</v>
      </c>
      <c r="E620" s="1">
        <v>47</v>
      </c>
      <c r="F620" s="1" t="s">
        <v>16</v>
      </c>
      <c r="G620" s="1">
        <v>4</v>
      </c>
      <c r="H620" s="1">
        <v>25</v>
      </c>
      <c r="I620" s="1">
        <v>100</v>
      </c>
    </row>
    <row r="621" spans="1:9" ht="12.75" x14ac:dyDescent="0.2">
      <c r="A621" s="1">
        <v>620</v>
      </c>
      <c r="B621" s="2">
        <v>45054</v>
      </c>
      <c r="C621" s="1" t="s">
        <v>633</v>
      </c>
      <c r="D621" s="1" t="s">
        <v>10</v>
      </c>
      <c r="E621" s="1">
        <v>63</v>
      </c>
      <c r="F621" s="1" t="s">
        <v>16</v>
      </c>
      <c r="G621" s="1">
        <v>3</v>
      </c>
      <c r="H621" s="1">
        <v>25</v>
      </c>
      <c r="I621" s="1">
        <v>75</v>
      </c>
    </row>
    <row r="622" spans="1:9" ht="12.75" x14ac:dyDescent="0.2">
      <c r="A622" s="1">
        <v>621</v>
      </c>
      <c r="B622" s="2">
        <v>44989</v>
      </c>
      <c r="C622" s="1" t="s">
        <v>634</v>
      </c>
      <c r="D622" s="1" t="s">
        <v>13</v>
      </c>
      <c r="E622" s="1">
        <v>40</v>
      </c>
      <c r="F622" s="1" t="s">
        <v>11</v>
      </c>
      <c r="G622" s="1">
        <v>2</v>
      </c>
      <c r="H622" s="1">
        <v>500</v>
      </c>
      <c r="I622" s="1">
        <v>1000</v>
      </c>
    </row>
    <row r="623" spans="1:9" ht="12.75" x14ac:dyDescent="0.2">
      <c r="A623" s="1">
        <v>622</v>
      </c>
      <c r="B623" s="2">
        <v>45160</v>
      </c>
      <c r="C623" s="1" t="s">
        <v>635</v>
      </c>
      <c r="D623" s="1" t="s">
        <v>13</v>
      </c>
      <c r="E623" s="1">
        <v>49</v>
      </c>
      <c r="F623" s="1" t="s">
        <v>11</v>
      </c>
      <c r="G623" s="1">
        <v>3</v>
      </c>
      <c r="H623" s="1">
        <v>25</v>
      </c>
      <c r="I623" s="1">
        <v>75</v>
      </c>
    </row>
    <row r="624" spans="1:9" ht="12.75" x14ac:dyDescent="0.2">
      <c r="A624" s="1">
        <v>623</v>
      </c>
      <c r="B624" s="2">
        <v>44995</v>
      </c>
      <c r="C624" s="1" t="s">
        <v>636</v>
      </c>
      <c r="D624" s="1" t="s">
        <v>10</v>
      </c>
      <c r="E624" s="1">
        <v>34</v>
      </c>
      <c r="F624" s="1" t="s">
        <v>14</v>
      </c>
      <c r="G624" s="1">
        <v>3</v>
      </c>
      <c r="H624" s="1">
        <v>50</v>
      </c>
      <c r="I624" s="1">
        <v>150</v>
      </c>
    </row>
    <row r="625" spans="1:9" ht="12.75" x14ac:dyDescent="0.2">
      <c r="A625" s="1">
        <v>624</v>
      </c>
      <c r="B625" s="2">
        <v>45164</v>
      </c>
      <c r="C625" s="1" t="s">
        <v>637</v>
      </c>
      <c r="D625" s="1" t="s">
        <v>13</v>
      </c>
      <c r="E625" s="1">
        <v>34</v>
      </c>
      <c r="F625" s="1" t="s">
        <v>11</v>
      </c>
      <c r="G625" s="1">
        <v>3</v>
      </c>
      <c r="H625" s="1">
        <v>300</v>
      </c>
      <c r="I625" s="1">
        <v>900</v>
      </c>
    </row>
    <row r="626" spans="1:9" ht="12.75" x14ac:dyDescent="0.2">
      <c r="A626" s="1">
        <v>625</v>
      </c>
      <c r="B626" s="2">
        <v>45268</v>
      </c>
      <c r="C626" s="1" t="s">
        <v>638</v>
      </c>
      <c r="D626" s="1" t="s">
        <v>10</v>
      </c>
      <c r="E626" s="1">
        <v>31</v>
      </c>
      <c r="F626" s="1" t="s">
        <v>14</v>
      </c>
      <c r="G626" s="1">
        <v>1</v>
      </c>
      <c r="H626" s="1">
        <v>300</v>
      </c>
      <c r="I626" s="1">
        <v>300</v>
      </c>
    </row>
    <row r="627" spans="1:9" ht="12.75" x14ac:dyDescent="0.2">
      <c r="A627" s="1">
        <v>626</v>
      </c>
      <c r="B627" s="2">
        <v>45198</v>
      </c>
      <c r="C627" s="1" t="s">
        <v>639</v>
      </c>
      <c r="D627" s="1" t="s">
        <v>13</v>
      </c>
      <c r="E627" s="1">
        <v>26</v>
      </c>
      <c r="F627" s="1" t="s">
        <v>14</v>
      </c>
      <c r="G627" s="1">
        <v>4</v>
      </c>
      <c r="H627" s="1">
        <v>500</v>
      </c>
      <c r="I627" s="1">
        <v>2000</v>
      </c>
    </row>
    <row r="628" spans="1:9" ht="12.75" x14ac:dyDescent="0.2">
      <c r="A628" s="1">
        <v>627</v>
      </c>
      <c r="B628" s="2">
        <v>45213</v>
      </c>
      <c r="C628" s="1" t="s">
        <v>640</v>
      </c>
      <c r="D628" s="1" t="s">
        <v>10</v>
      </c>
      <c r="E628" s="1">
        <v>57</v>
      </c>
      <c r="F628" s="1" t="s">
        <v>14</v>
      </c>
      <c r="G628" s="1">
        <v>1</v>
      </c>
      <c r="H628" s="1">
        <v>50</v>
      </c>
      <c r="I628" s="1">
        <v>50</v>
      </c>
    </row>
    <row r="629" spans="1:9" ht="12.75" x14ac:dyDescent="0.2">
      <c r="A629" s="1">
        <v>628</v>
      </c>
      <c r="B629" s="2">
        <v>45231</v>
      </c>
      <c r="C629" s="1" t="s">
        <v>641</v>
      </c>
      <c r="D629" s="1" t="s">
        <v>13</v>
      </c>
      <c r="E629" s="1">
        <v>19</v>
      </c>
      <c r="F629" s="1" t="s">
        <v>11</v>
      </c>
      <c r="G629" s="1">
        <v>4</v>
      </c>
      <c r="H629" s="1">
        <v>50</v>
      </c>
      <c r="I629" s="1">
        <v>200</v>
      </c>
    </row>
    <row r="630" spans="1:9" ht="12.75" x14ac:dyDescent="0.2">
      <c r="A630" s="1">
        <v>629</v>
      </c>
      <c r="B630" s="2">
        <v>45089</v>
      </c>
      <c r="C630" s="1" t="s">
        <v>642</v>
      </c>
      <c r="D630" s="1" t="s">
        <v>10</v>
      </c>
      <c r="E630" s="1">
        <v>62</v>
      </c>
      <c r="F630" s="1" t="s">
        <v>16</v>
      </c>
      <c r="G630" s="1">
        <v>2</v>
      </c>
      <c r="H630" s="1">
        <v>25</v>
      </c>
      <c r="I630" s="1">
        <v>50</v>
      </c>
    </row>
    <row r="631" spans="1:9" ht="12.75" x14ac:dyDescent="0.2">
      <c r="A631" s="1">
        <v>630</v>
      </c>
      <c r="B631" s="2">
        <v>45153</v>
      </c>
      <c r="C631" s="1" t="s">
        <v>643</v>
      </c>
      <c r="D631" s="1" t="s">
        <v>10</v>
      </c>
      <c r="E631" s="1">
        <v>42</v>
      </c>
      <c r="F631" s="1" t="s">
        <v>14</v>
      </c>
      <c r="G631" s="1">
        <v>2</v>
      </c>
      <c r="H631" s="1">
        <v>50</v>
      </c>
      <c r="I631" s="1">
        <v>100</v>
      </c>
    </row>
    <row r="632" spans="1:9" ht="12.75" x14ac:dyDescent="0.2">
      <c r="A632" s="1">
        <v>631</v>
      </c>
      <c r="B632" s="2">
        <v>45240</v>
      </c>
      <c r="C632" s="1" t="s">
        <v>644</v>
      </c>
      <c r="D632" s="1" t="s">
        <v>10</v>
      </c>
      <c r="E632" s="1">
        <v>56</v>
      </c>
      <c r="F632" s="1" t="s">
        <v>16</v>
      </c>
      <c r="G632" s="1">
        <v>3</v>
      </c>
      <c r="H632" s="1">
        <v>30</v>
      </c>
      <c r="I632" s="1">
        <v>90</v>
      </c>
    </row>
    <row r="633" spans="1:9" ht="12.75" x14ac:dyDescent="0.2">
      <c r="A633" s="1">
        <v>632</v>
      </c>
      <c r="B633" s="2">
        <v>45185</v>
      </c>
      <c r="C633" s="1" t="s">
        <v>645</v>
      </c>
      <c r="D633" s="1" t="s">
        <v>13</v>
      </c>
      <c r="E633" s="1">
        <v>26</v>
      </c>
      <c r="F633" s="1" t="s">
        <v>16</v>
      </c>
      <c r="G633" s="1">
        <v>4</v>
      </c>
      <c r="H633" s="1">
        <v>25</v>
      </c>
      <c r="I633" s="1">
        <v>100</v>
      </c>
    </row>
    <row r="634" spans="1:9" ht="12.75" x14ac:dyDescent="0.2">
      <c r="A634" s="1">
        <v>633</v>
      </c>
      <c r="B634" s="2">
        <v>45145</v>
      </c>
      <c r="C634" s="1" t="s">
        <v>646</v>
      </c>
      <c r="D634" s="1" t="s">
        <v>10</v>
      </c>
      <c r="E634" s="1">
        <v>39</v>
      </c>
      <c r="F634" s="1" t="s">
        <v>11</v>
      </c>
      <c r="G634" s="1">
        <v>4</v>
      </c>
      <c r="H634" s="1">
        <v>30</v>
      </c>
      <c r="I634" s="1">
        <v>120</v>
      </c>
    </row>
    <row r="635" spans="1:9" ht="12.75" x14ac:dyDescent="0.2">
      <c r="A635" s="1">
        <v>634</v>
      </c>
      <c r="B635" s="2">
        <v>45207</v>
      </c>
      <c r="C635" s="1" t="s">
        <v>647</v>
      </c>
      <c r="D635" s="1" t="s">
        <v>10</v>
      </c>
      <c r="E635" s="1">
        <v>60</v>
      </c>
      <c r="F635" s="1" t="s">
        <v>16</v>
      </c>
      <c r="G635" s="1">
        <v>4</v>
      </c>
      <c r="H635" s="1">
        <v>500</v>
      </c>
      <c r="I635" s="1">
        <v>2000</v>
      </c>
    </row>
    <row r="636" spans="1:9" ht="12.75" x14ac:dyDescent="0.2">
      <c r="A636" s="1">
        <v>635</v>
      </c>
      <c r="B636" s="2">
        <v>45155</v>
      </c>
      <c r="C636" s="1" t="s">
        <v>648</v>
      </c>
      <c r="D636" s="1" t="s">
        <v>13</v>
      </c>
      <c r="E636" s="1">
        <v>63</v>
      </c>
      <c r="F636" s="1" t="s">
        <v>16</v>
      </c>
      <c r="G636" s="1">
        <v>3</v>
      </c>
      <c r="H636" s="1">
        <v>300</v>
      </c>
      <c r="I636" s="1">
        <v>900</v>
      </c>
    </row>
    <row r="637" spans="1:9" ht="12.75" x14ac:dyDescent="0.2">
      <c r="A637" s="1">
        <v>636</v>
      </c>
      <c r="B637" s="2">
        <v>45008</v>
      </c>
      <c r="C637" s="1" t="s">
        <v>649</v>
      </c>
      <c r="D637" s="1" t="s">
        <v>13</v>
      </c>
      <c r="E637" s="1">
        <v>21</v>
      </c>
      <c r="F637" s="1" t="s">
        <v>11</v>
      </c>
      <c r="G637" s="1">
        <v>3</v>
      </c>
      <c r="H637" s="1">
        <v>500</v>
      </c>
      <c r="I637" s="1">
        <v>1500</v>
      </c>
    </row>
    <row r="638" spans="1:9" ht="12.75" x14ac:dyDescent="0.2">
      <c r="A638" s="1">
        <v>637</v>
      </c>
      <c r="B638" s="2">
        <v>45170</v>
      </c>
      <c r="C638" s="1" t="s">
        <v>650</v>
      </c>
      <c r="D638" s="1" t="s">
        <v>10</v>
      </c>
      <c r="E638" s="1">
        <v>43</v>
      </c>
      <c r="F638" s="1" t="s">
        <v>14</v>
      </c>
      <c r="G638" s="1">
        <v>2</v>
      </c>
      <c r="H638" s="1">
        <v>300</v>
      </c>
      <c r="I638" s="1">
        <v>600</v>
      </c>
    </row>
    <row r="639" spans="1:9" ht="12.75" x14ac:dyDescent="0.2">
      <c r="A639" s="1">
        <v>638</v>
      </c>
      <c r="B639" s="2">
        <v>45157</v>
      </c>
      <c r="C639" s="1" t="s">
        <v>651</v>
      </c>
      <c r="D639" s="1" t="s">
        <v>10</v>
      </c>
      <c r="E639" s="1">
        <v>46</v>
      </c>
      <c r="F639" s="1" t="s">
        <v>16</v>
      </c>
      <c r="G639" s="1">
        <v>1</v>
      </c>
      <c r="H639" s="1">
        <v>500</v>
      </c>
      <c r="I639" s="1">
        <v>500</v>
      </c>
    </row>
    <row r="640" spans="1:9" ht="12.75" x14ac:dyDescent="0.2">
      <c r="A640" s="1">
        <v>639</v>
      </c>
      <c r="B640" s="2">
        <v>45059</v>
      </c>
      <c r="C640" s="1" t="s">
        <v>652</v>
      </c>
      <c r="D640" s="1" t="s">
        <v>13</v>
      </c>
      <c r="E640" s="1">
        <v>62</v>
      </c>
      <c r="F640" s="1" t="s">
        <v>11</v>
      </c>
      <c r="G640" s="1">
        <v>4</v>
      </c>
      <c r="H640" s="1">
        <v>50</v>
      </c>
      <c r="I640" s="1">
        <v>200</v>
      </c>
    </row>
    <row r="641" spans="1:9" ht="12.75" x14ac:dyDescent="0.2">
      <c r="A641" s="1">
        <v>640</v>
      </c>
      <c r="B641" s="2">
        <v>45053</v>
      </c>
      <c r="C641" s="1" t="s">
        <v>653</v>
      </c>
      <c r="D641" s="1" t="s">
        <v>13</v>
      </c>
      <c r="E641" s="1">
        <v>51</v>
      </c>
      <c r="F641" s="1" t="s">
        <v>16</v>
      </c>
      <c r="G641" s="1">
        <v>4</v>
      </c>
      <c r="H641" s="1">
        <v>30</v>
      </c>
      <c r="I641" s="1">
        <v>120</v>
      </c>
    </row>
    <row r="642" spans="1:9" ht="12.75" x14ac:dyDescent="0.2">
      <c r="A642" s="1">
        <v>641</v>
      </c>
      <c r="B642" s="2">
        <v>45253</v>
      </c>
      <c r="C642" s="1" t="s">
        <v>654</v>
      </c>
      <c r="D642" s="1" t="s">
        <v>13</v>
      </c>
      <c r="E642" s="1">
        <v>40</v>
      </c>
      <c r="F642" s="1" t="s">
        <v>16</v>
      </c>
      <c r="G642" s="1">
        <v>1</v>
      </c>
      <c r="H642" s="1">
        <v>300</v>
      </c>
      <c r="I642" s="1">
        <v>300</v>
      </c>
    </row>
    <row r="643" spans="1:9" ht="12.75" x14ac:dyDescent="0.2">
      <c r="A643" s="1">
        <v>642</v>
      </c>
      <c r="B643" s="2">
        <v>45068</v>
      </c>
      <c r="C643" s="1" t="s">
        <v>655</v>
      </c>
      <c r="D643" s="1" t="s">
        <v>13</v>
      </c>
      <c r="E643" s="1">
        <v>54</v>
      </c>
      <c r="F643" s="1" t="s">
        <v>14</v>
      </c>
      <c r="G643" s="1">
        <v>4</v>
      </c>
      <c r="H643" s="1">
        <v>25</v>
      </c>
      <c r="I643" s="1">
        <v>100</v>
      </c>
    </row>
    <row r="644" spans="1:9" ht="12.75" x14ac:dyDescent="0.2">
      <c r="A644" s="1">
        <v>643</v>
      </c>
      <c r="B644" s="2">
        <v>45193</v>
      </c>
      <c r="C644" s="1" t="s">
        <v>656</v>
      </c>
      <c r="D644" s="1" t="s">
        <v>13</v>
      </c>
      <c r="E644" s="1">
        <v>28</v>
      </c>
      <c r="F644" s="1" t="s">
        <v>16</v>
      </c>
      <c r="G644" s="1">
        <v>3</v>
      </c>
      <c r="H644" s="1">
        <v>30</v>
      </c>
      <c r="I644" s="1">
        <v>90</v>
      </c>
    </row>
    <row r="645" spans="1:9" ht="12.75" x14ac:dyDescent="0.2">
      <c r="A645" s="1">
        <v>644</v>
      </c>
      <c r="B645" s="2">
        <v>45175</v>
      </c>
      <c r="C645" s="1" t="s">
        <v>657</v>
      </c>
      <c r="D645" s="1" t="s">
        <v>10</v>
      </c>
      <c r="E645" s="1">
        <v>23</v>
      </c>
      <c r="F645" s="1" t="s">
        <v>11</v>
      </c>
      <c r="G645" s="1">
        <v>3</v>
      </c>
      <c r="H645" s="1">
        <v>25</v>
      </c>
      <c r="I645" s="1">
        <v>75</v>
      </c>
    </row>
    <row r="646" spans="1:9" ht="12.75" x14ac:dyDescent="0.2">
      <c r="A646" s="1">
        <v>645</v>
      </c>
      <c r="B646" s="2">
        <v>45247</v>
      </c>
      <c r="C646" s="1" t="s">
        <v>658</v>
      </c>
      <c r="D646" s="1" t="s">
        <v>13</v>
      </c>
      <c r="E646" s="1">
        <v>35</v>
      </c>
      <c r="F646" s="1" t="s">
        <v>16</v>
      </c>
      <c r="G646" s="1">
        <v>4</v>
      </c>
      <c r="H646" s="1">
        <v>30</v>
      </c>
      <c r="I646" s="1">
        <v>120</v>
      </c>
    </row>
    <row r="647" spans="1:9" ht="12.75" x14ac:dyDescent="0.2">
      <c r="A647" s="1">
        <v>646</v>
      </c>
      <c r="B647" s="2">
        <v>45049</v>
      </c>
      <c r="C647" s="1" t="s">
        <v>659</v>
      </c>
      <c r="D647" s="1" t="s">
        <v>10</v>
      </c>
      <c r="E647" s="1">
        <v>38</v>
      </c>
      <c r="F647" s="1" t="s">
        <v>14</v>
      </c>
      <c r="G647" s="1">
        <v>3</v>
      </c>
      <c r="H647" s="1">
        <v>30</v>
      </c>
      <c r="I647" s="1">
        <v>90</v>
      </c>
    </row>
    <row r="648" spans="1:9" ht="12.75" x14ac:dyDescent="0.2">
      <c r="A648" s="1">
        <v>647</v>
      </c>
      <c r="B648" s="2">
        <v>45067</v>
      </c>
      <c r="C648" s="1" t="s">
        <v>660</v>
      </c>
      <c r="D648" s="1" t="s">
        <v>10</v>
      </c>
      <c r="E648" s="1">
        <v>59</v>
      </c>
      <c r="F648" s="1" t="s">
        <v>14</v>
      </c>
      <c r="G648" s="1">
        <v>3</v>
      </c>
      <c r="H648" s="1">
        <v>500</v>
      </c>
      <c r="I648" s="1">
        <v>1500</v>
      </c>
    </row>
    <row r="649" spans="1:9" ht="12.75" x14ac:dyDescent="0.2">
      <c r="A649" s="1">
        <v>648</v>
      </c>
      <c r="B649" s="2">
        <v>45152</v>
      </c>
      <c r="C649" s="1" t="s">
        <v>661</v>
      </c>
      <c r="D649" s="1" t="s">
        <v>10</v>
      </c>
      <c r="E649" s="1">
        <v>53</v>
      </c>
      <c r="F649" s="1" t="s">
        <v>11</v>
      </c>
      <c r="G649" s="1">
        <v>4</v>
      </c>
      <c r="H649" s="1">
        <v>300</v>
      </c>
      <c r="I649" s="1">
        <v>1200</v>
      </c>
    </row>
    <row r="650" spans="1:9" ht="12.75" x14ac:dyDescent="0.2">
      <c r="A650" s="1">
        <v>649</v>
      </c>
      <c r="B650" s="2">
        <v>44966</v>
      </c>
      <c r="C650" s="1" t="s">
        <v>662</v>
      </c>
      <c r="D650" s="1" t="s">
        <v>13</v>
      </c>
      <c r="E650" s="1">
        <v>58</v>
      </c>
      <c r="F650" s="1" t="s">
        <v>14</v>
      </c>
      <c r="G650" s="1">
        <v>2</v>
      </c>
      <c r="H650" s="1">
        <v>300</v>
      </c>
      <c r="I650" s="1">
        <v>600</v>
      </c>
    </row>
    <row r="651" spans="1:9" ht="12.75" x14ac:dyDescent="0.2">
      <c r="A651" s="1">
        <v>650</v>
      </c>
      <c r="B651" s="2">
        <v>45292</v>
      </c>
      <c r="C651" s="1" t="s">
        <v>663</v>
      </c>
      <c r="D651" s="1" t="s">
        <v>10</v>
      </c>
      <c r="E651" s="1">
        <v>55</v>
      </c>
      <c r="F651" s="1" t="s">
        <v>16</v>
      </c>
      <c r="G651" s="1">
        <v>1</v>
      </c>
      <c r="H651" s="1">
        <v>30</v>
      </c>
      <c r="I651" s="1">
        <v>30</v>
      </c>
    </row>
    <row r="652" spans="1:9" ht="12.75" x14ac:dyDescent="0.2">
      <c r="A652" s="1">
        <v>651</v>
      </c>
      <c r="B652" s="2">
        <v>45073</v>
      </c>
      <c r="C652" s="1" t="s">
        <v>664</v>
      </c>
      <c r="D652" s="1" t="s">
        <v>10</v>
      </c>
      <c r="E652" s="1">
        <v>51</v>
      </c>
      <c r="F652" s="1" t="s">
        <v>14</v>
      </c>
      <c r="G652" s="1">
        <v>3</v>
      </c>
      <c r="H652" s="1">
        <v>50</v>
      </c>
      <c r="I652" s="1">
        <v>150</v>
      </c>
    </row>
    <row r="653" spans="1:9" ht="12.75" x14ac:dyDescent="0.2">
      <c r="A653" s="1">
        <v>652</v>
      </c>
      <c r="B653" s="2">
        <v>45047</v>
      </c>
      <c r="C653" s="1" t="s">
        <v>665</v>
      </c>
      <c r="D653" s="1" t="s">
        <v>13</v>
      </c>
      <c r="E653" s="1">
        <v>34</v>
      </c>
      <c r="F653" s="1" t="s">
        <v>11</v>
      </c>
      <c r="G653" s="1">
        <v>2</v>
      </c>
      <c r="H653" s="1">
        <v>50</v>
      </c>
      <c r="I653" s="1">
        <v>100</v>
      </c>
    </row>
    <row r="654" spans="1:9" ht="12.75" x14ac:dyDescent="0.2">
      <c r="A654" s="1">
        <v>653</v>
      </c>
      <c r="B654" s="2">
        <v>45066</v>
      </c>
      <c r="C654" s="1" t="s">
        <v>666</v>
      </c>
      <c r="D654" s="1" t="s">
        <v>10</v>
      </c>
      <c r="E654" s="1">
        <v>54</v>
      </c>
      <c r="F654" s="1" t="s">
        <v>14</v>
      </c>
      <c r="G654" s="1">
        <v>3</v>
      </c>
      <c r="H654" s="1">
        <v>25</v>
      </c>
      <c r="I654" s="1">
        <v>75</v>
      </c>
    </row>
    <row r="655" spans="1:9" ht="12.75" x14ac:dyDescent="0.2">
      <c r="A655" s="1">
        <v>654</v>
      </c>
      <c r="B655" s="2">
        <v>45098</v>
      </c>
      <c r="C655" s="1" t="s">
        <v>667</v>
      </c>
      <c r="D655" s="1" t="s">
        <v>10</v>
      </c>
      <c r="E655" s="1">
        <v>42</v>
      </c>
      <c r="F655" s="1" t="s">
        <v>14</v>
      </c>
      <c r="G655" s="1">
        <v>3</v>
      </c>
      <c r="H655" s="1">
        <v>25</v>
      </c>
      <c r="I655" s="1">
        <v>75</v>
      </c>
    </row>
    <row r="656" spans="1:9" ht="12.75" x14ac:dyDescent="0.2">
      <c r="A656" s="1">
        <v>655</v>
      </c>
      <c r="B656" s="2">
        <v>45090</v>
      </c>
      <c r="C656" s="1" t="s">
        <v>668</v>
      </c>
      <c r="D656" s="1" t="s">
        <v>13</v>
      </c>
      <c r="E656" s="1">
        <v>55</v>
      </c>
      <c r="F656" s="1" t="s">
        <v>14</v>
      </c>
      <c r="G656" s="1">
        <v>1</v>
      </c>
      <c r="H656" s="1">
        <v>500</v>
      </c>
      <c r="I656" s="1">
        <v>500</v>
      </c>
    </row>
    <row r="657" spans="1:9" ht="12.75" x14ac:dyDescent="0.2">
      <c r="A657" s="1">
        <v>656</v>
      </c>
      <c r="B657" s="2">
        <v>45203</v>
      </c>
      <c r="C657" s="1" t="s">
        <v>669</v>
      </c>
      <c r="D657" s="1" t="s">
        <v>10</v>
      </c>
      <c r="E657" s="1">
        <v>29</v>
      </c>
      <c r="F657" s="1" t="s">
        <v>11</v>
      </c>
      <c r="G657" s="1">
        <v>3</v>
      </c>
      <c r="H657" s="1">
        <v>30</v>
      </c>
      <c r="I657" s="1">
        <v>90</v>
      </c>
    </row>
    <row r="658" spans="1:9" ht="12.75" x14ac:dyDescent="0.2">
      <c r="A658" s="1">
        <v>657</v>
      </c>
      <c r="B658" s="2">
        <v>44968</v>
      </c>
      <c r="C658" s="1" t="s">
        <v>670</v>
      </c>
      <c r="D658" s="1" t="s">
        <v>10</v>
      </c>
      <c r="E658" s="1">
        <v>40</v>
      </c>
      <c r="F658" s="1" t="s">
        <v>14</v>
      </c>
      <c r="G658" s="1">
        <v>1</v>
      </c>
      <c r="H658" s="1">
        <v>25</v>
      </c>
      <c r="I658" s="1">
        <v>25</v>
      </c>
    </row>
    <row r="659" spans="1:9" ht="12.75" x14ac:dyDescent="0.2">
      <c r="A659" s="1">
        <v>658</v>
      </c>
      <c r="B659" s="2">
        <v>44997</v>
      </c>
      <c r="C659" s="1" t="s">
        <v>671</v>
      </c>
      <c r="D659" s="1" t="s">
        <v>10</v>
      </c>
      <c r="E659" s="1">
        <v>59</v>
      </c>
      <c r="F659" s="1" t="s">
        <v>14</v>
      </c>
      <c r="G659" s="1">
        <v>1</v>
      </c>
      <c r="H659" s="1">
        <v>25</v>
      </c>
      <c r="I659" s="1">
        <v>25</v>
      </c>
    </row>
    <row r="660" spans="1:9" ht="12.75" x14ac:dyDescent="0.2">
      <c r="A660" s="1">
        <v>659</v>
      </c>
      <c r="B660" s="2">
        <v>45004</v>
      </c>
      <c r="C660" s="1" t="s">
        <v>672</v>
      </c>
      <c r="D660" s="1" t="s">
        <v>13</v>
      </c>
      <c r="E660" s="1">
        <v>39</v>
      </c>
      <c r="F660" s="1" t="s">
        <v>16</v>
      </c>
      <c r="G660" s="1">
        <v>1</v>
      </c>
      <c r="H660" s="1">
        <v>30</v>
      </c>
      <c r="I660" s="1">
        <v>30</v>
      </c>
    </row>
    <row r="661" spans="1:9" ht="12.75" x14ac:dyDescent="0.2">
      <c r="A661" s="1">
        <v>660</v>
      </c>
      <c r="B661" s="2">
        <v>45045</v>
      </c>
      <c r="C661" s="1" t="s">
        <v>673</v>
      </c>
      <c r="D661" s="1" t="s">
        <v>13</v>
      </c>
      <c r="E661" s="1">
        <v>38</v>
      </c>
      <c r="F661" s="1" t="s">
        <v>11</v>
      </c>
      <c r="G661" s="1">
        <v>2</v>
      </c>
      <c r="H661" s="1">
        <v>500</v>
      </c>
      <c r="I661" s="1">
        <v>1000</v>
      </c>
    </row>
    <row r="662" spans="1:9" ht="12.75" x14ac:dyDescent="0.2">
      <c r="A662" s="1">
        <v>661</v>
      </c>
      <c r="B662" s="2">
        <v>45123</v>
      </c>
      <c r="C662" s="1" t="s">
        <v>674</v>
      </c>
      <c r="D662" s="1" t="s">
        <v>13</v>
      </c>
      <c r="E662" s="1">
        <v>44</v>
      </c>
      <c r="F662" s="1" t="s">
        <v>14</v>
      </c>
      <c r="G662" s="1">
        <v>4</v>
      </c>
      <c r="H662" s="1">
        <v>25</v>
      </c>
      <c r="I662" s="1">
        <v>100</v>
      </c>
    </row>
    <row r="663" spans="1:9" ht="12.75" x14ac:dyDescent="0.2">
      <c r="A663" s="1">
        <v>662</v>
      </c>
      <c r="B663" s="2">
        <v>45282</v>
      </c>
      <c r="C663" s="1" t="s">
        <v>675</v>
      </c>
      <c r="D663" s="1" t="s">
        <v>10</v>
      </c>
      <c r="E663" s="1">
        <v>48</v>
      </c>
      <c r="F663" s="1" t="s">
        <v>11</v>
      </c>
      <c r="G663" s="1">
        <v>2</v>
      </c>
      <c r="H663" s="1">
        <v>500</v>
      </c>
      <c r="I663" s="1">
        <v>1000</v>
      </c>
    </row>
    <row r="664" spans="1:9" ht="12.75" x14ac:dyDescent="0.2">
      <c r="A664" s="1">
        <v>663</v>
      </c>
      <c r="B664" s="2">
        <v>45005</v>
      </c>
      <c r="C664" s="1" t="s">
        <v>676</v>
      </c>
      <c r="D664" s="1" t="s">
        <v>10</v>
      </c>
      <c r="E664" s="1">
        <v>23</v>
      </c>
      <c r="F664" s="1" t="s">
        <v>14</v>
      </c>
      <c r="G664" s="1">
        <v>4</v>
      </c>
      <c r="H664" s="1">
        <v>300</v>
      </c>
      <c r="I664" s="1">
        <v>1200</v>
      </c>
    </row>
    <row r="665" spans="1:9" ht="12.75" x14ac:dyDescent="0.2">
      <c r="A665" s="1">
        <v>664</v>
      </c>
      <c r="B665" s="2">
        <v>45288</v>
      </c>
      <c r="C665" s="1" t="s">
        <v>677</v>
      </c>
      <c r="D665" s="1" t="s">
        <v>13</v>
      </c>
      <c r="E665" s="1">
        <v>44</v>
      </c>
      <c r="F665" s="1" t="s">
        <v>14</v>
      </c>
      <c r="G665" s="1">
        <v>4</v>
      </c>
      <c r="H665" s="1">
        <v>500</v>
      </c>
      <c r="I665" s="1">
        <v>2000</v>
      </c>
    </row>
    <row r="666" spans="1:9" ht="12.75" x14ac:dyDescent="0.2">
      <c r="A666" s="1">
        <v>665</v>
      </c>
      <c r="B666" s="2">
        <v>45036</v>
      </c>
      <c r="C666" s="1" t="s">
        <v>678</v>
      </c>
      <c r="D666" s="1" t="s">
        <v>10</v>
      </c>
      <c r="E666" s="1">
        <v>57</v>
      </c>
      <c r="F666" s="1" t="s">
        <v>14</v>
      </c>
      <c r="G666" s="1">
        <v>1</v>
      </c>
      <c r="H666" s="1">
        <v>50</v>
      </c>
      <c r="I666" s="1">
        <v>50</v>
      </c>
    </row>
    <row r="667" spans="1:9" ht="12.75" x14ac:dyDescent="0.2">
      <c r="A667" s="1">
        <v>666</v>
      </c>
      <c r="B667" s="2">
        <v>44959</v>
      </c>
      <c r="C667" s="1" t="s">
        <v>679</v>
      </c>
      <c r="D667" s="1" t="s">
        <v>10</v>
      </c>
      <c r="E667" s="1">
        <v>51</v>
      </c>
      <c r="F667" s="1" t="s">
        <v>16</v>
      </c>
      <c r="G667" s="1">
        <v>3</v>
      </c>
      <c r="H667" s="1">
        <v>50</v>
      </c>
      <c r="I667" s="1">
        <v>150</v>
      </c>
    </row>
    <row r="668" spans="1:9" ht="12.75" x14ac:dyDescent="0.2">
      <c r="A668" s="1">
        <v>667</v>
      </c>
      <c r="B668" s="2">
        <v>45139</v>
      </c>
      <c r="C668" s="1" t="s">
        <v>680</v>
      </c>
      <c r="D668" s="1" t="s">
        <v>13</v>
      </c>
      <c r="E668" s="1">
        <v>29</v>
      </c>
      <c r="F668" s="1" t="s">
        <v>16</v>
      </c>
      <c r="G668" s="1">
        <v>1</v>
      </c>
      <c r="H668" s="1">
        <v>500</v>
      </c>
      <c r="I668" s="1">
        <v>500</v>
      </c>
    </row>
    <row r="669" spans="1:9" ht="12.75" x14ac:dyDescent="0.2">
      <c r="A669" s="1">
        <v>668</v>
      </c>
      <c r="B669" s="2">
        <v>45135</v>
      </c>
      <c r="C669" s="1" t="s">
        <v>681</v>
      </c>
      <c r="D669" s="1" t="s">
        <v>13</v>
      </c>
      <c r="E669" s="1">
        <v>62</v>
      </c>
      <c r="F669" s="1" t="s">
        <v>16</v>
      </c>
      <c r="G669" s="1">
        <v>3</v>
      </c>
      <c r="H669" s="1">
        <v>50</v>
      </c>
      <c r="I669" s="1">
        <v>150</v>
      </c>
    </row>
    <row r="670" spans="1:9" ht="12.75" x14ac:dyDescent="0.2">
      <c r="A670" s="1">
        <v>669</v>
      </c>
      <c r="B670" s="2">
        <v>45096</v>
      </c>
      <c r="C670" s="1" t="s">
        <v>682</v>
      </c>
      <c r="D670" s="1" t="s">
        <v>10</v>
      </c>
      <c r="E670" s="1">
        <v>24</v>
      </c>
      <c r="F670" s="1" t="s">
        <v>11</v>
      </c>
      <c r="G670" s="1">
        <v>4</v>
      </c>
      <c r="H670" s="1">
        <v>300</v>
      </c>
      <c r="I670" s="1">
        <v>1200</v>
      </c>
    </row>
    <row r="671" spans="1:9" ht="12.75" x14ac:dyDescent="0.2">
      <c r="A671" s="1">
        <v>670</v>
      </c>
      <c r="B671" s="2">
        <v>45204</v>
      </c>
      <c r="C671" s="1" t="s">
        <v>683</v>
      </c>
      <c r="D671" s="1" t="s">
        <v>10</v>
      </c>
      <c r="E671" s="1">
        <v>27</v>
      </c>
      <c r="F671" s="1" t="s">
        <v>11</v>
      </c>
      <c r="G671" s="1">
        <v>1</v>
      </c>
      <c r="H671" s="1">
        <v>30</v>
      </c>
      <c r="I671" s="1">
        <v>30</v>
      </c>
    </row>
    <row r="672" spans="1:9" ht="12.75" x14ac:dyDescent="0.2">
      <c r="A672" s="1">
        <v>671</v>
      </c>
      <c r="B672" s="2">
        <v>45165</v>
      </c>
      <c r="C672" s="1" t="s">
        <v>684</v>
      </c>
      <c r="D672" s="1" t="s">
        <v>10</v>
      </c>
      <c r="E672" s="1">
        <v>62</v>
      </c>
      <c r="F672" s="1" t="s">
        <v>16</v>
      </c>
      <c r="G672" s="1">
        <v>3</v>
      </c>
      <c r="H672" s="1">
        <v>50</v>
      </c>
      <c r="I672" s="1">
        <v>150</v>
      </c>
    </row>
    <row r="673" spans="1:9" ht="12.75" x14ac:dyDescent="0.2">
      <c r="A673" s="1">
        <v>672</v>
      </c>
      <c r="B673" s="2">
        <v>45139</v>
      </c>
      <c r="C673" s="1" t="s">
        <v>685</v>
      </c>
      <c r="D673" s="1" t="s">
        <v>13</v>
      </c>
      <c r="E673" s="1">
        <v>34</v>
      </c>
      <c r="F673" s="1" t="s">
        <v>11</v>
      </c>
      <c r="G673" s="1">
        <v>2</v>
      </c>
      <c r="H673" s="1">
        <v>50</v>
      </c>
      <c r="I673" s="1">
        <v>100</v>
      </c>
    </row>
    <row r="674" spans="1:9" ht="12.75" x14ac:dyDescent="0.2">
      <c r="A674" s="1">
        <v>673</v>
      </c>
      <c r="B674" s="2">
        <v>44958</v>
      </c>
      <c r="C674" s="1" t="s">
        <v>686</v>
      </c>
      <c r="D674" s="1" t="s">
        <v>13</v>
      </c>
      <c r="E674" s="1">
        <v>43</v>
      </c>
      <c r="F674" s="1" t="s">
        <v>14</v>
      </c>
      <c r="G674" s="1">
        <v>3</v>
      </c>
      <c r="H674" s="1">
        <v>500</v>
      </c>
      <c r="I674" s="1">
        <v>1500</v>
      </c>
    </row>
    <row r="675" spans="1:9" ht="12.75" x14ac:dyDescent="0.2">
      <c r="A675" s="1">
        <v>674</v>
      </c>
      <c r="B675" s="2">
        <v>45032</v>
      </c>
      <c r="C675" s="1" t="s">
        <v>687</v>
      </c>
      <c r="D675" s="1" t="s">
        <v>13</v>
      </c>
      <c r="E675" s="1">
        <v>38</v>
      </c>
      <c r="F675" s="1" t="s">
        <v>14</v>
      </c>
      <c r="G675" s="1">
        <v>1</v>
      </c>
      <c r="H675" s="1">
        <v>300</v>
      </c>
      <c r="I675" s="1">
        <v>300</v>
      </c>
    </row>
    <row r="676" spans="1:9" ht="12.75" x14ac:dyDescent="0.2">
      <c r="A676" s="1">
        <v>675</v>
      </c>
      <c r="B676" s="2">
        <v>45142</v>
      </c>
      <c r="C676" s="1" t="s">
        <v>688</v>
      </c>
      <c r="D676" s="1" t="s">
        <v>13</v>
      </c>
      <c r="E676" s="1">
        <v>45</v>
      </c>
      <c r="F676" s="1" t="s">
        <v>14</v>
      </c>
      <c r="G676" s="1">
        <v>2</v>
      </c>
      <c r="H676" s="1">
        <v>30</v>
      </c>
      <c r="I676" s="1">
        <v>60</v>
      </c>
    </row>
    <row r="677" spans="1:9" ht="12.75" x14ac:dyDescent="0.2">
      <c r="A677" s="1">
        <v>676</v>
      </c>
      <c r="B677" s="2">
        <v>45126</v>
      </c>
      <c r="C677" s="1" t="s">
        <v>689</v>
      </c>
      <c r="D677" s="1" t="s">
        <v>10</v>
      </c>
      <c r="E677" s="1">
        <v>63</v>
      </c>
      <c r="F677" s="1" t="s">
        <v>16</v>
      </c>
      <c r="G677" s="1">
        <v>3</v>
      </c>
      <c r="H677" s="1">
        <v>500</v>
      </c>
      <c r="I677" s="1">
        <v>1500</v>
      </c>
    </row>
    <row r="678" spans="1:9" ht="12.75" x14ac:dyDescent="0.2">
      <c r="A678" s="1">
        <v>677</v>
      </c>
      <c r="B678" s="2">
        <v>45226</v>
      </c>
      <c r="C678" s="1" t="s">
        <v>690</v>
      </c>
      <c r="D678" s="1" t="s">
        <v>13</v>
      </c>
      <c r="E678" s="1">
        <v>19</v>
      </c>
      <c r="F678" s="1" t="s">
        <v>11</v>
      </c>
      <c r="G678" s="1">
        <v>3</v>
      </c>
      <c r="H678" s="1">
        <v>500</v>
      </c>
      <c r="I678" s="1">
        <v>1500</v>
      </c>
    </row>
    <row r="679" spans="1:9" ht="12.75" x14ac:dyDescent="0.2">
      <c r="A679" s="1">
        <v>678</v>
      </c>
      <c r="B679" s="2">
        <v>45283</v>
      </c>
      <c r="C679" s="1" t="s">
        <v>691</v>
      </c>
      <c r="D679" s="1" t="s">
        <v>13</v>
      </c>
      <c r="E679" s="1">
        <v>60</v>
      </c>
      <c r="F679" s="1" t="s">
        <v>16</v>
      </c>
      <c r="G679" s="1">
        <v>3</v>
      </c>
      <c r="H679" s="1">
        <v>300</v>
      </c>
      <c r="I679" s="1">
        <v>900</v>
      </c>
    </row>
    <row r="680" spans="1:9" ht="12.75" x14ac:dyDescent="0.2">
      <c r="A680" s="1">
        <v>679</v>
      </c>
      <c r="B680" s="2">
        <v>44937</v>
      </c>
      <c r="C680" s="1" t="s">
        <v>692</v>
      </c>
      <c r="D680" s="1" t="s">
        <v>13</v>
      </c>
      <c r="E680" s="1">
        <v>18</v>
      </c>
      <c r="F680" s="1" t="s">
        <v>11</v>
      </c>
      <c r="G680" s="1">
        <v>3</v>
      </c>
      <c r="H680" s="1">
        <v>30</v>
      </c>
      <c r="I680" s="1">
        <v>90</v>
      </c>
    </row>
    <row r="681" spans="1:9" ht="12.75" x14ac:dyDescent="0.2">
      <c r="A681" s="1">
        <v>680</v>
      </c>
      <c r="B681" s="2">
        <v>45221</v>
      </c>
      <c r="C681" s="1" t="s">
        <v>693</v>
      </c>
      <c r="D681" s="1" t="s">
        <v>13</v>
      </c>
      <c r="E681" s="1">
        <v>53</v>
      </c>
      <c r="F681" s="1" t="s">
        <v>14</v>
      </c>
      <c r="G681" s="1">
        <v>3</v>
      </c>
      <c r="H681" s="1">
        <v>300</v>
      </c>
      <c r="I681" s="1">
        <v>900</v>
      </c>
    </row>
    <row r="682" spans="1:9" ht="12.75" x14ac:dyDescent="0.2">
      <c r="A682" s="1">
        <v>681</v>
      </c>
      <c r="B682" s="2">
        <v>45121</v>
      </c>
      <c r="C682" s="1" t="s">
        <v>694</v>
      </c>
      <c r="D682" s="1" t="s">
        <v>13</v>
      </c>
      <c r="E682" s="1">
        <v>43</v>
      </c>
      <c r="F682" s="1" t="s">
        <v>16</v>
      </c>
      <c r="G682" s="1">
        <v>2</v>
      </c>
      <c r="H682" s="1">
        <v>30</v>
      </c>
      <c r="I682" s="1">
        <v>60</v>
      </c>
    </row>
    <row r="683" spans="1:9" ht="12.75" x14ac:dyDescent="0.2">
      <c r="A683" s="1">
        <v>682</v>
      </c>
      <c r="B683" s="2">
        <v>45171</v>
      </c>
      <c r="C683" s="1" t="s">
        <v>695</v>
      </c>
      <c r="D683" s="1" t="s">
        <v>10</v>
      </c>
      <c r="E683" s="1">
        <v>46</v>
      </c>
      <c r="F683" s="1" t="s">
        <v>11</v>
      </c>
      <c r="G683" s="1">
        <v>4</v>
      </c>
      <c r="H683" s="1">
        <v>300</v>
      </c>
      <c r="I683" s="1">
        <v>1200</v>
      </c>
    </row>
    <row r="684" spans="1:9" ht="12.75" x14ac:dyDescent="0.2">
      <c r="A684" s="1">
        <v>683</v>
      </c>
      <c r="B684" s="2">
        <v>44930</v>
      </c>
      <c r="C684" s="1" t="s">
        <v>696</v>
      </c>
      <c r="D684" s="1" t="s">
        <v>10</v>
      </c>
      <c r="E684" s="1">
        <v>38</v>
      </c>
      <c r="F684" s="1" t="s">
        <v>11</v>
      </c>
      <c r="G684" s="1">
        <v>2</v>
      </c>
      <c r="H684" s="1">
        <v>500</v>
      </c>
      <c r="I684" s="1">
        <v>1000</v>
      </c>
    </row>
    <row r="685" spans="1:9" ht="12.75" x14ac:dyDescent="0.2">
      <c r="A685" s="1">
        <v>684</v>
      </c>
      <c r="B685" s="2">
        <v>45107</v>
      </c>
      <c r="C685" s="1" t="s">
        <v>697</v>
      </c>
      <c r="D685" s="1" t="s">
        <v>13</v>
      </c>
      <c r="E685" s="1">
        <v>28</v>
      </c>
      <c r="F685" s="1" t="s">
        <v>14</v>
      </c>
      <c r="G685" s="1">
        <v>2</v>
      </c>
      <c r="H685" s="1">
        <v>500</v>
      </c>
      <c r="I685" s="1">
        <v>1000</v>
      </c>
    </row>
    <row r="686" spans="1:9" ht="12.75" x14ac:dyDescent="0.2">
      <c r="A686" s="1">
        <v>685</v>
      </c>
      <c r="B686" s="2">
        <v>45079</v>
      </c>
      <c r="C686" s="1" t="s">
        <v>698</v>
      </c>
      <c r="D686" s="1" t="s">
        <v>10</v>
      </c>
      <c r="E686" s="1">
        <v>57</v>
      </c>
      <c r="F686" s="1" t="s">
        <v>16</v>
      </c>
      <c r="G686" s="1">
        <v>2</v>
      </c>
      <c r="H686" s="1">
        <v>25</v>
      </c>
      <c r="I686" s="1">
        <v>50</v>
      </c>
    </row>
    <row r="687" spans="1:9" ht="12.75" x14ac:dyDescent="0.2">
      <c r="A687" s="1">
        <v>686</v>
      </c>
      <c r="B687" s="2">
        <v>45126</v>
      </c>
      <c r="C687" s="1" t="s">
        <v>699</v>
      </c>
      <c r="D687" s="1" t="s">
        <v>13</v>
      </c>
      <c r="E687" s="1">
        <v>28</v>
      </c>
      <c r="F687" s="1" t="s">
        <v>16</v>
      </c>
      <c r="G687" s="1">
        <v>4</v>
      </c>
      <c r="H687" s="1">
        <v>50</v>
      </c>
      <c r="I687" s="1">
        <v>200</v>
      </c>
    </row>
    <row r="688" spans="1:9" ht="12.75" x14ac:dyDescent="0.2">
      <c r="A688" s="1">
        <v>687</v>
      </c>
      <c r="B688" s="2">
        <v>45141</v>
      </c>
      <c r="C688" s="1" t="s">
        <v>700</v>
      </c>
      <c r="D688" s="1" t="s">
        <v>13</v>
      </c>
      <c r="E688" s="1">
        <v>53</v>
      </c>
      <c r="F688" s="1" t="s">
        <v>16</v>
      </c>
      <c r="G688" s="1">
        <v>1</v>
      </c>
      <c r="H688" s="1">
        <v>300</v>
      </c>
      <c r="I688" s="1">
        <v>300</v>
      </c>
    </row>
    <row r="689" spans="1:9" ht="12.75" x14ac:dyDescent="0.2">
      <c r="A689" s="1">
        <v>688</v>
      </c>
      <c r="B689" s="2">
        <v>45202</v>
      </c>
      <c r="C689" s="1" t="s">
        <v>701</v>
      </c>
      <c r="D689" s="1" t="s">
        <v>10</v>
      </c>
      <c r="E689" s="1">
        <v>56</v>
      </c>
      <c r="F689" s="1" t="s">
        <v>14</v>
      </c>
      <c r="G689" s="1">
        <v>4</v>
      </c>
      <c r="H689" s="1">
        <v>25</v>
      </c>
      <c r="I689" s="1">
        <v>100</v>
      </c>
    </row>
    <row r="690" spans="1:9" ht="12.75" x14ac:dyDescent="0.2">
      <c r="A690" s="1">
        <v>689</v>
      </c>
      <c r="B690" s="2">
        <v>45206</v>
      </c>
      <c r="C690" s="1" t="s">
        <v>702</v>
      </c>
      <c r="D690" s="1" t="s">
        <v>10</v>
      </c>
      <c r="E690" s="1">
        <v>57</v>
      </c>
      <c r="F690" s="1" t="s">
        <v>16</v>
      </c>
      <c r="G690" s="1">
        <v>2</v>
      </c>
      <c r="H690" s="1">
        <v>50</v>
      </c>
      <c r="I690" s="1">
        <v>100</v>
      </c>
    </row>
    <row r="691" spans="1:9" ht="12.75" x14ac:dyDescent="0.2">
      <c r="A691" s="1">
        <v>690</v>
      </c>
      <c r="B691" s="2">
        <v>45235</v>
      </c>
      <c r="C691" s="1" t="s">
        <v>703</v>
      </c>
      <c r="D691" s="1" t="s">
        <v>13</v>
      </c>
      <c r="E691" s="1">
        <v>52</v>
      </c>
      <c r="F691" s="1" t="s">
        <v>14</v>
      </c>
      <c r="G691" s="1">
        <v>3</v>
      </c>
      <c r="H691" s="1">
        <v>300</v>
      </c>
      <c r="I691" s="1">
        <v>900</v>
      </c>
    </row>
    <row r="692" spans="1:9" ht="12.75" x14ac:dyDescent="0.2">
      <c r="A692" s="1">
        <v>691</v>
      </c>
      <c r="B692" s="2">
        <v>45039</v>
      </c>
      <c r="C692" s="1" t="s">
        <v>704</v>
      </c>
      <c r="D692" s="1" t="s">
        <v>13</v>
      </c>
      <c r="E692" s="1">
        <v>51</v>
      </c>
      <c r="F692" s="1" t="s">
        <v>14</v>
      </c>
      <c r="G692" s="1">
        <v>3</v>
      </c>
      <c r="H692" s="1">
        <v>30</v>
      </c>
      <c r="I692" s="1">
        <v>90</v>
      </c>
    </row>
    <row r="693" spans="1:9" ht="12.75" x14ac:dyDescent="0.2">
      <c r="A693" s="1">
        <v>692</v>
      </c>
      <c r="B693" s="2">
        <v>45176</v>
      </c>
      <c r="C693" s="1" t="s">
        <v>705</v>
      </c>
      <c r="D693" s="1" t="s">
        <v>13</v>
      </c>
      <c r="E693" s="1">
        <v>64</v>
      </c>
      <c r="F693" s="1" t="s">
        <v>14</v>
      </c>
      <c r="G693" s="1">
        <v>2</v>
      </c>
      <c r="H693" s="1">
        <v>50</v>
      </c>
      <c r="I693" s="1">
        <v>100</v>
      </c>
    </row>
    <row r="694" spans="1:9" ht="12.75" x14ac:dyDescent="0.2">
      <c r="A694" s="1">
        <v>693</v>
      </c>
      <c r="B694" s="2">
        <v>45039</v>
      </c>
      <c r="C694" s="1" t="s">
        <v>706</v>
      </c>
      <c r="D694" s="1" t="s">
        <v>10</v>
      </c>
      <c r="E694" s="1">
        <v>41</v>
      </c>
      <c r="F694" s="1" t="s">
        <v>11</v>
      </c>
      <c r="G694" s="1">
        <v>3</v>
      </c>
      <c r="H694" s="1">
        <v>500</v>
      </c>
      <c r="I694" s="1">
        <v>1500</v>
      </c>
    </row>
    <row r="695" spans="1:9" ht="12.75" x14ac:dyDescent="0.2">
      <c r="A695" s="1">
        <v>694</v>
      </c>
      <c r="B695" s="2">
        <v>45066</v>
      </c>
      <c r="C695" s="1" t="s">
        <v>707</v>
      </c>
      <c r="D695" s="1" t="s">
        <v>13</v>
      </c>
      <c r="E695" s="1">
        <v>39</v>
      </c>
      <c r="F695" s="1" t="s">
        <v>16</v>
      </c>
      <c r="G695" s="1">
        <v>2</v>
      </c>
      <c r="H695" s="1">
        <v>25</v>
      </c>
      <c r="I695" s="1">
        <v>50</v>
      </c>
    </row>
    <row r="696" spans="1:9" ht="12.75" x14ac:dyDescent="0.2">
      <c r="A696" s="1">
        <v>695</v>
      </c>
      <c r="B696" s="2">
        <v>45150</v>
      </c>
      <c r="C696" s="1" t="s">
        <v>708</v>
      </c>
      <c r="D696" s="1" t="s">
        <v>13</v>
      </c>
      <c r="E696" s="1">
        <v>22</v>
      </c>
      <c r="F696" s="1" t="s">
        <v>16</v>
      </c>
      <c r="G696" s="1">
        <v>3</v>
      </c>
      <c r="H696" s="1">
        <v>50</v>
      </c>
      <c r="I696" s="1">
        <v>150</v>
      </c>
    </row>
    <row r="697" spans="1:9" ht="12.75" x14ac:dyDescent="0.2">
      <c r="A697" s="1">
        <v>696</v>
      </c>
      <c r="B697" s="2">
        <v>45175</v>
      </c>
      <c r="C697" s="1" t="s">
        <v>709</v>
      </c>
      <c r="D697" s="1" t="s">
        <v>13</v>
      </c>
      <c r="E697" s="1">
        <v>50</v>
      </c>
      <c r="F697" s="1" t="s">
        <v>14</v>
      </c>
      <c r="G697" s="1">
        <v>4</v>
      </c>
      <c r="H697" s="1">
        <v>50</v>
      </c>
      <c r="I697" s="1">
        <v>200</v>
      </c>
    </row>
    <row r="698" spans="1:9" ht="12.75" x14ac:dyDescent="0.2">
      <c r="A698" s="1">
        <v>697</v>
      </c>
      <c r="B698" s="2">
        <v>44941</v>
      </c>
      <c r="C698" s="1" t="s">
        <v>710</v>
      </c>
      <c r="D698" s="1" t="s">
        <v>10</v>
      </c>
      <c r="E698" s="1">
        <v>53</v>
      </c>
      <c r="F698" s="1" t="s">
        <v>14</v>
      </c>
      <c r="G698" s="1">
        <v>1</v>
      </c>
      <c r="H698" s="1">
        <v>500</v>
      </c>
      <c r="I698" s="1">
        <v>500</v>
      </c>
    </row>
    <row r="699" spans="1:9" ht="12.75" x14ac:dyDescent="0.2">
      <c r="A699" s="1">
        <v>698</v>
      </c>
      <c r="B699" s="2">
        <v>45126</v>
      </c>
      <c r="C699" s="1" t="s">
        <v>711</v>
      </c>
      <c r="D699" s="1" t="s">
        <v>13</v>
      </c>
      <c r="E699" s="1">
        <v>64</v>
      </c>
      <c r="F699" s="1" t="s">
        <v>16</v>
      </c>
      <c r="G699" s="1">
        <v>1</v>
      </c>
      <c r="H699" s="1">
        <v>300</v>
      </c>
      <c r="I699" s="1">
        <v>300</v>
      </c>
    </row>
    <row r="700" spans="1:9" ht="12.75" x14ac:dyDescent="0.2">
      <c r="A700" s="1">
        <v>699</v>
      </c>
      <c r="B700" s="2">
        <v>45099</v>
      </c>
      <c r="C700" s="1" t="s">
        <v>712</v>
      </c>
      <c r="D700" s="1" t="s">
        <v>13</v>
      </c>
      <c r="E700" s="1">
        <v>37</v>
      </c>
      <c r="F700" s="1" t="s">
        <v>14</v>
      </c>
      <c r="G700" s="1">
        <v>4</v>
      </c>
      <c r="H700" s="1">
        <v>30</v>
      </c>
      <c r="I700" s="1">
        <v>120</v>
      </c>
    </row>
    <row r="701" spans="1:9" ht="12.75" x14ac:dyDescent="0.2">
      <c r="A701" s="1">
        <v>700</v>
      </c>
      <c r="B701" s="2">
        <v>45269</v>
      </c>
      <c r="C701" s="1" t="s">
        <v>713</v>
      </c>
      <c r="D701" s="1" t="s">
        <v>10</v>
      </c>
      <c r="E701" s="1">
        <v>36</v>
      </c>
      <c r="F701" s="1" t="s">
        <v>16</v>
      </c>
      <c r="G701" s="1">
        <v>4</v>
      </c>
      <c r="H701" s="1">
        <v>500</v>
      </c>
      <c r="I701" s="1">
        <v>2000</v>
      </c>
    </row>
    <row r="702" spans="1:9" ht="12.75" x14ac:dyDescent="0.2">
      <c r="A702" s="1">
        <v>701</v>
      </c>
      <c r="B702" s="2">
        <v>45274</v>
      </c>
      <c r="C702" s="1" t="s">
        <v>714</v>
      </c>
      <c r="D702" s="1" t="s">
        <v>13</v>
      </c>
      <c r="E702" s="1">
        <v>52</v>
      </c>
      <c r="F702" s="1" t="s">
        <v>11</v>
      </c>
      <c r="G702" s="1">
        <v>2</v>
      </c>
      <c r="H702" s="1">
        <v>30</v>
      </c>
      <c r="I702" s="1">
        <v>60</v>
      </c>
    </row>
    <row r="703" spans="1:9" ht="12.75" x14ac:dyDescent="0.2">
      <c r="A703" s="1">
        <v>702</v>
      </c>
      <c r="B703" s="2">
        <v>45134</v>
      </c>
      <c r="C703" s="1" t="s">
        <v>715</v>
      </c>
      <c r="D703" s="1" t="s">
        <v>13</v>
      </c>
      <c r="E703" s="1">
        <v>60</v>
      </c>
      <c r="F703" s="1" t="s">
        <v>14</v>
      </c>
      <c r="G703" s="1">
        <v>2</v>
      </c>
      <c r="H703" s="1">
        <v>300</v>
      </c>
      <c r="I703" s="1">
        <v>600</v>
      </c>
    </row>
    <row r="704" spans="1:9" ht="12.75" x14ac:dyDescent="0.2">
      <c r="A704" s="1">
        <v>703</v>
      </c>
      <c r="B704" s="2">
        <v>45011</v>
      </c>
      <c r="C704" s="1" t="s">
        <v>716</v>
      </c>
      <c r="D704" s="1" t="s">
        <v>10</v>
      </c>
      <c r="E704" s="1">
        <v>34</v>
      </c>
      <c r="F704" s="1" t="s">
        <v>16</v>
      </c>
      <c r="G704" s="1">
        <v>2</v>
      </c>
      <c r="H704" s="1">
        <v>50</v>
      </c>
      <c r="I704" s="1">
        <v>100</v>
      </c>
    </row>
    <row r="705" spans="1:9" ht="12.75" x14ac:dyDescent="0.2">
      <c r="A705" s="1">
        <v>704</v>
      </c>
      <c r="B705" s="2">
        <v>45166</v>
      </c>
      <c r="C705" s="1" t="s">
        <v>717</v>
      </c>
      <c r="D705" s="1" t="s">
        <v>13</v>
      </c>
      <c r="E705" s="1">
        <v>62</v>
      </c>
      <c r="F705" s="1" t="s">
        <v>14</v>
      </c>
      <c r="G705" s="1">
        <v>3</v>
      </c>
      <c r="H705" s="1">
        <v>30</v>
      </c>
      <c r="I705" s="1">
        <v>90</v>
      </c>
    </row>
    <row r="706" spans="1:9" ht="12.75" x14ac:dyDescent="0.2">
      <c r="A706" s="1">
        <v>705</v>
      </c>
      <c r="B706" s="2">
        <v>44992</v>
      </c>
      <c r="C706" s="1" t="s">
        <v>718</v>
      </c>
      <c r="D706" s="1" t="s">
        <v>10</v>
      </c>
      <c r="E706" s="1">
        <v>60</v>
      </c>
      <c r="F706" s="1" t="s">
        <v>16</v>
      </c>
      <c r="G706" s="1">
        <v>2</v>
      </c>
      <c r="H706" s="1">
        <v>25</v>
      </c>
      <c r="I706" s="1">
        <v>50</v>
      </c>
    </row>
    <row r="707" spans="1:9" ht="12.75" x14ac:dyDescent="0.2">
      <c r="A707" s="1">
        <v>706</v>
      </c>
      <c r="B707" s="2">
        <v>45245</v>
      </c>
      <c r="C707" s="1" t="s">
        <v>719</v>
      </c>
      <c r="D707" s="1" t="s">
        <v>10</v>
      </c>
      <c r="E707" s="1">
        <v>51</v>
      </c>
      <c r="F707" s="1" t="s">
        <v>16</v>
      </c>
      <c r="G707" s="1">
        <v>4</v>
      </c>
      <c r="H707" s="1">
        <v>25</v>
      </c>
      <c r="I707" s="1">
        <v>100</v>
      </c>
    </row>
    <row r="708" spans="1:9" ht="12.75" x14ac:dyDescent="0.2">
      <c r="A708" s="1">
        <v>707</v>
      </c>
      <c r="B708" s="2">
        <v>45200</v>
      </c>
      <c r="C708" s="1" t="s">
        <v>720</v>
      </c>
      <c r="D708" s="1" t="s">
        <v>13</v>
      </c>
      <c r="E708" s="1">
        <v>26</v>
      </c>
      <c r="F708" s="1" t="s">
        <v>14</v>
      </c>
      <c r="G708" s="1">
        <v>1</v>
      </c>
      <c r="H708" s="1">
        <v>500</v>
      </c>
      <c r="I708" s="1">
        <v>500</v>
      </c>
    </row>
    <row r="709" spans="1:9" ht="12.75" x14ac:dyDescent="0.2">
      <c r="A709" s="1">
        <v>708</v>
      </c>
      <c r="B709" s="2">
        <v>44940</v>
      </c>
      <c r="C709" s="1" t="s">
        <v>721</v>
      </c>
      <c r="D709" s="1" t="s">
        <v>13</v>
      </c>
      <c r="E709" s="1">
        <v>43</v>
      </c>
      <c r="F709" s="1" t="s">
        <v>11</v>
      </c>
      <c r="G709" s="1">
        <v>3</v>
      </c>
      <c r="H709" s="1">
        <v>300</v>
      </c>
      <c r="I709" s="1">
        <v>900</v>
      </c>
    </row>
    <row r="710" spans="1:9" ht="12.75" x14ac:dyDescent="0.2">
      <c r="A710" s="1">
        <v>709</v>
      </c>
      <c r="B710" s="2">
        <v>45128</v>
      </c>
      <c r="C710" s="1" t="s">
        <v>722</v>
      </c>
      <c r="D710" s="1" t="s">
        <v>13</v>
      </c>
      <c r="E710" s="1">
        <v>19</v>
      </c>
      <c r="F710" s="1" t="s">
        <v>16</v>
      </c>
      <c r="G710" s="1">
        <v>2</v>
      </c>
      <c r="H710" s="1">
        <v>500</v>
      </c>
      <c r="I710" s="1">
        <v>1000</v>
      </c>
    </row>
    <row r="711" spans="1:9" ht="12.75" x14ac:dyDescent="0.2">
      <c r="A711" s="1">
        <v>710</v>
      </c>
      <c r="B711" s="2">
        <v>45230</v>
      </c>
      <c r="C711" s="1" t="s">
        <v>723</v>
      </c>
      <c r="D711" s="1" t="s">
        <v>13</v>
      </c>
      <c r="E711" s="1">
        <v>26</v>
      </c>
      <c r="F711" s="1" t="s">
        <v>16</v>
      </c>
      <c r="G711" s="1">
        <v>3</v>
      </c>
      <c r="H711" s="1">
        <v>500</v>
      </c>
      <c r="I711" s="1">
        <v>1500</v>
      </c>
    </row>
    <row r="712" spans="1:9" ht="12.75" x14ac:dyDescent="0.2">
      <c r="A712" s="1">
        <v>711</v>
      </c>
      <c r="B712" s="2">
        <v>45215</v>
      </c>
      <c r="C712" s="1" t="s">
        <v>724</v>
      </c>
      <c r="D712" s="1" t="s">
        <v>10</v>
      </c>
      <c r="E712" s="1">
        <v>26</v>
      </c>
      <c r="F712" s="1" t="s">
        <v>16</v>
      </c>
      <c r="G712" s="1">
        <v>3</v>
      </c>
      <c r="H712" s="1">
        <v>500</v>
      </c>
      <c r="I712" s="1">
        <v>1500</v>
      </c>
    </row>
    <row r="713" spans="1:9" ht="12.75" x14ac:dyDescent="0.2">
      <c r="A713" s="1">
        <v>712</v>
      </c>
      <c r="B713" s="2">
        <v>45266</v>
      </c>
      <c r="C713" s="1" t="s">
        <v>725</v>
      </c>
      <c r="D713" s="1" t="s">
        <v>13</v>
      </c>
      <c r="E713" s="1">
        <v>57</v>
      </c>
      <c r="F713" s="1" t="s">
        <v>11</v>
      </c>
      <c r="G713" s="1">
        <v>2</v>
      </c>
      <c r="H713" s="1">
        <v>25</v>
      </c>
      <c r="I713" s="1">
        <v>50</v>
      </c>
    </row>
    <row r="714" spans="1:9" ht="12.75" x14ac:dyDescent="0.2">
      <c r="A714" s="1">
        <v>713</v>
      </c>
      <c r="B714" s="2">
        <v>44940</v>
      </c>
      <c r="C714" s="1" t="s">
        <v>726</v>
      </c>
      <c r="D714" s="1" t="s">
        <v>10</v>
      </c>
      <c r="E714" s="1">
        <v>34</v>
      </c>
      <c r="F714" s="1" t="s">
        <v>11</v>
      </c>
      <c r="G714" s="1">
        <v>3</v>
      </c>
      <c r="H714" s="1">
        <v>25</v>
      </c>
      <c r="I714" s="1">
        <v>75</v>
      </c>
    </row>
    <row r="715" spans="1:9" ht="12.75" x14ac:dyDescent="0.2">
      <c r="A715" s="1">
        <v>714</v>
      </c>
      <c r="B715" s="2">
        <v>44969</v>
      </c>
      <c r="C715" s="1" t="s">
        <v>727</v>
      </c>
      <c r="D715" s="1" t="s">
        <v>13</v>
      </c>
      <c r="E715" s="1">
        <v>18</v>
      </c>
      <c r="F715" s="1" t="s">
        <v>14</v>
      </c>
      <c r="G715" s="1">
        <v>1</v>
      </c>
      <c r="H715" s="1">
        <v>500</v>
      </c>
      <c r="I715" s="1">
        <v>500</v>
      </c>
    </row>
    <row r="716" spans="1:9" ht="12.75" x14ac:dyDescent="0.2">
      <c r="A716" s="1">
        <v>715</v>
      </c>
      <c r="B716" s="2">
        <v>45256</v>
      </c>
      <c r="C716" s="1" t="s">
        <v>728</v>
      </c>
      <c r="D716" s="1" t="s">
        <v>13</v>
      </c>
      <c r="E716" s="1">
        <v>42</v>
      </c>
      <c r="F716" s="1" t="s">
        <v>11</v>
      </c>
      <c r="G716" s="1">
        <v>4</v>
      </c>
      <c r="H716" s="1">
        <v>25</v>
      </c>
      <c r="I716" s="1">
        <v>100</v>
      </c>
    </row>
    <row r="717" spans="1:9" ht="12.75" x14ac:dyDescent="0.2">
      <c r="A717" s="1">
        <v>716</v>
      </c>
      <c r="B717" s="2">
        <v>45146</v>
      </c>
      <c r="C717" s="1" t="s">
        <v>729</v>
      </c>
      <c r="D717" s="1" t="s">
        <v>13</v>
      </c>
      <c r="E717" s="1">
        <v>60</v>
      </c>
      <c r="F717" s="1" t="s">
        <v>14</v>
      </c>
      <c r="G717" s="1">
        <v>4</v>
      </c>
      <c r="H717" s="1">
        <v>300</v>
      </c>
      <c r="I717" s="1">
        <v>1200</v>
      </c>
    </row>
    <row r="718" spans="1:9" ht="12.75" x14ac:dyDescent="0.2">
      <c r="A718" s="1">
        <v>717</v>
      </c>
      <c r="B718" s="2">
        <v>44996</v>
      </c>
      <c r="C718" s="1" t="s">
        <v>730</v>
      </c>
      <c r="D718" s="1" t="s">
        <v>10</v>
      </c>
      <c r="E718" s="1">
        <v>57</v>
      </c>
      <c r="F718" s="1" t="s">
        <v>14</v>
      </c>
      <c r="G718" s="1">
        <v>1</v>
      </c>
      <c r="H718" s="1">
        <v>500</v>
      </c>
      <c r="I718" s="1">
        <v>500</v>
      </c>
    </row>
    <row r="719" spans="1:9" ht="12.75" x14ac:dyDescent="0.2">
      <c r="A719" s="1">
        <v>718</v>
      </c>
      <c r="B719" s="2">
        <v>45163</v>
      </c>
      <c r="C719" s="1" t="s">
        <v>731</v>
      </c>
      <c r="D719" s="1" t="s">
        <v>13</v>
      </c>
      <c r="E719" s="1">
        <v>59</v>
      </c>
      <c r="F719" s="1" t="s">
        <v>11</v>
      </c>
      <c r="G719" s="1">
        <v>3</v>
      </c>
      <c r="H719" s="1">
        <v>25</v>
      </c>
      <c r="I719" s="1">
        <v>75</v>
      </c>
    </row>
    <row r="720" spans="1:9" ht="12.75" x14ac:dyDescent="0.2">
      <c r="A720" s="1">
        <v>719</v>
      </c>
      <c r="B720" s="2">
        <v>45020</v>
      </c>
      <c r="C720" s="1" t="s">
        <v>732</v>
      </c>
      <c r="D720" s="1" t="s">
        <v>13</v>
      </c>
      <c r="E720" s="1">
        <v>42</v>
      </c>
      <c r="F720" s="1" t="s">
        <v>14</v>
      </c>
      <c r="G720" s="1">
        <v>2</v>
      </c>
      <c r="H720" s="1">
        <v>30</v>
      </c>
      <c r="I720" s="1">
        <v>60</v>
      </c>
    </row>
    <row r="721" spans="1:9" ht="12.75" x14ac:dyDescent="0.2">
      <c r="A721" s="1">
        <v>720</v>
      </c>
      <c r="B721" s="2">
        <v>44952</v>
      </c>
      <c r="C721" s="1" t="s">
        <v>733</v>
      </c>
      <c r="D721" s="1" t="s">
        <v>13</v>
      </c>
      <c r="E721" s="1">
        <v>56</v>
      </c>
      <c r="F721" s="1" t="s">
        <v>11</v>
      </c>
      <c r="G721" s="1">
        <v>3</v>
      </c>
      <c r="H721" s="1">
        <v>500</v>
      </c>
      <c r="I721" s="1">
        <v>1500</v>
      </c>
    </row>
    <row r="722" spans="1:9" ht="12.75" x14ac:dyDescent="0.2">
      <c r="A722" s="1">
        <v>721</v>
      </c>
      <c r="B722" s="2">
        <v>45060</v>
      </c>
      <c r="C722" s="1" t="s">
        <v>734</v>
      </c>
      <c r="D722" s="1" t="s">
        <v>13</v>
      </c>
      <c r="E722" s="1">
        <v>52</v>
      </c>
      <c r="F722" s="1" t="s">
        <v>14</v>
      </c>
      <c r="G722" s="1">
        <v>1</v>
      </c>
      <c r="H722" s="1">
        <v>500</v>
      </c>
      <c r="I722" s="1">
        <v>500</v>
      </c>
    </row>
    <row r="723" spans="1:9" ht="12.75" x14ac:dyDescent="0.2">
      <c r="A723" s="1">
        <v>722</v>
      </c>
      <c r="B723" s="2">
        <v>45121</v>
      </c>
      <c r="C723" s="1" t="s">
        <v>735</v>
      </c>
      <c r="D723" s="1" t="s">
        <v>10</v>
      </c>
      <c r="E723" s="1">
        <v>20</v>
      </c>
      <c r="F723" s="1" t="s">
        <v>11</v>
      </c>
      <c r="G723" s="1">
        <v>3</v>
      </c>
      <c r="H723" s="1">
        <v>300</v>
      </c>
      <c r="I723" s="1">
        <v>900</v>
      </c>
    </row>
    <row r="724" spans="1:9" ht="12.75" x14ac:dyDescent="0.2">
      <c r="A724" s="1">
        <v>723</v>
      </c>
      <c r="B724" s="2">
        <v>45094</v>
      </c>
      <c r="C724" s="1" t="s">
        <v>736</v>
      </c>
      <c r="D724" s="1" t="s">
        <v>13</v>
      </c>
      <c r="E724" s="1">
        <v>54</v>
      </c>
      <c r="F724" s="1" t="s">
        <v>11</v>
      </c>
      <c r="G724" s="1">
        <v>4</v>
      </c>
      <c r="H724" s="1">
        <v>50</v>
      </c>
      <c r="I724" s="1">
        <v>200</v>
      </c>
    </row>
    <row r="725" spans="1:9" ht="12.75" x14ac:dyDescent="0.2">
      <c r="A725" s="1">
        <v>724</v>
      </c>
      <c r="B725" s="2">
        <v>45035</v>
      </c>
      <c r="C725" s="1" t="s">
        <v>737</v>
      </c>
      <c r="D725" s="1" t="s">
        <v>10</v>
      </c>
      <c r="E725" s="1">
        <v>61</v>
      </c>
      <c r="F725" s="1" t="s">
        <v>14</v>
      </c>
      <c r="G725" s="1">
        <v>3</v>
      </c>
      <c r="H725" s="1">
        <v>50</v>
      </c>
      <c r="I725" s="1">
        <v>150</v>
      </c>
    </row>
    <row r="726" spans="1:9" ht="12.75" x14ac:dyDescent="0.2">
      <c r="A726" s="1">
        <v>725</v>
      </c>
      <c r="B726" s="2">
        <v>45159</v>
      </c>
      <c r="C726" s="1" t="s">
        <v>738</v>
      </c>
      <c r="D726" s="1" t="s">
        <v>10</v>
      </c>
      <c r="E726" s="1">
        <v>61</v>
      </c>
      <c r="F726" s="1" t="s">
        <v>16</v>
      </c>
      <c r="G726" s="1">
        <v>1</v>
      </c>
      <c r="H726" s="1">
        <v>300</v>
      </c>
      <c r="I726" s="1">
        <v>300</v>
      </c>
    </row>
    <row r="727" spans="1:9" ht="12.75" x14ac:dyDescent="0.2">
      <c r="A727" s="1">
        <v>726</v>
      </c>
      <c r="B727" s="2">
        <v>45094</v>
      </c>
      <c r="C727" s="1" t="s">
        <v>739</v>
      </c>
      <c r="D727" s="1" t="s">
        <v>10</v>
      </c>
      <c r="E727" s="1">
        <v>47</v>
      </c>
      <c r="F727" s="1" t="s">
        <v>14</v>
      </c>
      <c r="G727" s="1">
        <v>4</v>
      </c>
      <c r="H727" s="1">
        <v>300</v>
      </c>
      <c r="I727" s="1">
        <v>1200</v>
      </c>
    </row>
    <row r="728" spans="1:9" ht="12.75" x14ac:dyDescent="0.2">
      <c r="A728" s="1">
        <v>727</v>
      </c>
      <c r="B728" s="2">
        <v>45099</v>
      </c>
      <c r="C728" s="1" t="s">
        <v>740</v>
      </c>
      <c r="D728" s="1" t="s">
        <v>10</v>
      </c>
      <c r="E728" s="1">
        <v>55</v>
      </c>
      <c r="F728" s="1" t="s">
        <v>11</v>
      </c>
      <c r="G728" s="1">
        <v>3</v>
      </c>
      <c r="H728" s="1">
        <v>300</v>
      </c>
      <c r="I728" s="1">
        <v>900</v>
      </c>
    </row>
    <row r="729" spans="1:9" ht="12.75" x14ac:dyDescent="0.2">
      <c r="A729" s="1">
        <v>728</v>
      </c>
      <c r="B729" s="2">
        <v>45121</v>
      </c>
      <c r="C729" s="1" t="s">
        <v>741</v>
      </c>
      <c r="D729" s="1" t="s">
        <v>10</v>
      </c>
      <c r="E729" s="1">
        <v>51</v>
      </c>
      <c r="F729" s="1" t="s">
        <v>16</v>
      </c>
      <c r="G729" s="1">
        <v>3</v>
      </c>
      <c r="H729" s="1">
        <v>50</v>
      </c>
      <c r="I729" s="1">
        <v>150</v>
      </c>
    </row>
    <row r="730" spans="1:9" ht="12.75" x14ac:dyDescent="0.2">
      <c r="A730" s="1">
        <v>729</v>
      </c>
      <c r="B730" s="2">
        <v>45069</v>
      </c>
      <c r="C730" s="1" t="s">
        <v>742</v>
      </c>
      <c r="D730" s="1" t="s">
        <v>10</v>
      </c>
      <c r="E730" s="1">
        <v>29</v>
      </c>
      <c r="F730" s="1" t="s">
        <v>14</v>
      </c>
      <c r="G730" s="1">
        <v>4</v>
      </c>
      <c r="H730" s="1">
        <v>300</v>
      </c>
      <c r="I730" s="1">
        <v>1200</v>
      </c>
    </row>
    <row r="731" spans="1:9" ht="12.75" x14ac:dyDescent="0.2">
      <c r="A731" s="1">
        <v>730</v>
      </c>
      <c r="B731" s="2">
        <v>45142</v>
      </c>
      <c r="C731" s="1" t="s">
        <v>743</v>
      </c>
      <c r="D731" s="1" t="s">
        <v>13</v>
      </c>
      <c r="E731" s="1">
        <v>36</v>
      </c>
      <c r="F731" s="1" t="s">
        <v>14</v>
      </c>
      <c r="G731" s="1">
        <v>2</v>
      </c>
      <c r="H731" s="1">
        <v>25</v>
      </c>
      <c r="I731" s="1">
        <v>50</v>
      </c>
    </row>
    <row r="732" spans="1:9" ht="12.75" x14ac:dyDescent="0.2">
      <c r="A732" s="1">
        <v>731</v>
      </c>
      <c r="B732" s="2">
        <v>45056</v>
      </c>
      <c r="C732" s="1" t="s">
        <v>744</v>
      </c>
      <c r="D732" s="1" t="s">
        <v>10</v>
      </c>
      <c r="E732" s="1">
        <v>54</v>
      </c>
      <c r="F732" s="1" t="s">
        <v>14</v>
      </c>
      <c r="G732" s="1">
        <v>4</v>
      </c>
      <c r="H732" s="1">
        <v>500</v>
      </c>
      <c r="I732" s="1">
        <v>2000</v>
      </c>
    </row>
    <row r="733" spans="1:9" ht="12.75" x14ac:dyDescent="0.2">
      <c r="A733" s="1">
        <v>732</v>
      </c>
      <c r="B733" s="2">
        <v>44968</v>
      </c>
      <c r="C733" s="1" t="s">
        <v>745</v>
      </c>
      <c r="D733" s="1" t="s">
        <v>10</v>
      </c>
      <c r="E733" s="1">
        <v>61</v>
      </c>
      <c r="F733" s="1" t="s">
        <v>16</v>
      </c>
      <c r="G733" s="1">
        <v>2</v>
      </c>
      <c r="H733" s="1">
        <v>500</v>
      </c>
      <c r="I733" s="1">
        <v>1000</v>
      </c>
    </row>
    <row r="734" spans="1:9" ht="12.75" x14ac:dyDescent="0.2">
      <c r="A734" s="1">
        <v>733</v>
      </c>
      <c r="B734" s="2">
        <v>45167</v>
      </c>
      <c r="C734" s="1" t="s">
        <v>746</v>
      </c>
      <c r="D734" s="1" t="s">
        <v>10</v>
      </c>
      <c r="E734" s="1">
        <v>34</v>
      </c>
      <c r="F734" s="1" t="s">
        <v>11</v>
      </c>
      <c r="G734" s="1">
        <v>1</v>
      </c>
      <c r="H734" s="1">
        <v>30</v>
      </c>
      <c r="I734" s="1">
        <v>30</v>
      </c>
    </row>
    <row r="735" spans="1:9" ht="12.75" x14ac:dyDescent="0.2">
      <c r="A735" s="1">
        <v>734</v>
      </c>
      <c r="B735" s="2">
        <v>44936</v>
      </c>
      <c r="C735" s="1" t="s">
        <v>747</v>
      </c>
      <c r="D735" s="1" t="s">
        <v>13</v>
      </c>
      <c r="E735" s="1">
        <v>27</v>
      </c>
      <c r="F735" s="1" t="s">
        <v>14</v>
      </c>
      <c r="G735" s="1">
        <v>1</v>
      </c>
      <c r="H735" s="1">
        <v>30</v>
      </c>
      <c r="I735" s="1">
        <v>30</v>
      </c>
    </row>
    <row r="736" spans="1:9" ht="12.75" x14ac:dyDescent="0.2">
      <c r="A736" s="1">
        <v>735</v>
      </c>
      <c r="B736" s="2">
        <v>45203</v>
      </c>
      <c r="C736" s="1" t="s">
        <v>748</v>
      </c>
      <c r="D736" s="1" t="s">
        <v>13</v>
      </c>
      <c r="E736" s="1">
        <v>64</v>
      </c>
      <c r="F736" s="1" t="s">
        <v>14</v>
      </c>
      <c r="G736" s="1">
        <v>4</v>
      </c>
      <c r="H736" s="1">
        <v>500</v>
      </c>
      <c r="I736" s="1">
        <v>2000</v>
      </c>
    </row>
    <row r="737" spans="1:9" ht="12.75" x14ac:dyDescent="0.2">
      <c r="A737" s="1">
        <v>736</v>
      </c>
      <c r="B737" s="2">
        <v>44953</v>
      </c>
      <c r="C737" s="1" t="s">
        <v>749</v>
      </c>
      <c r="D737" s="1" t="s">
        <v>10</v>
      </c>
      <c r="E737" s="1">
        <v>29</v>
      </c>
      <c r="F737" s="1" t="s">
        <v>14</v>
      </c>
      <c r="G737" s="1">
        <v>4</v>
      </c>
      <c r="H737" s="1">
        <v>25</v>
      </c>
      <c r="I737" s="1">
        <v>100</v>
      </c>
    </row>
    <row r="738" spans="1:9" ht="12.75" x14ac:dyDescent="0.2">
      <c r="A738" s="1">
        <v>737</v>
      </c>
      <c r="B738" s="2">
        <v>45106</v>
      </c>
      <c r="C738" s="1" t="s">
        <v>750</v>
      </c>
      <c r="D738" s="1" t="s">
        <v>13</v>
      </c>
      <c r="E738" s="1">
        <v>33</v>
      </c>
      <c r="F738" s="1" t="s">
        <v>14</v>
      </c>
      <c r="G738" s="1">
        <v>1</v>
      </c>
      <c r="H738" s="1">
        <v>50</v>
      </c>
      <c r="I738" s="1">
        <v>50</v>
      </c>
    </row>
    <row r="739" spans="1:9" ht="12.75" x14ac:dyDescent="0.2">
      <c r="A739" s="1">
        <v>738</v>
      </c>
      <c r="B739" s="2">
        <v>45041</v>
      </c>
      <c r="C739" s="1" t="s">
        <v>751</v>
      </c>
      <c r="D739" s="1" t="s">
        <v>10</v>
      </c>
      <c r="E739" s="1">
        <v>41</v>
      </c>
      <c r="F739" s="1" t="s">
        <v>14</v>
      </c>
      <c r="G739" s="1">
        <v>2</v>
      </c>
      <c r="H739" s="1">
        <v>50</v>
      </c>
      <c r="I739" s="1">
        <v>100</v>
      </c>
    </row>
    <row r="740" spans="1:9" ht="12.75" x14ac:dyDescent="0.2">
      <c r="A740" s="1">
        <v>739</v>
      </c>
      <c r="B740" s="2">
        <v>45259</v>
      </c>
      <c r="C740" s="1" t="s">
        <v>752</v>
      </c>
      <c r="D740" s="1" t="s">
        <v>10</v>
      </c>
      <c r="E740" s="1">
        <v>36</v>
      </c>
      <c r="F740" s="1" t="s">
        <v>11</v>
      </c>
      <c r="G740" s="1">
        <v>1</v>
      </c>
      <c r="H740" s="1">
        <v>25</v>
      </c>
      <c r="I740" s="1">
        <v>25</v>
      </c>
    </row>
    <row r="741" spans="1:9" ht="12.75" x14ac:dyDescent="0.2">
      <c r="A741" s="1">
        <v>740</v>
      </c>
      <c r="B741" s="2">
        <v>44962</v>
      </c>
      <c r="C741" s="1" t="s">
        <v>753</v>
      </c>
      <c r="D741" s="1" t="s">
        <v>13</v>
      </c>
      <c r="E741" s="1">
        <v>25</v>
      </c>
      <c r="F741" s="1" t="s">
        <v>11</v>
      </c>
      <c r="G741" s="1">
        <v>4</v>
      </c>
      <c r="H741" s="1">
        <v>50</v>
      </c>
      <c r="I741" s="1">
        <v>200</v>
      </c>
    </row>
    <row r="742" spans="1:9" ht="12.75" x14ac:dyDescent="0.2">
      <c r="A742" s="1">
        <v>741</v>
      </c>
      <c r="B742" s="2">
        <v>45260</v>
      </c>
      <c r="C742" s="1" t="s">
        <v>754</v>
      </c>
      <c r="D742" s="1" t="s">
        <v>10</v>
      </c>
      <c r="E742" s="1">
        <v>48</v>
      </c>
      <c r="F742" s="1" t="s">
        <v>14</v>
      </c>
      <c r="G742" s="1">
        <v>1</v>
      </c>
      <c r="H742" s="1">
        <v>300</v>
      </c>
      <c r="I742" s="1">
        <v>300</v>
      </c>
    </row>
    <row r="743" spans="1:9" ht="12.75" x14ac:dyDescent="0.2">
      <c r="A743" s="1">
        <v>742</v>
      </c>
      <c r="B743" s="2">
        <v>44947</v>
      </c>
      <c r="C743" s="1" t="s">
        <v>755</v>
      </c>
      <c r="D743" s="1" t="s">
        <v>13</v>
      </c>
      <c r="E743" s="1">
        <v>38</v>
      </c>
      <c r="F743" s="1" t="s">
        <v>16</v>
      </c>
      <c r="G743" s="1">
        <v>4</v>
      </c>
      <c r="H743" s="1">
        <v>500</v>
      </c>
      <c r="I743" s="1">
        <v>2000</v>
      </c>
    </row>
    <row r="744" spans="1:9" ht="12.75" x14ac:dyDescent="0.2">
      <c r="A744" s="1">
        <v>743</v>
      </c>
      <c r="B744" s="2">
        <v>44942</v>
      </c>
      <c r="C744" s="1" t="s">
        <v>756</v>
      </c>
      <c r="D744" s="1" t="s">
        <v>13</v>
      </c>
      <c r="E744" s="1">
        <v>34</v>
      </c>
      <c r="F744" s="1" t="s">
        <v>11</v>
      </c>
      <c r="G744" s="1">
        <v>4</v>
      </c>
      <c r="H744" s="1">
        <v>500</v>
      </c>
      <c r="I744" s="1">
        <v>2000</v>
      </c>
    </row>
    <row r="745" spans="1:9" ht="12.75" x14ac:dyDescent="0.2">
      <c r="A745" s="1">
        <v>744</v>
      </c>
      <c r="B745" s="2">
        <v>45053</v>
      </c>
      <c r="C745" s="1" t="s">
        <v>757</v>
      </c>
      <c r="D745" s="1" t="s">
        <v>10</v>
      </c>
      <c r="E745" s="1">
        <v>40</v>
      </c>
      <c r="F745" s="1" t="s">
        <v>16</v>
      </c>
      <c r="G745" s="1">
        <v>1</v>
      </c>
      <c r="H745" s="1">
        <v>25</v>
      </c>
      <c r="I745" s="1">
        <v>25</v>
      </c>
    </row>
    <row r="746" spans="1:9" ht="12.75" x14ac:dyDescent="0.2">
      <c r="A746" s="1">
        <v>745</v>
      </c>
      <c r="B746" s="2">
        <v>45029</v>
      </c>
      <c r="C746" s="1" t="s">
        <v>758</v>
      </c>
      <c r="D746" s="1" t="s">
        <v>10</v>
      </c>
      <c r="E746" s="1">
        <v>54</v>
      </c>
      <c r="F746" s="1" t="s">
        <v>11</v>
      </c>
      <c r="G746" s="1">
        <v>2</v>
      </c>
      <c r="H746" s="1">
        <v>50</v>
      </c>
      <c r="I746" s="1">
        <v>100</v>
      </c>
    </row>
    <row r="747" spans="1:9" ht="12.75" x14ac:dyDescent="0.2">
      <c r="A747" s="1">
        <v>746</v>
      </c>
      <c r="B747" s="2">
        <v>44937</v>
      </c>
      <c r="C747" s="1" t="s">
        <v>759</v>
      </c>
      <c r="D747" s="1" t="s">
        <v>13</v>
      </c>
      <c r="E747" s="1">
        <v>33</v>
      </c>
      <c r="F747" s="1" t="s">
        <v>14</v>
      </c>
      <c r="G747" s="1">
        <v>3</v>
      </c>
      <c r="H747" s="1">
        <v>30</v>
      </c>
      <c r="I747" s="1">
        <v>90</v>
      </c>
    </row>
    <row r="748" spans="1:9" ht="12.75" x14ac:dyDescent="0.2">
      <c r="A748" s="1">
        <v>747</v>
      </c>
      <c r="B748" s="2">
        <v>45245</v>
      </c>
      <c r="C748" s="1" t="s">
        <v>760</v>
      </c>
      <c r="D748" s="1" t="s">
        <v>10</v>
      </c>
      <c r="E748" s="1">
        <v>23</v>
      </c>
      <c r="F748" s="1" t="s">
        <v>11</v>
      </c>
      <c r="G748" s="1">
        <v>1</v>
      </c>
      <c r="H748" s="1">
        <v>30</v>
      </c>
      <c r="I748" s="1">
        <v>30</v>
      </c>
    </row>
    <row r="749" spans="1:9" ht="12.75" x14ac:dyDescent="0.2">
      <c r="A749" s="1">
        <v>748</v>
      </c>
      <c r="B749" s="2">
        <v>45005</v>
      </c>
      <c r="C749" s="1" t="s">
        <v>761</v>
      </c>
      <c r="D749" s="1" t="s">
        <v>10</v>
      </c>
      <c r="E749" s="1">
        <v>25</v>
      </c>
      <c r="F749" s="1" t="s">
        <v>14</v>
      </c>
      <c r="G749" s="1">
        <v>3</v>
      </c>
      <c r="H749" s="1">
        <v>50</v>
      </c>
      <c r="I749" s="1">
        <v>150</v>
      </c>
    </row>
    <row r="750" spans="1:9" ht="12.75" x14ac:dyDescent="0.2">
      <c r="A750" s="1">
        <v>749</v>
      </c>
      <c r="B750" s="2">
        <v>45049</v>
      </c>
      <c r="C750" s="1" t="s">
        <v>762</v>
      </c>
      <c r="D750" s="1" t="s">
        <v>10</v>
      </c>
      <c r="E750" s="1">
        <v>42</v>
      </c>
      <c r="F750" s="1" t="s">
        <v>11</v>
      </c>
      <c r="G750" s="1">
        <v>1</v>
      </c>
      <c r="H750" s="1">
        <v>30</v>
      </c>
      <c r="I750" s="1">
        <v>30</v>
      </c>
    </row>
    <row r="751" spans="1:9" ht="12.75" x14ac:dyDescent="0.2">
      <c r="A751" s="1">
        <v>750</v>
      </c>
      <c r="B751" s="2">
        <v>44991</v>
      </c>
      <c r="C751" s="1" t="s">
        <v>763</v>
      </c>
      <c r="D751" s="1" t="s">
        <v>13</v>
      </c>
      <c r="E751" s="1">
        <v>35</v>
      </c>
      <c r="F751" s="1" t="s">
        <v>14</v>
      </c>
      <c r="G751" s="1">
        <v>3</v>
      </c>
      <c r="H751" s="1">
        <v>25</v>
      </c>
      <c r="I751" s="1">
        <v>75</v>
      </c>
    </row>
    <row r="752" spans="1:9" ht="12.75" x14ac:dyDescent="0.2">
      <c r="A752" s="1">
        <v>751</v>
      </c>
      <c r="B752" s="2">
        <v>45169</v>
      </c>
      <c r="C752" s="1" t="s">
        <v>764</v>
      </c>
      <c r="D752" s="1" t="s">
        <v>13</v>
      </c>
      <c r="E752" s="1">
        <v>42</v>
      </c>
      <c r="F752" s="1" t="s">
        <v>14</v>
      </c>
      <c r="G752" s="1">
        <v>2</v>
      </c>
      <c r="H752" s="1">
        <v>25</v>
      </c>
      <c r="I752" s="1">
        <v>50</v>
      </c>
    </row>
    <row r="753" spans="1:9" ht="12.75" x14ac:dyDescent="0.2">
      <c r="A753" s="1">
        <v>752</v>
      </c>
      <c r="B753" s="2">
        <v>45269</v>
      </c>
      <c r="C753" s="1" t="s">
        <v>765</v>
      </c>
      <c r="D753" s="1" t="s">
        <v>10</v>
      </c>
      <c r="E753" s="1">
        <v>29</v>
      </c>
      <c r="F753" s="1" t="s">
        <v>14</v>
      </c>
      <c r="G753" s="1">
        <v>2</v>
      </c>
      <c r="H753" s="1">
        <v>50</v>
      </c>
      <c r="I753" s="1">
        <v>100</v>
      </c>
    </row>
    <row r="754" spans="1:9" ht="12.75" x14ac:dyDescent="0.2">
      <c r="A754" s="1">
        <v>753</v>
      </c>
      <c r="B754" s="2">
        <v>44985</v>
      </c>
      <c r="C754" s="1" t="s">
        <v>766</v>
      </c>
      <c r="D754" s="1" t="s">
        <v>13</v>
      </c>
      <c r="E754" s="1">
        <v>32</v>
      </c>
      <c r="F754" s="1" t="s">
        <v>14</v>
      </c>
      <c r="G754" s="1">
        <v>1</v>
      </c>
      <c r="H754" s="1">
        <v>30</v>
      </c>
      <c r="I754" s="1">
        <v>30</v>
      </c>
    </row>
    <row r="755" spans="1:9" ht="12.75" x14ac:dyDescent="0.2">
      <c r="A755" s="1">
        <v>754</v>
      </c>
      <c r="B755" s="2">
        <v>45215</v>
      </c>
      <c r="C755" s="1" t="s">
        <v>767</v>
      </c>
      <c r="D755" s="1" t="s">
        <v>13</v>
      </c>
      <c r="E755" s="1">
        <v>43</v>
      </c>
      <c r="F755" s="1" t="s">
        <v>16</v>
      </c>
      <c r="G755" s="1">
        <v>4</v>
      </c>
      <c r="H755" s="1">
        <v>25</v>
      </c>
      <c r="I755" s="1">
        <v>100</v>
      </c>
    </row>
    <row r="756" spans="1:9" ht="12.75" x14ac:dyDescent="0.2">
      <c r="A756" s="1">
        <v>755</v>
      </c>
      <c r="B756" s="2">
        <v>45038</v>
      </c>
      <c r="C756" s="1" t="s">
        <v>768</v>
      </c>
      <c r="D756" s="1" t="s">
        <v>13</v>
      </c>
      <c r="E756" s="1">
        <v>58</v>
      </c>
      <c r="F756" s="1" t="s">
        <v>14</v>
      </c>
      <c r="G756" s="1">
        <v>3</v>
      </c>
      <c r="H756" s="1">
        <v>25</v>
      </c>
      <c r="I756" s="1">
        <v>75</v>
      </c>
    </row>
    <row r="757" spans="1:9" ht="12.75" x14ac:dyDescent="0.2">
      <c r="A757" s="1">
        <v>756</v>
      </c>
      <c r="B757" s="2">
        <v>45165</v>
      </c>
      <c r="C757" s="1" t="s">
        <v>769</v>
      </c>
      <c r="D757" s="1" t="s">
        <v>13</v>
      </c>
      <c r="E757" s="1">
        <v>62</v>
      </c>
      <c r="F757" s="1" t="s">
        <v>16</v>
      </c>
      <c r="G757" s="1">
        <v>4</v>
      </c>
      <c r="H757" s="1">
        <v>300</v>
      </c>
      <c r="I757" s="1">
        <v>1200</v>
      </c>
    </row>
    <row r="758" spans="1:9" ht="12.75" x14ac:dyDescent="0.2">
      <c r="A758" s="1">
        <v>757</v>
      </c>
      <c r="B758" s="2">
        <v>45285</v>
      </c>
      <c r="C758" s="1" t="s">
        <v>770</v>
      </c>
      <c r="D758" s="1" t="s">
        <v>13</v>
      </c>
      <c r="E758" s="1">
        <v>43</v>
      </c>
      <c r="F758" s="1" t="s">
        <v>16</v>
      </c>
      <c r="G758" s="1">
        <v>4</v>
      </c>
      <c r="H758" s="1">
        <v>300</v>
      </c>
      <c r="I758" s="1">
        <v>1200</v>
      </c>
    </row>
    <row r="759" spans="1:9" ht="12.75" x14ac:dyDescent="0.2">
      <c r="A759" s="1">
        <v>758</v>
      </c>
      <c r="B759" s="2">
        <v>45058</v>
      </c>
      <c r="C759" s="1" t="s">
        <v>771</v>
      </c>
      <c r="D759" s="1" t="s">
        <v>10</v>
      </c>
      <c r="E759" s="1">
        <v>64</v>
      </c>
      <c r="F759" s="1" t="s">
        <v>14</v>
      </c>
      <c r="G759" s="1">
        <v>4</v>
      </c>
      <c r="H759" s="1">
        <v>25</v>
      </c>
      <c r="I759" s="1">
        <v>100</v>
      </c>
    </row>
    <row r="760" spans="1:9" ht="12.75" x14ac:dyDescent="0.2">
      <c r="A760" s="1">
        <v>759</v>
      </c>
      <c r="B760" s="2">
        <v>45115</v>
      </c>
      <c r="C760" s="1" t="s">
        <v>772</v>
      </c>
      <c r="D760" s="1" t="s">
        <v>10</v>
      </c>
      <c r="E760" s="1">
        <v>49</v>
      </c>
      <c r="F760" s="1" t="s">
        <v>16</v>
      </c>
      <c r="G760" s="1">
        <v>2</v>
      </c>
      <c r="H760" s="1">
        <v>50</v>
      </c>
      <c r="I760" s="1">
        <v>100</v>
      </c>
    </row>
    <row r="761" spans="1:9" ht="12.75" x14ac:dyDescent="0.2">
      <c r="A761" s="1">
        <v>760</v>
      </c>
      <c r="B761" s="2">
        <v>45012</v>
      </c>
      <c r="C761" s="1" t="s">
        <v>773</v>
      </c>
      <c r="D761" s="1" t="s">
        <v>10</v>
      </c>
      <c r="E761" s="1">
        <v>27</v>
      </c>
      <c r="F761" s="1" t="s">
        <v>11</v>
      </c>
      <c r="G761" s="1">
        <v>1</v>
      </c>
      <c r="H761" s="1">
        <v>500</v>
      </c>
      <c r="I761" s="1">
        <v>500</v>
      </c>
    </row>
    <row r="762" spans="1:9" ht="12.75" x14ac:dyDescent="0.2">
      <c r="A762" s="1">
        <v>761</v>
      </c>
      <c r="B762" s="2">
        <v>45237</v>
      </c>
      <c r="C762" s="1" t="s">
        <v>774</v>
      </c>
      <c r="D762" s="1" t="s">
        <v>13</v>
      </c>
      <c r="E762" s="1">
        <v>33</v>
      </c>
      <c r="F762" s="1" t="s">
        <v>14</v>
      </c>
      <c r="G762" s="1">
        <v>1</v>
      </c>
      <c r="H762" s="1">
        <v>500</v>
      </c>
      <c r="I762" s="1">
        <v>500</v>
      </c>
    </row>
    <row r="763" spans="1:9" ht="12.75" x14ac:dyDescent="0.2">
      <c r="A763" s="1">
        <v>762</v>
      </c>
      <c r="B763" s="2">
        <v>45237</v>
      </c>
      <c r="C763" s="1" t="s">
        <v>775</v>
      </c>
      <c r="D763" s="1" t="s">
        <v>13</v>
      </c>
      <c r="E763" s="1">
        <v>24</v>
      </c>
      <c r="F763" s="1" t="s">
        <v>16</v>
      </c>
      <c r="G763" s="1">
        <v>2</v>
      </c>
      <c r="H763" s="1">
        <v>25</v>
      </c>
      <c r="I763" s="1">
        <v>50</v>
      </c>
    </row>
    <row r="764" spans="1:9" ht="12.75" x14ac:dyDescent="0.2">
      <c r="A764" s="1">
        <v>763</v>
      </c>
      <c r="B764" s="2">
        <v>44985</v>
      </c>
      <c r="C764" s="1" t="s">
        <v>776</v>
      </c>
      <c r="D764" s="1" t="s">
        <v>10</v>
      </c>
      <c r="E764" s="1">
        <v>34</v>
      </c>
      <c r="F764" s="1" t="s">
        <v>14</v>
      </c>
      <c r="G764" s="1">
        <v>2</v>
      </c>
      <c r="H764" s="1">
        <v>25</v>
      </c>
      <c r="I764" s="1">
        <v>50</v>
      </c>
    </row>
    <row r="765" spans="1:9" ht="12.75" x14ac:dyDescent="0.2">
      <c r="A765" s="1">
        <v>764</v>
      </c>
      <c r="B765" s="2">
        <v>45010</v>
      </c>
      <c r="C765" s="1" t="s">
        <v>777</v>
      </c>
      <c r="D765" s="1" t="s">
        <v>13</v>
      </c>
      <c r="E765" s="1">
        <v>40</v>
      </c>
      <c r="F765" s="1" t="s">
        <v>14</v>
      </c>
      <c r="G765" s="1">
        <v>1</v>
      </c>
      <c r="H765" s="1">
        <v>25</v>
      </c>
      <c r="I765" s="1">
        <v>25</v>
      </c>
    </row>
    <row r="766" spans="1:9" ht="12.75" x14ac:dyDescent="0.2">
      <c r="A766" s="1">
        <v>765</v>
      </c>
      <c r="B766" s="2">
        <v>45086</v>
      </c>
      <c r="C766" s="1" t="s">
        <v>778</v>
      </c>
      <c r="D766" s="1" t="s">
        <v>10</v>
      </c>
      <c r="E766" s="1">
        <v>43</v>
      </c>
      <c r="F766" s="1" t="s">
        <v>14</v>
      </c>
      <c r="G766" s="1">
        <v>4</v>
      </c>
      <c r="H766" s="1">
        <v>50</v>
      </c>
      <c r="I766" s="1">
        <v>200</v>
      </c>
    </row>
    <row r="767" spans="1:9" ht="12.75" x14ac:dyDescent="0.2">
      <c r="A767" s="1">
        <v>766</v>
      </c>
      <c r="B767" s="2">
        <v>44982</v>
      </c>
      <c r="C767" s="1" t="s">
        <v>779</v>
      </c>
      <c r="D767" s="1" t="s">
        <v>10</v>
      </c>
      <c r="E767" s="1">
        <v>38</v>
      </c>
      <c r="F767" s="1" t="s">
        <v>16</v>
      </c>
      <c r="G767" s="1">
        <v>3</v>
      </c>
      <c r="H767" s="1">
        <v>300</v>
      </c>
      <c r="I767" s="1">
        <v>900</v>
      </c>
    </row>
    <row r="768" spans="1:9" ht="12.75" x14ac:dyDescent="0.2">
      <c r="A768" s="1">
        <v>767</v>
      </c>
      <c r="B768" s="2">
        <v>45223</v>
      </c>
      <c r="C768" s="1" t="s">
        <v>780</v>
      </c>
      <c r="D768" s="1" t="s">
        <v>10</v>
      </c>
      <c r="E768" s="1">
        <v>39</v>
      </c>
      <c r="F768" s="1" t="s">
        <v>11</v>
      </c>
      <c r="G768" s="1">
        <v>3</v>
      </c>
      <c r="H768" s="1">
        <v>25</v>
      </c>
      <c r="I768" s="1">
        <v>75</v>
      </c>
    </row>
    <row r="769" spans="1:9" ht="12.75" x14ac:dyDescent="0.2">
      <c r="A769" s="1">
        <v>768</v>
      </c>
      <c r="B769" s="2">
        <v>44940</v>
      </c>
      <c r="C769" s="1" t="s">
        <v>781</v>
      </c>
      <c r="D769" s="1" t="s">
        <v>13</v>
      </c>
      <c r="E769" s="1">
        <v>24</v>
      </c>
      <c r="F769" s="1" t="s">
        <v>11</v>
      </c>
      <c r="G769" s="1">
        <v>3</v>
      </c>
      <c r="H769" s="1">
        <v>25</v>
      </c>
      <c r="I769" s="1">
        <v>75</v>
      </c>
    </row>
    <row r="770" spans="1:9" ht="12.75" x14ac:dyDescent="0.2">
      <c r="A770" s="1">
        <v>769</v>
      </c>
      <c r="B770" s="2">
        <v>45086</v>
      </c>
      <c r="C770" s="1" t="s">
        <v>782</v>
      </c>
      <c r="D770" s="1" t="s">
        <v>13</v>
      </c>
      <c r="E770" s="1">
        <v>31</v>
      </c>
      <c r="F770" s="1" t="s">
        <v>16</v>
      </c>
      <c r="G770" s="1">
        <v>4</v>
      </c>
      <c r="H770" s="1">
        <v>30</v>
      </c>
      <c r="I770" s="1">
        <v>120</v>
      </c>
    </row>
    <row r="771" spans="1:9" ht="12.75" x14ac:dyDescent="0.2">
      <c r="A771" s="1">
        <v>770</v>
      </c>
      <c r="B771" s="2">
        <v>45221</v>
      </c>
      <c r="C771" s="1" t="s">
        <v>783</v>
      </c>
      <c r="D771" s="1" t="s">
        <v>10</v>
      </c>
      <c r="E771" s="1">
        <v>32</v>
      </c>
      <c r="F771" s="1" t="s">
        <v>14</v>
      </c>
      <c r="G771" s="1">
        <v>1</v>
      </c>
      <c r="H771" s="1">
        <v>50</v>
      </c>
      <c r="I771" s="1">
        <v>50</v>
      </c>
    </row>
    <row r="772" spans="1:9" ht="12.75" x14ac:dyDescent="0.2">
      <c r="A772" s="1">
        <v>771</v>
      </c>
      <c r="B772" s="2">
        <v>45273</v>
      </c>
      <c r="C772" s="1" t="s">
        <v>784</v>
      </c>
      <c r="D772" s="1" t="s">
        <v>10</v>
      </c>
      <c r="E772" s="1">
        <v>24</v>
      </c>
      <c r="F772" s="1" t="s">
        <v>16</v>
      </c>
      <c r="G772" s="1">
        <v>2</v>
      </c>
      <c r="H772" s="1">
        <v>25</v>
      </c>
      <c r="I772" s="1">
        <v>50</v>
      </c>
    </row>
    <row r="773" spans="1:9" ht="12.75" x14ac:dyDescent="0.2">
      <c r="A773" s="1">
        <v>772</v>
      </c>
      <c r="B773" s="2">
        <v>45119</v>
      </c>
      <c r="C773" s="1" t="s">
        <v>785</v>
      </c>
      <c r="D773" s="1" t="s">
        <v>10</v>
      </c>
      <c r="E773" s="1">
        <v>26</v>
      </c>
      <c r="F773" s="1" t="s">
        <v>16</v>
      </c>
      <c r="G773" s="1">
        <v>1</v>
      </c>
      <c r="H773" s="1">
        <v>30</v>
      </c>
      <c r="I773" s="1">
        <v>30</v>
      </c>
    </row>
    <row r="774" spans="1:9" ht="12.75" x14ac:dyDescent="0.2">
      <c r="A774" s="1">
        <v>773</v>
      </c>
      <c r="B774" s="2">
        <v>45130</v>
      </c>
      <c r="C774" s="1" t="s">
        <v>786</v>
      </c>
      <c r="D774" s="1" t="s">
        <v>10</v>
      </c>
      <c r="E774" s="1">
        <v>25</v>
      </c>
      <c r="F774" s="1" t="s">
        <v>16</v>
      </c>
      <c r="G774" s="1">
        <v>4</v>
      </c>
      <c r="H774" s="1">
        <v>500</v>
      </c>
      <c r="I774" s="1">
        <v>2000</v>
      </c>
    </row>
    <row r="775" spans="1:9" ht="12.75" x14ac:dyDescent="0.2">
      <c r="A775" s="1">
        <v>774</v>
      </c>
      <c r="B775" s="2">
        <v>45028</v>
      </c>
      <c r="C775" s="1" t="s">
        <v>787</v>
      </c>
      <c r="D775" s="1" t="s">
        <v>13</v>
      </c>
      <c r="E775" s="1">
        <v>40</v>
      </c>
      <c r="F775" s="1" t="s">
        <v>14</v>
      </c>
      <c r="G775" s="1">
        <v>2</v>
      </c>
      <c r="H775" s="1">
        <v>25</v>
      </c>
      <c r="I775" s="1">
        <v>50</v>
      </c>
    </row>
    <row r="776" spans="1:9" ht="12.75" x14ac:dyDescent="0.2">
      <c r="A776" s="1">
        <v>775</v>
      </c>
      <c r="B776" s="2">
        <v>44965</v>
      </c>
      <c r="C776" s="1" t="s">
        <v>788</v>
      </c>
      <c r="D776" s="1" t="s">
        <v>13</v>
      </c>
      <c r="E776" s="1">
        <v>46</v>
      </c>
      <c r="F776" s="1" t="s">
        <v>16</v>
      </c>
      <c r="G776" s="1">
        <v>4</v>
      </c>
      <c r="H776" s="1">
        <v>25</v>
      </c>
      <c r="I776" s="1">
        <v>100</v>
      </c>
    </row>
    <row r="777" spans="1:9" ht="12.75" x14ac:dyDescent="0.2">
      <c r="A777" s="1">
        <v>776</v>
      </c>
      <c r="B777" s="2">
        <v>45230</v>
      </c>
      <c r="C777" s="1" t="s">
        <v>789</v>
      </c>
      <c r="D777" s="1" t="s">
        <v>10</v>
      </c>
      <c r="E777" s="1">
        <v>35</v>
      </c>
      <c r="F777" s="1" t="s">
        <v>14</v>
      </c>
      <c r="G777" s="1">
        <v>3</v>
      </c>
      <c r="H777" s="1">
        <v>30</v>
      </c>
      <c r="I777" s="1">
        <v>90</v>
      </c>
    </row>
    <row r="778" spans="1:9" ht="12.75" x14ac:dyDescent="0.2">
      <c r="A778" s="1">
        <v>777</v>
      </c>
      <c r="B778" s="2">
        <v>45280</v>
      </c>
      <c r="C778" s="1" t="s">
        <v>790</v>
      </c>
      <c r="D778" s="1" t="s">
        <v>10</v>
      </c>
      <c r="E778" s="1">
        <v>48</v>
      </c>
      <c r="F778" s="1" t="s">
        <v>16</v>
      </c>
      <c r="G778" s="1">
        <v>3</v>
      </c>
      <c r="H778" s="1">
        <v>50</v>
      </c>
      <c r="I778" s="1">
        <v>150</v>
      </c>
    </row>
    <row r="779" spans="1:9" ht="12.75" x14ac:dyDescent="0.2">
      <c r="A779" s="1">
        <v>778</v>
      </c>
      <c r="B779" s="2">
        <v>45248</v>
      </c>
      <c r="C779" s="1" t="s">
        <v>791</v>
      </c>
      <c r="D779" s="1" t="s">
        <v>13</v>
      </c>
      <c r="E779" s="1">
        <v>47</v>
      </c>
      <c r="F779" s="1" t="s">
        <v>11</v>
      </c>
      <c r="G779" s="1">
        <v>4</v>
      </c>
      <c r="H779" s="1">
        <v>25</v>
      </c>
      <c r="I779" s="1">
        <v>100</v>
      </c>
    </row>
    <row r="780" spans="1:9" ht="12.75" x14ac:dyDescent="0.2">
      <c r="A780" s="1">
        <v>779</v>
      </c>
      <c r="B780" s="2">
        <v>45051</v>
      </c>
      <c r="C780" s="1" t="s">
        <v>792</v>
      </c>
      <c r="D780" s="1" t="s">
        <v>13</v>
      </c>
      <c r="E780" s="1">
        <v>56</v>
      </c>
      <c r="F780" s="1" t="s">
        <v>16</v>
      </c>
      <c r="G780" s="1">
        <v>2</v>
      </c>
      <c r="H780" s="1">
        <v>500</v>
      </c>
      <c r="I780" s="1">
        <v>1000</v>
      </c>
    </row>
    <row r="781" spans="1:9" ht="12.75" x14ac:dyDescent="0.2">
      <c r="A781" s="1">
        <v>780</v>
      </c>
      <c r="B781" s="2">
        <v>44979</v>
      </c>
      <c r="C781" s="1" t="s">
        <v>793</v>
      </c>
      <c r="D781" s="1" t="s">
        <v>10</v>
      </c>
      <c r="E781" s="1">
        <v>52</v>
      </c>
      <c r="F781" s="1" t="s">
        <v>16</v>
      </c>
      <c r="G781" s="1">
        <v>2</v>
      </c>
      <c r="H781" s="1">
        <v>25</v>
      </c>
      <c r="I781" s="1">
        <v>50</v>
      </c>
    </row>
    <row r="782" spans="1:9" ht="12.75" x14ac:dyDescent="0.2">
      <c r="A782" s="1">
        <v>781</v>
      </c>
      <c r="B782" s="2">
        <v>45283</v>
      </c>
      <c r="C782" s="1" t="s">
        <v>794</v>
      </c>
      <c r="D782" s="1" t="s">
        <v>10</v>
      </c>
      <c r="E782" s="1">
        <v>35</v>
      </c>
      <c r="F782" s="1" t="s">
        <v>11</v>
      </c>
      <c r="G782" s="1">
        <v>1</v>
      </c>
      <c r="H782" s="1">
        <v>500</v>
      </c>
      <c r="I782" s="1">
        <v>500</v>
      </c>
    </row>
    <row r="783" spans="1:9" ht="12.75" x14ac:dyDescent="0.2">
      <c r="A783" s="1">
        <v>782</v>
      </c>
      <c r="B783" s="2">
        <v>45081</v>
      </c>
      <c r="C783" s="1" t="s">
        <v>795</v>
      </c>
      <c r="D783" s="1" t="s">
        <v>10</v>
      </c>
      <c r="E783" s="1">
        <v>59</v>
      </c>
      <c r="F783" s="1" t="s">
        <v>14</v>
      </c>
      <c r="G783" s="1">
        <v>3</v>
      </c>
      <c r="H783" s="1">
        <v>300</v>
      </c>
      <c r="I783" s="1">
        <v>900</v>
      </c>
    </row>
    <row r="784" spans="1:9" ht="12.75" x14ac:dyDescent="0.2">
      <c r="A784" s="1">
        <v>783</v>
      </c>
      <c r="B784" s="2">
        <v>45277</v>
      </c>
      <c r="C784" s="1" t="s">
        <v>796</v>
      </c>
      <c r="D784" s="1" t="s">
        <v>13</v>
      </c>
      <c r="E784" s="1">
        <v>56</v>
      </c>
      <c r="F784" s="1" t="s">
        <v>14</v>
      </c>
      <c r="G784" s="1">
        <v>1</v>
      </c>
      <c r="H784" s="1">
        <v>300</v>
      </c>
      <c r="I784" s="1">
        <v>300</v>
      </c>
    </row>
    <row r="785" spans="1:9" ht="12.75" x14ac:dyDescent="0.2">
      <c r="A785" s="1">
        <v>784</v>
      </c>
      <c r="B785" s="2">
        <v>45234</v>
      </c>
      <c r="C785" s="1" t="s">
        <v>797</v>
      </c>
      <c r="D785" s="1" t="s">
        <v>13</v>
      </c>
      <c r="E785" s="1">
        <v>34</v>
      </c>
      <c r="F785" s="1" t="s">
        <v>16</v>
      </c>
      <c r="G785" s="1">
        <v>1</v>
      </c>
      <c r="H785" s="1">
        <v>500</v>
      </c>
      <c r="I785" s="1">
        <v>500</v>
      </c>
    </row>
    <row r="786" spans="1:9" ht="12.75" x14ac:dyDescent="0.2">
      <c r="A786" s="1">
        <v>785</v>
      </c>
      <c r="B786" s="2">
        <v>44988</v>
      </c>
      <c r="C786" s="1" t="s">
        <v>798</v>
      </c>
      <c r="D786" s="1" t="s">
        <v>13</v>
      </c>
      <c r="E786" s="1">
        <v>31</v>
      </c>
      <c r="F786" s="1" t="s">
        <v>11</v>
      </c>
      <c r="G786" s="1">
        <v>4</v>
      </c>
      <c r="H786" s="1">
        <v>50</v>
      </c>
      <c r="I786" s="1">
        <v>200</v>
      </c>
    </row>
    <row r="787" spans="1:9" ht="12.75" x14ac:dyDescent="0.2">
      <c r="A787" s="1">
        <v>786</v>
      </c>
      <c r="B787" s="2">
        <v>45216</v>
      </c>
      <c r="C787" s="1" t="s">
        <v>799</v>
      </c>
      <c r="D787" s="1" t="s">
        <v>10</v>
      </c>
      <c r="E787" s="1">
        <v>48</v>
      </c>
      <c r="F787" s="1" t="s">
        <v>14</v>
      </c>
      <c r="G787" s="1">
        <v>4</v>
      </c>
      <c r="H787" s="1">
        <v>25</v>
      </c>
      <c r="I787" s="1">
        <v>100</v>
      </c>
    </row>
    <row r="788" spans="1:9" ht="12.75" x14ac:dyDescent="0.2">
      <c r="A788" s="1">
        <v>787</v>
      </c>
      <c r="B788" s="2">
        <v>44948</v>
      </c>
      <c r="C788" s="1" t="s">
        <v>800</v>
      </c>
      <c r="D788" s="1" t="s">
        <v>10</v>
      </c>
      <c r="E788" s="1">
        <v>41</v>
      </c>
      <c r="F788" s="1" t="s">
        <v>16</v>
      </c>
      <c r="G788" s="1">
        <v>1</v>
      </c>
      <c r="H788" s="1">
        <v>25</v>
      </c>
      <c r="I788" s="1">
        <v>25</v>
      </c>
    </row>
    <row r="789" spans="1:9" ht="12.75" x14ac:dyDescent="0.2">
      <c r="A789" s="1">
        <v>788</v>
      </c>
      <c r="B789" s="2">
        <v>45104</v>
      </c>
      <c r="C789" s="1" t="s">
        <v>801</v>
      </c>
      <c r="D789" s="1" t="s">
        <v>13</v>
      </c>
      <c r="E789" s="1">
        <v>52</v>
      </c>
      <c r="F789" s="1" t="s">
        <v>11</v>
      </c>
      <c r="G789" s="1">
        <v>3</v>
      </c>
      <c r="H789" s="1">
        <v>300</v>
      </c>
      <c r="I789" s="1">
        <v>900</v>
      </c>
    </row>
    <row r="790" spans="1:9" ht="12.75" x14ac:dyDescent="0.2">
      <c r="A790" s="1">
        <v>789</v>
      </c>
      <c r="B790" s="2">
        <v>45199</v>
      </c>
      <c r="C790" s="1" t="s">
        <v>802</v>
      </c>
      <c r="D790" s="1" t="s">
        <v>13</v>
      </c>
      <c r="E790" s="1">
        <v>61</v>
      </c>
      <c r="F790" s="1" t="s">
        <v>14</v>
      </c>
      <c r="G790" s="1">
        <v>4</v>
      </c>
      <c r="H790" s="1">
        <v>500</v>
      </c>
      <c r="I790" s="1">
        <v>2000</v>
      </c>
    </row>
    <row r="791" spans="1:9" ht="12.75" x14ac:dyDescent="0.2">
      <c r="A791" s="1">
        <v>790</v>
      </c>
      <c r="B791" s="2">
        <v>45146</v>
      </c>
      <c r="C791" s="1" t="s">
        <v>803</v>
      </c>
      <c r="D791" s="1" t="s">
        <v>10</v>
      </c>
      <c r="E791" s="1">
        <v>62</v>
      </c>
      <c r="F791" s="1" t="s">
        <v>14</v>
      </c>
      <c r="G791" s="1">
        <v>1</v>
      </c>
      <c r="H791" s="1">
        <v>25</v>
      </c>
      <c r="I791" s="1">
        <v>25</v>
      </c>
    </row>
    <row r="792" spans="1:9" ht="12.75" x14ac:dyDescent="0.2">
      <c r="A792" s="1">
        <v>791</v>
      </c>
      <c r="B792" s="2">
        <v>45265</v>
      </c>
      <c r="C792" s="1" t="s">
        <v>804</v>
      </c>
      <c r="D792" s="1" t="s">
        <v>13</v>
      </c>
      <c r="E792" s="1">
        <v>51</v>
      </c>
      <c r="F792" s="1" t="s">
        <v>11</v>
      </c>
      <c r="G792" s="1">
        <v>1</v>
      </c>
      <c r="H792" s="1">
        <v>25</v>
      </c>
      <c r="I792" s="1">
        <v>25</v>
      </c>
    </row>
    <row r="793" spans="1:9" ht="12.75" x14ac:dyDescent="0.2">
      <c r="A793" s="1">
        <v>792</v>
      </c>
      <c r="B793" s="2">
        <v>45116</v>
      </c>
      <c r="C793" s="1" t="s">
        <v>805</v>
      </c>
      <c r="D793" s="1" t="s">
        <v>13</v>
      </c>
      <c r="E793" s="1">
        <v>20</v>
      </c>
      <c r="F793" s="1" t="s">
        <v>11</v>
      </c>
      <c r="G793" s="1">
        <v>1</v>
      </c>
      <c r="H793" s="1">
        <v>50</v>
      </c>
      <c r="I793" s="1">
        <v>50</v>
      </c>
    </row>
    <row r="794" spans="1:9" ht="12.75" x14ac:dyDescent="0.2">
      <c r="A794" s="1">
        <v>793</v>
      </c>
      <c r="B794" s="2">
        <v>44962</v>
      </c>
      <c r="C794" s="1" t="s">
        <v>806</v>
      </c>
      <c r="D794" s="1" t="s">
        <v>10</v>
      </c>
      <c r="E794" s="1">
        <v>54</v>
      </c>
      <c r="F794" s="1" t="s">
        <v>11</v>
      </c>
      <c r="G794" s="1">
        <v>1</v>
      </c>
      <c r="H794" s="1">
        <v>30</v>
      </c>
      <c r="I794" s="1">
        <v>30</v>
      </c>
    </row>
    <row r="795" spans="1:9" ht="12.75" x14ac:dyDescent="0.2">
      <c r="A795" s="1">
        <v>794</v>
      </c>
      <c r="B795" s="2">
        <v>45186</v>
      </c>
      <c r="C795" s="1" t="s">
        <v>807</v>
      </c>
      <c r="D795" s="1" t="s">
        <v>13</v>
      </c>
      <c r="E795" s="1">
        <v>60</v>
      </c>
      <c r="F795" s="1" t="s">
        <v>11</v>
      </c>
      <c r="G795" s="1">
        <v>1</v>
      </c>
      <c r="H795" s="1">
        <v>300</v>
      </c>
      <c r="I795" s="1">
        <v>300</v>
      </c>
    </row>
    <row r="796" spans="1:9" ht="12.75" x14ac:dyDescent="0.2">
      <c r="A796" s="1">
        <v>795</v>
      </c>
      <c r="B796" s="2">
        <v>45258</v>
      </c>
      <c r="C796" s="1" t="s">
        <v>808</v>
      </c>
      <c r="D796" s="1" t="s">
        <v>10</v>
      </c>
      <c r="E796" s="1">
        <v>57</v>
      </c>
      <c r="F796" s="1" t="s">
        <v>16</v>
      </c>
      <c r="G796" s="1">
        <v>1</v>
      </c>
      <c r="H796" s="1">
        <v>300</v>
      </c>
      <c r="I796" s="1">
        <v>300</v>
      </c>
    </row>
    <row r="797" spans="1:9" ht="12.75" x14ac:dyDescent="0.2">
      <c r="A797" s="1">
        <v>796</v>
      </c>
      <c r="B797" s="2">
        <v>45101</v>
      </c>
      <c r="C797" s="1" t="s">
        <v>809</v>
      </c>
      <c r="D797" s="1" t="s">
        <v>10</v>
      </c>
      <c r="E797" s="1">
        <v>43</v>
      </c>
      <c r="F797" s="1" t="s">
        <v>11</v>
      </c>
      <c r="G797" s="1">
        <v>4</v>
      </c>
      <c r="H797" s="1">
        <v>30</v>
      </c>
      <c r="I797" s="1">
        <v>120</v>
      </c>
    </row>
    <row r="798" spans="1:9" ht="12.75" x14ac:dyDescent="0.2">
      <c r="A798" s="1">
        <v>797</v>
      </c>
      <c r="B798" s="2">
        <v>44933</v>
      </c>
      <c r="C798" s="1" t="s">
        <v>810</v>
      </c>
      <c r="D798" s="1" t="s">
        <v>10</v>
      </c>
      <c r="E798" s="1">
        <v>40</v>
      </c>
      <c r="F798" s="1" t="s">
        <v>14</v>
      </c>
      <c r="G798" s="1">
        <v>3</v>
      </c>
      <c r="H798" s="1">
        <v>25</v>
      </c>
      <c r="I798" s="1">
        <v>75</v>
      </c>
    </row>
    <row r="799" spans="1:9" ht="12.75" x14ac:dyDescent="0.2">
      <c r="A799" s="1">
        <v>798</v>
      </c>
      <c r="B799" s="2">
        <v>45142</v>
      </c>
      <c r="C799" s="1" t="s">
        <v>811</v>
      </c>
      <c r="D799" s="1" t="s">
        <v>10</v>
      </c>
      <c r="E799" s="1">
        <v>61</v>
      </c>
      <c r="F799" s="1" t="s">
        <v>14</v>
      </c>
      <c r="G799" s="1">
        <v>1</v>
      </c>
      <c r="H799" s="1">
        <v>50</v>
      </c>
      <c r="I799" s="1">
        <v>50</v>
      </c>
    </row>
    <row r="800" spans="1:9" ht="12.75" x14ac:dyDescent="0.2">
      <c r="A800" s="1">
        <v>799</v>
      </c>
      <c r="B800" s="2">
        <v>45177</v>
      </c>
      <c r="C800" s="1" t="s">
        <v>812</v>
      </c>
      <c r="D800" s="1" t="s">
        <v>10</v>
      </c>
      <c r="E800" s="1">
        <v>56</v>
      </c>
      <c r="F800" s="1" t="s">
        <v>16</v>
      </c>
      <c r="G800" s="1">
        <v>2</v>
      </c>
      <c r="H800" s="1">
        <v>50</v>
      </c>
      <c r="I800" s="1">
        <v>100</v>
      </c>
    </row>
    <row r="801" spans="1:9" ht="12.75" x14ac:dyDescent="0.2">
      <c r="A801" s="1">
        <v>800</v>
      </c>
      <c r="B801" s="2">
        <v>44981</v>
      </c>
      <c r="C801" s="1" t="s">
        <v>813</v>
      </c>
      <c r="D801" s="1" t="s">
        <v>10</v>
      </c>
      <c r="E801" s="1">
        <v>32</v>
      </c>
      <c r="F801" s="1" t="s">
        <v>14</v>
      </c>
      <c r="G801" s="1">
        <v>4</v>
      </c>
      <c r="H801" s="1">
        <v>300</v>
      </c>
      <c r="I801" s="1">
        <v>1200</v>
      </c>
    </row>
    <row r="802" spans="1:9" ht="12.75" x14ac:dyDescent="0.2">
      <c r="A802" s="1">
        <v>801</v>
      </c>
      <c r="B802" s="2">
        <v>45148</v>
      </c>
      <c r="C802" s="1" t="s">
        <v>814</v>
      </c>
      <c r="D802" s="1" t="s">
        <v>10</v>
      </c>
      <c r="E802" s="1">
        <v>21</v>
      </c>
      <c r="F802" s="1" t="s">
        <v>14</v>
      </c>
      <c r="G802" s="1">
        <v>4</v>
      </c>
      <c r="H802" s="1">
        <v>50</v>
      </c>
      <c r="I802" s="1">
        <v>200</v>
      </c>
    </row>
    <row r="803" spans="1:9" ht="12.75" x14ac:dyDescent="0.2">
      <c r="A803" s="1">
        <v>802</v>
      </c>
      <c r="B803" s="2">
        <v>45112</v>
      </c>
      <c r="C803" s="1" t="s">
        <v>815</v>
      </c>
      <c r="D803" s="1" t="s">
        <v>13</v>
      </c>
      <c r="E803" s="1">
        <v>46</v>
      </c>
      <c r="F803" s="1" t="s">
        <v>11</v>
      </c>
      <c r="G803" s="1">
        <v>1</v>
      </c>
      <c r="H803" s="1">
        <v>30</v>
      </c>
      <c r="I803" s="1">
        <v>30</v>
      </c>
    </row>
    <row r="804" spans="1:9" ht="12.75" x14ac:dyDescent="0.2">
      <c r="A804" s="1">
        <v>803</v>
      </c>
      <c r="B804" s="2">
        <v>45252</v>
      </c>
      <c r="C804" s="1" t="s">
        <v>816</v>
      </c>
      <c r="D804" s="1" t="s">
        <v>10</v>
      </c>
      <c r="E804" s="1">
        <v>39</v>
      </c>
      <c r="F804" s="1" t="s">
        <v>14</v>
      </c>
      <c r="G804" s="1">
        <v>4</v>
      </c>
      <c r="H804" s="1">
        <v>25</v>
      </c>
      <c r="I804" s="1">
        <v>100</v>
      </c>
    </row>
    <row r="805" spans="1:9" ht="12.75" x14ac:dyDescent="0.2">
      <c r="A805" s="1">
        <v>804</v>
      </c>
      <c r="B805" s="2">
        <v>45162</v>
      </c>
      <c r="C805" s="1" t="s">
        <v>817</v>
      </c>
      <c r="D805" s="1" t="s">
        <v>10</v>
      </c>
      <c r="E805" s="1">
        <v>42</v>
      </c>
      <c r="F805" s="1" t="s">
        <v>16</v>
      </c>
      <c r="G805" s="1">
        <v>1</v>
      </c>
      <c r="H805" s="1">
        <v>30</v>
      </c>
      <c r="I805" s="1">
        <v>30</v>
      </c>
    </row>
    <row r="806" spans="1:9" ht="12.75" x14ac:dyDescent="0.2">
      <c r="A806" s="1">
        <v>805</v>
      </c>
      <c r="B806" s="2">
        <v>45289</v>
      </c>
      <c r="C806" s="1" t="s">
        <v>818</v>
      </c>
      <c r="D806" s="1" t="s">
        <v>13</v>
      </c>
      <c r="E806" s="1">
        <v>30</v>
      </c>
      <c r="F806" s="1" t="s">
        <v>11</v>
      </c>
      <c r="G806" s="1">
        <v>3</v>
      </c>
      <c r="H806" s="1">
        <v>500</v>
      </c>
      <c r="I806" s="1">
        <v>1500</v>
      </c>
    </row>
    <row r="807" spans="1:9" ht="12.75" x14ac:dyDescent="0.2">
      <c r="A807" s="1">
        <v>806</v>
      </c>
      <c r="B807" s="2">
        <v>45005</v>
      </c>
      <c r="C807" s="1" t="s">
        <v>819</v>
      </c>
      <c r="D807" s="1" t="s">
        <v>13</v>
      </c>
      <c r="E807" s="1">
        <v>35</v>
      </c>
      <c r="F807" s="1" t="s">
        <v>11</v>
      </c>
      <c r="G807" s="1">
        <v>3</v>
      </c>
      <c r="H807" s="1">
        <v>300</v>
      </c>
      <c r="I807" s="1">
        <v>900</v>
      </c>
    </row>
    <row r="808" spans="1:9" ht="12.75" x14ac:dyDescent="0.2">
      <c r="A808" s="1">
        <v>807</v>
      </c>
      <c r="B808" s="2">
        <v>45149</v>
      </c>
      <c r="C808" s="1" t="s">
        <v>820</v>
      </c>
      <c r="D808" s="1" t="s">
        <v>13</v>
      </c>
      <c r="E808" s="1">
        <v>50</v>
      </c>
      <c r="F808" s="1" t="s">
        <v>16</v>
      </c>
      <c r="G808" s="1">
        <v>4</v>
      </c>
      <c r="H808" s="1">
        <v>50</v>
      </c>
      <c r="I808" s="1">
        <v>200</v>
      </c>
    </row>
    <row r="809" spans="1:9" ht="12.75" x14ac:dyDescent="0.2">
      <c r="A809" s="1">
        <v>808</v>
      </c>
      <c r="B809" s="2">
        <v>45017</v>
      </c>
      <c r="C809" s="1" t="s">
        <v>821</v>
      </c>
      <c r="D809" s="1" t="s">
        <v>10</v>
      </c>
      <c r="E809" s="1">
        <v>33</v>
      </c>
      <c r="F809" s="1" t="s">
        <v>11</v>
      </c>
      <c r="G809" s="1">
        <v>4</v>
      </c>
      <c r="H809" s="1">
        <v>500</v>
      </c>
      <c r="I809" s="1">
        <v>2000</v>
      </c>
    </row>
    <row r="810" spans="1:9" ht="12.75" x14ac:dyDescent="0.2">
      <c r="A810" s="1">
        <v>809</v>
      </c>
      <c r="B810" s="2">
        <v>45194</v>
      </c>
      <c r="C810" s="1" t="s">
        <v>822</v>
      </c>
      <c r="D810" s="1" t="s">
        <v>13</v>
      </c>
      <c r="E810" s="1">
        <v>62</v>
      </c>
      <c r="F810" s="1" t="s">
        <v>11</v>
      </c>
      <c r="G810" s="1">
        <v>2</v>
      </c>
      <c r="H810" s="1">
        <v>50</v>
      </c>
      <c r="I810" s="1">
        <v>100</v>
      </c>
    </row>
    <row r="811" spans="1:9" ht="12.75" x14ac:dyDescent="0.2">
      <c r="A811" s="1">
        <v>810</v>
      </c>
      <c r="B811" s="2">
        <v>45260</v>
      </c>
      <c r="C811" s="1" t="s">
        <v>823</v>
      </c>
      <c r="D811" s="1" t="s">
        <v>10</v>
      </c>
      <c r="E811" s="1">
        <v>59</v>
      </c>
      <c r="F811" s="1" t="s">
        <v>16</v>
      </c>
      <c r="G811" s="1">
        <v>4</v>
      </c>
      <c r="H811" s="1">
        <v>25</v>
      </c>
      <c r="I811" s="1">
        <v>100</v>
      </c>
    </row>
    <row r="812" spans="1:9" ht="12.75" x14ac:dyDescent="0.2">
      <c r="A812" s="1">
        <v>811</v>
      </c>
      <c r="B812" s="2">
        <v>45065</v>
      </c>
      <c r="C812" s="1" t="s">
        <v>824</v>
      </c>
      <c r="D812" s="1" t="s">
        <v>10</v>
      </c>
      <c r="E812" s="1">
        <v>61</v>
      </c>
      <c r="F812" s="1" t="s">
        <v>11</v>
      </c>
      <c r="G812" s="1">
        <v>2</v>
      </c>
      <c r="H812" s="1">
        <v>25</v>
      </c>
      <c r="I812" s="1">
        <v>50</v>
      </c>
    </row>
    <row r="813" spans="1:9" ht="12.75" x14ac:dyDescent="0.2">
      <c r="A813" s="1">
        <v>812</v>
      </c>
      <c r="B813" s="2">
        <v>45242</v>
      </c>
      <c r="C813" s="1" t="s">
        <v>825</v>
      </c>
      <c r="D813" s="1" t="s">
        <v>10</v>
      </c>
      <c r="E813" s="1">
        <v>19</v>
      </c>
      <c r="F813" s="1" t="s">
        <v>16</v>
      </c>
      <c r="G813" s="1">
        <v>3</v>
      </c>
      <c r="H813" s="1">
        <v>25</v>
      </c>
      <c r="I813" s="1">
        <v>75</v>
      </c>
    </row>
    <row r="814" spans="1:9" ht="12.75" x14ac:dyDescent="0.2">
      <c r="A814" s="1">
        <v>813</v>
      </c>
      <c r="B814" s="2">
        <v>45202</v>
      </c>
      <c r="C814" s="1" t="s">
        <v>826</v>
      </c>
      <c r="D814" s="1" t="s">
        <v>10</v>
      </c>
      <c r="E814" s="1">
        <v>52</v>
      </c>
      <c r="F814" s="1" t="s">
        <v>16</v>
      </c>
      <c r="G814" s="1">
        <v>3</v>
      </c>
      <c r="H814" s="1">
        <v>50</v>
      </c>
      <c r="I814" s="1">
        <v>150</v>
      </c>
    </row>
    <row r="815" spans="1:9" ht="12.75" x14ac:dyDescent="0.2">
      <c r="A815" s="1">
        <v>814</v>
      </c>
      <c r="B815" s="2">
        <v>45174</v>
      </c>
      <c r="C815" s="1" t="s">
        <v>827</v>
      </c>
      <c r="D815" s="1" t="s">
        <v>13</v>
      </c>
      <c r="E815" s="1">
        <v>59</v>
      </c>
      <c r="F815" s="1" t="s">
        <v>14</v>
      </c>
      <c r="G815" s="1">
        <v>1</v>
      </c>
      <c r="H815" s="1">
        <v>500</v>
      </c>
      <c r="I815" s="1">
        <v>500</v>
      </c>
    </row>
    <row r="816" spans="1:9" ht="12.75" x14ac:dyDescent="0.2">
      <c r="A816" s="1">
        <v>815</v>
      </c>
      <c r="B816" s="2">
        <v>45165</v>
      </c>
      <c r="C816" s="1" t="s">
        <v>828</v>
      </c>
      <c r="D816" s="1" t="s">
        <v>13</v>
      </c>
      <c r="E816" s="1">
        <v>51</v>
      </c>
      <c r="F816" s="1" t="s">
        <v>14</v>
      </c>
      <c r="G816" s="1">
        <v>3</v>
      </c>
      <c r="H816" s="1">
        <v>25</v>
      </c>
      <c r="I816" s="1">
        <v>75</v>
      </c>
    </row>
    <row r="817" spans="1:9" ht="12.75" x14ac:dyDescent="0.2">
      <c r="A817" s="1">
        <v>816</v>
      </c>
      <c r="B817" s="2">
        <v>45150</v>
      </c>
      <c r="C817" s="1" t="s">
        <v>829</v>
      </c>
      <c r="D817" s="1" t="s">
        <v>10</v>
      </c>
      <c r="E817" s="1">
        <v>47</v>
      </c>
      <c r="F817" s="1" t="s">
        <v>11</v>
      </c>
      <c r="G817" s="1">
        <v>2</v>
      </c>
      <c r="H817" s="1">
        <v>500</v>
      </c>
      <c r="I817" s="1">
        <v>1000</v>
      </c>
    </row>
    <row r="818" spans="1:9" ht="12.75" x14ac:dyDescent="0.2">
      <c r="A818" s="1">
        <v>817</v>
      </c>
      <c r="B818" s="2">
        <v>45230</v>
      </c>
      <c r="C818" s="1" t="s">
        <v>830</v>
      </c>
      <c r="D818" s="1" t="s">
        <v>10</v>
      </c>
      <c r="E818" s="1">
        <v>30</v>
      </c>
      <c r="F818" s="1" t="s">
        <v>11</v>
      </c>
      <c r="G818" s="1">
        <v>4</v>
      </c>
      <c r="H818" s="1">
        <v>50</v>
      </c>
      <c r="I818" s="1">
        <v>200</v>
      </c>
    </row>
    <row r="819" spans="1:9" ht="12.75" x14ac:dyDescent="0.2">
      <c r="A819" s="1">
        <v>818</v>
      </c>
      <c r="B819" s="2">
        <v>45064</v>
      </c>
      <c r="C819" s="1" t="s">
        <v>831</v>
      </c>
      <c r="D819" s="1" t="s">
        <v>10</v>
      </c>
      <c r="E819" s="1">
        <v>30</v>
      </c>
      <c r="F819" s="1" t="s">
        <v>16</v>
      </c>
      <c r="G819" s="1">
        <v>1</v>
      </c>
      <c r="H819" s="1">
        <v>500</v>
      </c>
      <c r="I819" s="1">
        <v>500</v>
      </c>
    </row>
    <row r="820" spans="1:9" ht="12.75" x14ac:dyDescent="0.2">
      <c r="A820" s="1">
        <v>819</v>
      </c>
      <c r="B820" s="2">
        <v>45092</v>
      </c>
      <c r="C820" s="1" t="s">
        <v>832</v>
      </c>
      <c r="D820" s="1" t="s">
        <v>13</v>
      </c>
      <c r="E820" s="1">
        <v>35</v>
      </c>
      <c r="F820" s="1" t="s">
        <v>11</v>
      </c>
      <c r="G820" s="1">
        <v>2</v>
      </c>
      <c r="H820" s="1">
        <v>50</v>
      </c>
      <c r="I820" s="1">
        <v>100</v>
      </c>
    </row>
    <row r="821" spans="1:9" ht="12.75" x14ac:dyDescent="0.2">
      <c r="A821" s="1">
        <v>820</v>
      </c>
      <c r="B821" s="2">
        <v>45052</v>
      </c>
      <c r="C821" s="1" t="s">
        <v>833</v>
      </c>
      <c r="D821" s="1" t="s">
        <v>10</v>
      </c>
      <c r="E821" s="1">
        <v>49</v>
      </c>
      <c r="F821" s="1" t="s">
        <v>16</v>
      </c>
      <c r="G821" s="1">
        <v>4</v>
      </c>
      <c r="H821" s="1">
        <v>50</v>
      </c>
      <c r="I821" s="1">
        <v>200</v>
      </c>
    </row>
    <row r="822" spans="1:9" ht="12.75" x14ac:dyDescent="0.2">
      <c r="A822" s="1">
        <v>821</v>
      </c>
      <c r="B822" s="2">
        <v>44971</v>
      </c>
      <c r="C822" s="1" t="s">
        <v>834</v>
      </c>
      <c r="D822" s="1" t="s">
        <v>10</v>
      </c>
      <c r="E822" s="1">
        <v>49</v>
      </c>
      <c r="F822" s="1" t="s">
        <v>16</v>
      </c>
      <c r="G822" s="1">
        <v>1</v>
      </c>
      <c r="H822" s="1">
        <v>300</v>
      </c>
      <c r="I822" s="1">
        <v>300</v>
      </c>
    </row>
    <row r="823" spans="1:9" ht="12.75" x14ac:dyDescent="0.2">
      <c r="A823" s="1">
        <v>822</v>
      </c>
      <c r="B823" s="2">
        <v>45069</v>
      </c>
      <c r="C823" s="1" t="s">
        <v>835</v>
      </c>
      <c r="D823" s="1" t="s">
        <v>13</v>
      </c>
      <c r="E823" s="1">
        <v>52</v>
      </c>
      <c r="F823" s="1" t="s">
        <v>11</v>
      </c>
      <c r="G823" s="1">
        <v>3</v>
      </c>
      <c r="H823" s="1">
        <v>50</v>
      </c>
      <c r="I823" s="1">
        <v>150</v>
      </c>
    </row>
    <row r="824" spans="1:9" ht="12.75" x14ac:dyDescent="0.2">
      <c r="A824" s="1">
        <v>823</v>
      </c>
      <c r="B824" s="2">
        <v>45157</v>
      </c>
      <c r="C824" s="1" t="s">
        <v>836</v>
      </c>
      <c r="D824" s="1" t="s">
        <v>13</v>
      </c>
      <c r="E824" s="1">
        <v>56</v>
      </c>
      <c r="F824" s="1" t="s">
        <v>16</v>
      </c>
      <c r="G824" s="1">
        <v>2</v>
      </c>
      <c r="H824" s="1">
        <v>50</v>
      </c>
      <c r="I824" s="1">
        <v>100</v>
      </c>
    </row>
    <row r="825" spans="1:9" ht="12.75" x14ac:dyDescent="0.2">
      <c r="A825" s="1">
        <v>824</v>
      </c>
      <c r="B825" s="2">
        <v>45051</v>
      </c>
      <c r="C825" s="1" t="s">
        <v>837</v>
      </c>
      <c r="D825" s="1" t="s">
        <v>10</v>
      </c>
      <c r="E825" s="1">
        <v>63</v>
      </c>
      <c r="F825" s="1" t="s">
        <v>14</v>
      </c>
      <c r="G825" s="1">
        <v>4</v>
      </c>
      <c r="H825" s="1">
        <v>30</v>
      </c>
      <c r="I825" s="1">
        <v>120</v>
      </c>
    </row>
    <row r="826" spans="1:9" ht="12.75" x14ac:dyDescent="0.2">
      <c r="A826" s="1">
        <v>825</v>
      </c>
      <c r="B826" s="2">
        <v>45164</v>
      </c>
      <c r="C826" s="1" t="s">
        <v>838</v>
      </c>
      <c r="D826" s="1" t="s">
        <v>13</v>
      </c>
      <c r="E826" s="1">
        <v>46</v>
      </c>
      <c r="F826" s="1" t="s">
        <v>11</v>
      </c>
      <c r="G826" s="1">
        <v>1</v>
      </c>
      <c r="H826" s="1">
        <v>25</v>
      </c>
      <c r="I826" s="1">
        <v>25</v>
      </c>
    </row>
    <row r="827" spans="1:9" ht="12.75" x14ac:dyDescent="0.2">
      <c r="A827" s="1">
        <v>826</v>
      </c>
      <c r="B827" s="2">
        <v>45218</v>
      </c>
      <c r="C827" s="1" t="s">
        <v>839</v>
      </c>
      <c r="D827" s="1" t="s">
        <v>13</v>
      </c>
      <c r="E827" s="1">
        <v>46</v>
      </c>
      <c r="F827" s="1" t="s">
        <v>14</v>
      </c>
      <c r="G827" s="1">
        <v>1</v>
      </c>
      <c r="H827" s="1">
        <v>300</v>
      </c>
      <c r="I827" s="1">
        <v>300</v>
      </c>
    </row>
    <row r="828" spans="1:9" ht="12.75" x14ac:dyDescent="0.2">
      <c r="A828" s="1">
        <v>827</v>
      </c>
      <c r="B828" s="2">
        <v>45239</v>
      </c>
      <c r="C828" s="1" t="s">
        <v>840</v>
      </c>
      <c r="D828" s="1" t="s">
        <v>10</v>
      </c>
      <c r="E828" s="1">
        <v>61</v>
      </c>
      <c r="F828" s="1" t="s">
        <v>11</v>
      </c>
      <c r="G828" s="1">
        <v>3</v>
      </c>
      <c r="H828" s="1">
        <v>300</v>
      </c>
      <c r="I828" s="1">
        <v>900</v>
      </c>
    </row>
    <row r="829" spans="1:9" ht="12.75" x14ac:dyDescent="0.2">
      <c r="A829" s="1">
        <v>828</v>
      </c>
      <c r="B829" s="2">
        <v>45269</v>
      </c>
      <c r="C829" s="1" t="s">
        <v>841</v>
      </c>
      <c r="D829" s="1" t="s">
        <v>13</v>
      </c>
      <c r="E829" s="1">
        <v>33</v>
      </c>
      <c r="F829" s="1" t="s">
        <v>16</v>
      </c>
      <c r="G829" s="1">
        <v>4</v>
      </c>
      <c r="H829" s="1">
        <v>300</v>
      </c>
      <c r="I829" s="1">
        <v>1200</v>
      </c>
    </row>
    <row r="830" spans="1:9" ht="12.75" x14ac:dyDescent="0.2">
      <c r="A830" s="1">
        <v>829</v>
      </c>
      <c r="B830" s="2">
        <v>45121</v>
      </c>
      <c r="C830" s="1" t="s">
        <v>842</v>
      </c>
      <c r="D830" s="1" t="s">
        <v>10</v>
      </c>
      <c r="E830" s="1">
        <v>61</v>
      </c>
      <c r="F830" s="1" t="s">
        <v>11</v>
      </c>
      <c r="G830" s="1">
        <v>3</v>
      </c>
      <c r="H830" s="1">
        <v>30</v>
      </c>
      <c r="I830" s="1">
        <v>90</v>
      </c>
    </row>
    <row r="831" spans="1:9" ht="12.75" x14ac:dyDescent="0.2">
      <c r="A831" s="1">
        <v>830</v>
      </c>
      <c r="B831" s="2">
        <v>45099</v>
      </c>
      <c r="C831" s="1" t="s">
        <v>843</v>
      </c>
      <c r="D831" s="1" t="s">
        <v>13</v>
      </c>
      <c r="E831" s="1">
        <v>64</v>
      </c>
      <c r="F831" s="1" t="s">
        <v>14</v>
      </c>
      <c r="G831" s="1">
        <v>3</v>
      </c>
      <c r="H831" s="1">
        <v>50</v>
      </c>
      <c r="I831" s="1">
        <v>150</v>
      </c>
    </row>
    <row r="832" spans="1:9" ht="12.75" x14ac:dyDescent="0.2">
      <c r="A832" s="1">
        <v>831</v>
      </c>
      <c r="B832" s="2">
        <v>44941</v>
      </c>
      <c r="C832" s="1" t="s">
        <v>844</v>
      </c>
      <c r="D832" s="1" t="s">
        <v>10</v>
      </c>
      <c r="E832" s="1">
        <v>27</v>
      </c>
      <c r="F832" s="1" t="s">
        <v>16</v>
      </c>
      <c r="G832" s="1">
        <v>4</v>
      </c>
      <c r="H832" s="1">
        <v>25</v>
      </c>
      <c r="I832" s="1">
        <v>100</v>
      </c>
    </row>
    <row r="833" spans="1:9" ht="12.75" x14ac:dyDescent="0.2">
      <c r="A833" s="1">
        <v>832</v>
      </c>
      <c r="B833" s="2">
        <v>45180</v>
      </c>
      <c r="C833" s="1" t="s">
        <v>845</v>
      </c>
      <c r="D833" s="1" t="s">
        <v>10</v>
      </c>
      <c r="E833" s="1">
        <v>47</v>
      </c>
      <c r="F833" s="1" t="s">
        <v>11</v>
      </c>
      <c r="G833" s="1">
        <v>4</v>
      </c>
      <c r="H833" s="1">
        <v>500</v>
      </c>
      <c r="I833" s="1">
        <v>2000</v>
      </c>
    </row>
    <row r="834" spans="1:9" ht="12.75" x14ac:dyDescent="0.2">
      <c r="A834" s="1">
        <v>833</v>
      </c>
      <c r="B834" s="2">
        <v>45093</v>
      </c>
      <c r="C834" s="1" t="s">
        <v>846</v>
      </c>
      <c r="D834" s="1" t="s">
        <v>10</v>
      </c>
      <c r="E834" s="1">
        <v>42</v>
      </c>
      <c r="F834" s="1" t="s">
        <v>11</v>
      </c>
      <c r="G834" s="1">
        <v>4</v>
      </c>
      <c r="H834" s="1">
        <v>50</v>
      </c>
      <c r="I834" s="1">
        <v>200</v>
      </c>
    </row>
    <row r="835" spans="1:9" ht="12.75" x14ac:dyDescent="0.2">
      <c r="A835" s="1">
        <v>834</v>
      </c>
      <c r="B835" s="2">
        <v>45020</v>
      </c>
      <c r="C835" s="1" t="s">
        <v>847</v>
      </c>
      <c r="D835" s="1" t="s">
        <v>13</v>
      </c>
      <c r="E835" s="1">
        <v>56</v>
      </c>
      <c r="F835" s="1" t="s">
        <v>11</v>
      </c>
      <c r="G835" s="1">
        <v>2</v>
      </c>
      <c r="H835" s="1">
        <v>30</v>
      </c>
      <c r="I835" s="1">
        <v>60</v>
      </c>
    </row>
    <row r="836" spans="1:9" ht="12.75" x14ac:dyDescent="0.2">
      <c r="A836" s="1">
        <v>835</v>
      </c>
      <c r="B836" s="2">
        <v>45176</v>
      </c>
      <c r="C836" s="1" t="s">
        <v>848</v>
      </c>
      <c r="D836" s="1" t="s">
        <v>10</v>
      </c>
      <c r="E836" s="1">
        <v>37</v>
      </c>
      <c r="F836" s="1" t="s">
        <v>14</v>
      </c>
      <c r="G836" s="1">
        <v>4</v>
      </c>
      <c r="H836" s="1">
        <v>50</v>
      </c>
      <c r="I836" s="1">
        <v>200</v>
      </c>
    </row>
    <row r="837" spans="1:9" ht="12.75" x14ac:dyDescent="0.2">
      <c r="A837" s="1">
        <v>836</v>
      </c>
      <c r="B837" s="2">
        <v>45035</v>
      </c>
      <c r="C837" s="1" t="s">
        <v>849</v>
      </c>
      <c r="D837" s="1" t="s">
        <v>13</v>
      </c>
      <c r="E837" s="1">
        <v>22</v>
      </c>
      <c r="F837" s="1" t="s">
        <v>14</v>
      </c>
      <c r="G837" s="1">
        <v>1</v>
      </c>
      <c r="H837" s="1">
        <v>50</v>
      </c>
      <c r="I837" s="1">
        <v>50</v>
      </c>
    </row>
    <row r="838" spans="1:9" ht="12.75" x14ac:dyDescent="0.2">
      <c r="A838" s="1">
        <v>837</v>
      </c>
      <c r="B838" s="2">
        <v>45108</v>
      </c>
      <c r="C838" s="1" t="s">
        <v>850</v>
      </c>
      <c r="D838" s="1" t="s">
        <v>10</v>
      </c>
      <c r="E838" s="1">
        <v>18</v>
      </c>
      <c r="F838" s="1" t="s">
        <v>11</v>
      </c>
      <c r="G838" s="1">
        <v>3</v>
      </c>
      <c r="H838" s="1">
        <v>30</v>
      </c>
      <c r="I838" s="1">
        <v>90</v>
      </c>
    </row>
    <row r="839" spans="1:9" ht="12.75" x14ac:dyDescent="0.2">
      <c r="A839" s="1">
        <v>838</v>
      </c>
      <c r="B839" s="2">
        <v>45059</v>
      </c>
      <c r="C839" s="1" t="s">
        <v>851</v>
      </c>
      <c r="D839" s="1" t="s">
        <v>10</v>
      </c>
      <c r="E839" s="1">
        <v>47</v>
      </c>
      <c r="F839" s="1" t="s">
        <v>16</v>
      </c>
      <c r="G839" s="1">
        <v>2</v>
      </c>
      <c r="H839" s="1">
        <v>300</v>
      </c>
      <c r="I839" s="1">
        <v>600</v>
      </c>
    </row>
    <row r="840" spans="1:9" ht="12.75" x14ac:dyDescent="0.2">
      <c r="A840" s="1">
        <v>839</v>
      </c>
      <c r="B840" s="2">
        <v>45101</v>
      </c>
      <c r="C840" s="1" t="s">
        <v>852</v>
      </c>
      <c r="D840" s="1" t="s">
        <v>13</v>
      </c>
      <c r="E840" s="1">
        <v>20</v>
      </c>
      <c r="F840" s="1" t="s">
        <v>16</v>
      </c>
      <c r="G840" s="1">
        <v>4</v>
      </c>
      <c r="H840" s="1">
        <v>300</v>
      </c>
      <c r="I840" s="1">
        <v>1200</v>
      </c>
    </row>
    <row r="841" spans="1:9" ht="12.75" x14ac:dyDescent="0.2">
      <c r="A841" s="1">
        <v>840</v>
      </c>
      <c r="B841" s="2">
        <v>45070</v>
      </c>
      <c r="C841" s="1" t="s">
        <v>853</v>
      </c>
      <c r="D841" s="1" t="s">
        <v>10</v>
      </c>
      <c r="E841" s="1">
        <v>62</v>
      </c>
      <c r="F841" s="1" t="s">
        <v>14</v>
      </c>
      <c r="G841" s="1">
        <v>2</v>
      </c>
      <c r="H841" s="1">
        <v>25</v>
      </c>
      <c r="I841" s="1">
        <v>50</v>
      </c>
    </row>
    <row r="842" spans="1:9" ht="12.75" x14ac:dyDescent="0.2">
      <c r="A842" s="1">
        <v>841</v>
      </c>
      <c r="B842" s="2">
        <v>45232</v>
      </c>
      <c r="C842" s="1" t="s">
        <v>854</v>
      </c>
      <c r="D842" s="1" t="s">
        <v>10</v>
      </c>
      <c r="E842" s="1">
        <v>31</v>
      </c>
      <c r="F842" s="1" t="s">
        <v>16</v>
      </c>
      <c r="G842" s="1">
        <v>4</v>
      </c>
      <c r="H842" s="1">
        <v>25</v>
      </c>
      <c r="I842" s="1">
        <v>100</v>
      </c>
    </row>
    <row r="843" spans="1:9" ht="12.75" x14ac:dyDescent="0.2">
      <c r="A843" s="1">
        <v>842</v>
      </c>
      <c r="B843" s="2">
        <v>45286</v>
      </c>
      <c r="C843" s="1" t="s">
        <v>855</v>
      </c>
      <c r="D843" s="1" t="s">
        <v>13</v>
      </c>
      <c r="E843" s="1">
        <v>47</v>
      </c>
      <c r="F843" s="1" t="s">
        <v>14</v>
      </c>
      <c r="G843" s="1">
        <v>2</v>
      </c>
      <c r="H843" s="1">
        <v>300</v>
      </c>
      <c r="I843" s="1">
        <v>600</v>
      </c>
    </row>
    <row r="844" spans="1:9" ht="12.75" x14ac:dyDescent="0.2">
      <c r="A844" s="1">
        <v>843</v>
      </c>
      <c r="B844" s="2">
        <v>45068</v>
      </c>
      <c r="C844" s="1" t="s">
        <v>856</v>
      </c>
      <c r="D844" s="1" t="s">
        <v>10</v>
      </c>
      <c r="E844" s="1">
        <v>21</v>
      </c>
      <c r="F844" s="1" t="s">
        <v>11</v>
      </c>
      <c r="G844" s="1">
        <v>3</v>
      </c>
      <c r="H844" s="1">
        <v>500</v>
      </c>
      <c r="I844" s="1">
        <v>1500</v>
      </c>
    </row>
    <row r="845" spans="1:9" ht="12.75" x14ac:dyDescent="0.2">
      <c r="A845" s="1">
        <v>844</v>
      </c>
      <c r="B845" s="2">
        <v>45211</v>
      </c>
      <c r="C845" s="1" t="s">
        <v>857</v>
      </c>
      <c r="D845" s="1" t="s">
        <v>10</v>
      </c>
      <c r="E845" s="1">
        <v>35</v>
      </c>
      <c r="F845" s="1" t="s">
        <v>14</v>
      </c>
      <c r="G845" s="1">
        <v>3</v>
      </c>
      <c r="H845" s="1">
        <v>50</v>
      </c>
      <c r="I845" s="1">
        <v>150</v>
      </c>
    </row>
    <row r="846" spans="1:9" ht="12.75" x14ac:dyDescent="0.2">
      <c r="A846" s="1">
        <v>845</v>
      </c>
      <c r="B846" s="2">
        <v>44932</v>
      </c>
      <c r="C846" s="1" t="s">
        <v>858</v>
      </c>
      <c r="D846" s="1" t="s">
        <v>10</v>
      </c>
      <c r="E846" s="1">
        <v>54</v>
      </c>
      <c r="F846" s="1" t="s">
        <v>14</v>
      </c>
      <c r="G846" s="1">
        <v>1</v>
      </c>
      <c r="H846" s="1">
        <v>500</v>
      </c>
      <c r="I846" s="1">
        <v>500</v>
      </c>
    </row>
    <row r="847" spans="1:9" ht="12.75" x14ac:dyDescent="0.2">
      <c r="A847" s="1">
        <v>846</v>
      </c>
      <c r="B847" s="2">
        <v>45191</v>
      </c>
      <c r="C847" s="1" t="s">
        <v>859</v>
      </c>
      <c r="D847" s="1" t="s">
        <v>10</v>
      </c>
      <c r="E847" s="1">
        <v>42</v>
      </c>
      <c r="F847" s="1" t="s">
        <v>11</v>
      </c>
      <c r="G847" s="1">
        <v>1</v>
      </c>
      <c r="H847" s="1">
        <v>50</v>
      </c>
      <c r="I847" s="1">
        <v>50</v>
      </c>
    </row>
    <row r="848" spans="1:9" ht="12.75" x14ac:dyDescent="0.2">
      <c r="A848" s="1">
        <v>847</v>
      </c>
      <c r="B848" s="2">
        <v>45024</v>
      </c>
      <c r="C848" s="1" t="s">
        <v>860</v>
      </c>
      <c r="D848" s="1" t="s">
        <v>13</v>
      </c>
      <c r="E848" s="1">
        <v>18</v>
      </c>
      <c r="F848" s="1" t="s">
        <v>16</v>
      </c>
      <c r="G848" s="1">
        <v>4</v>
      </c>
      <c r="H848" s="1">
        <v>300</v>
      </c>
      <c r="I848" s="1">
        <v>1200</v>
      </c>
    </row>
    <row r="849" spans="1:9" ht="12.75" x14ac:dyDescent="0.2">
      <c r="A849" s="1">
        <v>848</v>
      </c>
      <c r="B849" s="2">
        <v>44970</v>
      </c>
      <c r="C849" s="1" t="s">
        <v>861</v>
      </c>
      <c r="D849" s="1" t="s">
        <v>13</v>
      </c>
      <c r="E849" s="1">
        <v>63</v>
      </c>
      <c r="F849" s="1" t="s">
        <v>14</v>
      </c>
      <c r="G849" s="1">
        <v>3</v>
      </c>
      <c r="H849" s="1">
        <v>25</v>
      </c>
      <c r="I849" s="1">
        <v>75</v>
      </c>
    </row>
    <row r="850" spans="1:9" ht="12.75" x14ac:dyDescent="0.2">
      <c r="A850" s="1">
        <v>849</v>
      </c>
      <c r="B850" s="2">
        <v>45050</v>
      </c>
      <c r="C850" s="1" t="s">
        <v>862</v>
      </c>
      <c r="D850" s="1" t="s">
        <v>10</v>
      </c>
      <c r="E850" s="1">
        <v>32</v>
      </c>
      <c r="F850" s="1" t="s">
        <v>14</v>
      </c>
      <c r="G850" s="1">
        <v>2</v>
      </c>
      <c r="H850" s="1">
        <v>25</v>
      </c>
      <c r="I850" s="1">
        <v>50</v>
      </c>
    </row>
    <row r="851" spans="1:9" ht="12.75" x14ac:dyDescent="0.2">
      <c r="A851" s="1">
        <v>850</v>
      </c>
      <c r="B851" s="2">
        <v>45135</v>
      </c>
      <c r="C851" s="1" t="s">
        <v>863</v>
      </c>
      <c r="D851" s="1" t="s">
        <v>13</v>
      </c>
      <c r="E851" s="1">
        <v>26</v>
      </c>
      <c r="F851" s="1" t="s">
        <v>11</v>
      </c>
      <c r="G851" s="1">
        <v>2</v>
      </c>
      <c r="H851" s="1">
        <v>500</v>
      </c>
      <c r="I851" s="1">
        <v>1000</v>
      </c>
    </row>
    <row r="852" spans="1:9" ht="12.75" x14ac:dyDescent="0.2">
      <c r="A852" s="1">
        <v>851</v>
      </c>
      <c r="B852" s="2">
        <v>45177</v>
      </c>
      <c r="C852" s="1" t="s">
        <v>864</v>
      </c>
      <c r="D852" s="1" t="s">
        <v>10</v>
      </c>
      <c r="E852" s="1">
        <v>32</v>
      </c>
      <c r="F852" s="1" t="s">
        <v>16</v>
      </c>
      <c r="G852" s="1">
        <v>2</v>
      </c>
      <c r="H852" s="1">
        <v>25</v>
      </c>
      <c r="I852" s="1">
        <v>50</v>
      </c>
    </row>
    <row r="853" spans="1:9" ht="12.75" x14ac:dyDescent="0.2">
      <c r="A853" s="1">
        <v>852</v>
      </c>
      <c r="B853" s="2">
        <v>45211</v>
      </c>
      <c r="C853" s="1" t="s">
        <v>865</v>
      </c>
      <c r="D853" s="1" t="s">
        <v>13</v>
      </c>
      <c r="E853" s="1">
        <v>41</v>
      </c>
      <c r="F853" s="1" t="s">
        <v>14</v>
      </c>
      <c r="G853" s="1">
        <v>1</v>
      </c>
      <c r="H853" s="1">
        <v>300</v>
      </c>
      <c r="I853" s="1">
        <v>300</v>
      </c>
    </row>
    <row r="854" spans="1:9" ht="12.75" x14ac:dyDescent="0.2">
      <c r="A854" s="1">
        <v>853</v>
      </c>
      <c r="B854" s="2">
        <v>45050</v>
      </c>
      <c r="C854" s="1" t="s">
        <v>866</v>
      </c>
      <c r="D854" s="1" t="s">
        <v>10</v>
      </c>
      <c r="E854" s="1">
        <v>21</v>
      </c>
      <c r="F854" s="1" t="s">
        <v>11</v>
      </c>
      <c r="G854" s="1">
        <v>2</v>
      </c>
      <c r="H854" s="1">
        <v>500</v>
      </c>
      <c r="I854" s="1">
        <v>1000</v>
      </c>
    </row>
    <row r="855" spans="1:9" ht="12.75" x14ac:dyDescent="0.2">
      <c r="A855" s="1">
        <v>854</v>
      </c>
      <c r="B855" s="2">
        <v>45280</v>
      </c>
      <c r="C855" s="1" t="s">
        <v>867</v>
      </c>
      <c r="D855" s="1" t="s">
        <v>10</v>
      </c>
      <c r="E855" s="1">
        <v>29</v>
      </c>
      <c r="F855" s="1" t="s">
        <v>14</v>
      </c>
      <c r="G855" s="1">
        <v>1</v>
      </c>
      <c r="H855" s="1">
        <v>50</v>
      </c>
      <c r="I855" s="1">
        <v>50</v>
      </c>
    </row>
    <row r="856" spans="1:9" ht="12.75" x14ac:dyDescent="0.2">
      <c r="A856" s="1">
        <v>855</v>
      </c>
      <c r="B856" s="2">
        <v>45170</v>
      </c>
      <c r="C856" s="1" t="s">
        <v>868</v>
      </c>
      <c r="D856" s="1" t="s">
        <v>10</v>
      </c>
      <c r="E856" s="1">
        <v>54</v>
      </c>
      <c r="F856" s="1" t="s">
        <v>11</v>
      </c>
      <c r="G856" s="1">
        <v>1</v>
      </c>
      <c r="H856" s="1">
        <v>25</v>
      </c>
      <c r="I856" s="1">
        <v>25</v>
      </c>
    </row>
    <row r="857" spans="1:9" ht="12.75" x14ac:dyDescent="0.2">
      <c r="A857" s="1">
        <v>856</v>
      </c>
      <c r="B857" s="2">
        <v>45257</v>
      </c>
      <c r="C857" s="1" t="s">
        <v>869</v>
      </c>
      <c r="D857" s="1" t="s">
        <v>10</v>
      </c>
      <c r="E857" s="1">
        <v>54</v>
      </c>
      <c r="F857" s="1" t="s">
        <v>16</v>
      </c>
      <c r="G857" s="1">
        <v>4</v>
      </c>
      <c r="H857" s="1">
        <v>30</v>
      </c>
      <c r="I857" s="1">
        <v>120</v>
      </c>
    </row>
    <row r="858" spans="1:9" ht="12.75" x14ac:dyDescent="0.2">
      <c r="A858" s="1">
        <v>857</v>
      </c>
      <c r="B858" s="2">
        <v>45291</v>
      </c>
      <c r="C858" s="1" t="s">
        <v>870</v>
      </c>
      <c r="D858" s="1" t="s">
        <v>10</v>
      </c>
      <c r="E858" s="1">
        <v>60</v>
      </c>
      <c r="F858" s="1" t="s">
        <v>16</v>
      </c>
      <c r="G858" s="1">
        <v>2</v>
      </c>
      <c r="H858" s="1">
        <v>25</v>
      </c>
      <c r="I858" s="1">
        <v>50</v>
      </c>
    </row>
    <row r="859" spans="1:9" ht="12.75" x14ac:dyDescent="0.2">
      <c r="A859" s="1">
        <v>858</v>
      </c>
      <c r="B859" s="2">
        <v>45178</v>
      </c>
      <c r="C859" s="1" t="s">
        <v>871</v>
      </c>
      <c r="D859" s="1" t="s">
        <v>10</v>
      </c>
      <c r="E859" s="1">
        <v>23</v>
      </c>
      <c r="F859" s="1" t="s">
        <v>16</v>
      </c>
      <c r="G859" s="1">
        <v>2</v>
      </c>
      <c r="H859" s="1">
        <v>50</v>
      </c>
      <c r="I859" s="1">
        <v>100</v>
      </c>
    </row>
    <row r="860" spans="1:9" ht="12.75" x14ac:dyDescent="0.2">
      <c r="A860" s="1">
        <v>859</v>
      </c>
      <c r="B860" s="2">
        <v>45156</v>
      </c>
      <c r="C860" s="1" t="s">
        <v>872</v>
      </c>
      <c r="D860" s="1" t="s">
        <v>13</v>
      </c>
      <c r="E860" s="1">
        <v>56</v>
      </c>
      <c r="F860" s="1" t="s">
        <v>16</v>
      </c>
      <c r="G860" s="1">
        <v>3</v>
      </c>
      <c r="H860" s="1">
        <v>500</v>
      </c>
      <c r="I860" s="1">
        <v>1500</v>
      </c>
    </row>
    <row r="861" spans="1:9" ht="12.75" x14ac:dyDescent="0.2">
      <c r="A861" s="1">
        <v>860</v>
      </c>
      <c r="B861" s="2">
        <v>44935</v>
      </c>
      <c r="C861" s="1" t="s">
        <v>873</v>
      </c>
      <c r="D861" s="1" t="s">
        <v>10</v>
      </c>
      <c r="E861" s="1">
        <v>63</v>
      </c>
      <c r="F861" s="1" t="s">
        <v>14</v>
      </c>
      <c r="G861" s="1">
        <v>4</v>
      </c>
      <c r="H861" s="1">
        <v>50</v>
      </c>
      <c r="I861" s="1">
        <v>200</v>
      </c>
    </row>
    <row r="862" spans="1:9" ht="12.75" x14ac:dyDescent="0.2">
      <c r="A862" s="1">
        <v>861</v>
      </c>
      <c r="B862" s="2">
        <v>44974</v>
      </c>
      <c r="C862" s="1" t="s">
        <v>874</v>
      </c>
      <c r="D862" s="1" t="s">
        <v>13</v>
      </c>
      <c r="E862" s="1">
        <v>41</v>
      </c>
      <c r="F862" s="1" t="s">
        <v>14</v>
      </c>
      <c r="G862" s="1">
        <v>3</v>
      </c>
      <c r="H862" s="1">
        <v>30</v>
      </c>
      <c r="I862" s="1">
        <v>90</v>
      </c>
    </row>
    <row r="863" spans="1:9" ht="12.75" x14ac:dyDescent="0.2">
      <c r="A863" s="1">
        <v>862</v>
      </c>
      <c r="B863" s="2">
        <v>45077</v>
      </c>
      <c r="C863" s="1" t="s">
        <v>875</v>
      </c>
      <c r="D863" s="1" t="s">
        <v>10</v>
      </c>
      <c r="E863" s="1">
        <v>28</v>
      </c>
      <c r="F863" s="1" t="s">
        <v>16</v>
      </c>
      <c r="G863" s="1">
        <v>4</v>
      </c>
      <c r="H863" s="1">
        <v>300</v>
      </c>
      <c r="I863" s="1">
        <v>1200</v>
      </c>
    </row>
    <row r="864" spans="1:9" ht="12.75" x14ac:dyDescent="0.2">
      <c r="A864" s="1">
        <v>863</v>
      </c>
      <c r="B864" s="2">
        <v>45040</v>
      </c>
      <c r="C864" s="1" t="s">
        <v>876</v>
      </c>
      <c r="D864" s="1" t="s">
        <v>13</v>
      </c>
      <c r="E864" s="1">
        <v>30</v>
      </c>
      <c r="F864" s="1" t="s">
        <v>16</v>
      </c>
      <c r="G864" s="1">
        <v>2</v>
      </c>
      <c r="H864" s="1">
        <v>25</v>
      </c>
      <c r="I864" s="1">
        <v>50</v>
      </c>
    </row>
    <row r="865" spans="1:9" ht="12.75" x14ac:dyDescent="0.2">
      <c r="A865" s="1">
        <v>864</v>
      </c>
      <c r="B865" s="2">
        <v>45134</v>
      </c>
      <c r="C865" s="1" t="s">
        <v>877</v>
      </c>
      <c r="D865" s="1" t="s">
        <v>13</v>
      </c>
      <c r="E865" s="1">
        <v>51</v>
      </c>
      <c r="F865" s="1" t="s">
        <v>16</v>
      </c>
      <c r="G865" s="1">
        <v>1</v>
      </c>
      <c r="H865" s="1">
        <v>500</v>
      </c>
      <c r="I865" s="1">
        <v>500</v>
      </c>
    </row>
    <row r="866" spans="1:9" ht="12.75" x14ac:dyDescent="0.2">
      <c r="A866" s="1">
        <v>865</v>
      </c>
      <c r="B866" s="2">
        <v>45281</v>
      </c>
      <c r="C866" s="1" t="s">
        <v>878</v>
      </c>
      <c r="D866" s="1" t="s">
        <v>13</v>
      </c>
      <c r="E866" s="1">
        <v>42</v>
      </c>
      <c r="F866" s="1" t="s">
        <v>14</v>
      </c>
      <c r="G866" s="1">
        <v>1</v>
      </c>
      <c r="H866" s="1">
        <v>300</v>
      </c>
      <c r="I866" s="1">
        <v>300</v>
      </c>
    </row>
    <row r="867" spans="1:9" ht="12.75" x14ac:dyDescent="0.2">
      <c r="A867" s="1">
        <v>866</v>
      </c>
      <c r="B867" s="2">
        <v>45051</v>
      </c>
      <c r="C867" s="1" t="s">
        <v>879</v>
      </c>
      <c r="D867" s="1" t="s">
        <v>10</v>
      </c>
      <c r="E867" s="1">
        <v>24</v>
      </c>
      <c r="F867" s="1" t="s">
        <v>16</v>
      </c>
      <c r="G867" s="1">
        <v>1</v>
      </c>
      <c r="H867" s="1">
        <v>50</v>
      </c>
      <c r="I867" s="1">
        <v>50</v>
      </c>
    </row>
    <row r="868" spans="1:9" ht="12.75" x14ac:dyDescent="0.2">
      <c r="A868" s="1">
        <v>867</v>
      </c>
      <c r="B868" s="2">
        <v>45083</v>
      </c>
      <c r="C868" s="1" t="s">
        <v>880</v>
      </c>
      <c r="D868" s="1" t="s">
        <v>10</v>
      </c>
      <c r="E868" s="1">
        <v>21</v>
      </c>
      <c r="F868" s="1" t="s">
        <v>16</v>
      </c>
      <c r="G868" s="1">
        <v>1</v>
      </c>
      <c r="H868" s="1">
        <v>500</v>
      </c>
      <c r="I868" s="1">
        <v>500</v>
      </c>
    </row>
    <row r="869" spans="1:9" ht="12.75" x14ac:dyDescent="0.2">
      <c r="A869" s="1">
        <v>868</v>
      </c>
      <c r="B869" s="2">
        <v>45266</v>
      </c>
      <c r="C869" s="1" t="s">
        <v>881</v>
      </c>
      <c r="D869" s="1" t="s">
        <v>13</v>
      </c>
      <c r="E869" s="1">
        <v>25</v>
      </c>
      <c r="F869" s="1" t="s">
        <v>16</v>
      </c>
      <c r="G869" s="1">
        <v>1</v>
      </c>
      <c r="H869" s="1">
        <v>300</v>
      </c>
      <c r="I869" s="1">
        <v>300</v>
      </c>
    </row>
    <row r="870" spans="1:9" ht="12.75" x14ac:dyDescent="0.2">
      <c r="A870" s="1">
        <v>869</v>
      </c>
      <c r="B870" s="2">
        <v>45224</v>
      </c>
      <c r="C870" s="1" t="s">
        <v>882</v>
      </c>
      <c r="D870" s="1" t="s">
        <v>10</v>
      </c>
      <c r="E870" s="1">
        <v>37</v>
      </c>
      <c r="F870" s="1" t="s">
        <v>11</v>
      </c>
      <c r="G870" s="1">
        <v>3</v>
      </c>
      <c r="H870" s="1">
        <v>500</v>
      </c>
      <c r="I870" s="1">
        <v>1500</v>
      </c>
    </row>
    <row r="871" spans="1:9" ht="12.75" x14ac:dyDescent="0.2">
      <c r="A871" s="1">
        <v>870</v>
      </c>
      <c r="B871" s="2">
        <v>45115</v>
      </c>
      <c r="C871" s="1" t="s">
        <v>883</v>
      </c>
      <c r="D871" s="1" t="s">
        <v>13</v>
      </c>
      <c r="E871" s="1">
        <v>46</v>
      </c>
      <c r="F871" s="1" t="s">
        <v>16</v>
      </c>
      <c r="G871" s="1">
        <v>4</v>
      </c>
      <c r="H871" s="1">
        <v>30</v>
      </c>
      <c r="I871" s="1">
        <v>120</v>
      </c>
    </row>
    <row r="872" spans="1:9" ht="12.75" x14ac:dyDescent="0.2">
      <c r="A872" s="1">
        <v>871</v>
      </c>
      <c r="B872" s="2">
        <v>45169</v>
      </c>
      <c r="C872" s="1" t="s">
        <v>884</v>
      </c>
      <c r="D872" s="1" t="s">
        <v>10</v>
      </c>
      <c r="E872" s="1">
        <v>62</v>
      </c>
      <c r="F872" s="1" t="s">
        <v>11</v>
      </c>
      <c r="G872" s="1">
        <v>2</v>
      </c>
      <c r="H872" s="1">
        <v>30</v>
      </c>
      <c r="I872" s="1">
        <v>60</v>
      </c>
    </row>
    <row r="873" spans="1:9" ht="12.75" x14ac:dyDescent="0.2">
      <c r="A873" s="1">
        <v>872</v>
      </c>
      <c r="B873" s="2">
        <v>45210</v>
      </c>
      <c r="C873" s="1" t="s">
        <v>885</v>
      </c>
      <c r="D873" s="1" t="s">
        <v>13</v>
      </c>
      <c r="E873" s="1">
        <v>63</v>
      </c>
      <c r="F873" s="1" t="s">
        <v>11</v>
      </c>
      <c r="G873" s="1">
        <v>3</v>
      </c>
      <c r="H873" s="1">
        <v>25</v>
      </c>
      <c r="I873" s="1">
        <v>75</v>
      </c>
    </row>
    <row r="874" spans="1:9" ht="12.75" x14ac:dyDescent="0.2">
      <c r="A874" s="1">
        <v>873</v>
      </c>
      <c r="B874" s="2">
        <v>45198</v>
      </c>
      <c r="C874" s="1" t="s">
        <v>886</v>
      </c>
      <c r="D874" s="1" t="s">
        <v>13</v>
      </c>
      <c r="E874" s="1">
        <v>27</v>
      </c>
      <c r="F874" s="1" t="s">
        <v>16</v>
      </c>
      <c r="G874" s="1">
        <v>4</v>
      </c>
      <c r="H874" s="1">
        <v>25</v>
      </c>
      <c r="I874" s="1">
        <v>100</v>
      </c>
    </row>
    <row r="875" spans="1:9" ht="12.75" x14ac:dyDescent="0.2">
      <c r="A875" s="1">
        <v>874</v>
      </c>
      <c r="B875" s="2">
        <v>45103</v>
      </c>
      <c r="C875" s="1" t="s">
        <v>887</v>
      </c>
      <c r="D875" s="1" t="s">
        <v>10</v>
      </c>
      <c r="E875" s="1">
        <v>60</v>
      </c>
      <c r="F875" s="1" t="s">
        <v>11</v>
      </c>
      <c r="G875" s="1">
        <v>1</v>
      </c>
      <c r="H875" s="1">
        <v>30</v>
      </c>
      <c r="I875" s="1">
        <v>30</v>
      </c>
    </row>
    <row r="876" spans="1:9" ht="12.75" x14ac:dyDescent="0.2">
      <c r="A876" s="1">
        <v>875</v>
      </c>
      <c r="B876" s="2">
        <v>45144</v>
      </c>
      <c r="C876" s="1" t="s">
        <v>888</v>
      </c>
      <c r="D876" s="1" t="s">
        <v>13</v>
      </c>
      <c r="E876" s="1">
        <v>51</v>
      </c>
      <c r="F876" s="1" t="s">
        <v>16</v>
      </c>
      <c r="G876" s="1">
        <v>4</v>
      </c>
      <c r="H876" s="1">
        <v>500</v>
      </c>
      <c r="I876" s="1">
        <v>2000</v>
      </c>
    </row>
    <row r="877" spans="1:9" ht="12.75" x14ac:dyDescent="0.2">
      <c r="A877" s="1">
        <v>876</v>
      </c>
      <c r="B877" s="2">
        <v>45208</v>
      </c>
      <c r="C877" s="1" t="s">
        <v>889</v>
      </c>
      <c r="D877" s="1" t="s">
        <v>10</v>
      </c>
      <c r="E877" s="1">
        <v>43</v>
      </c>
      <c r="F877" s="1" t="s">
        <v>14</v>
      </c>
      <c r="G877" s="1">
        <v>4</v>
      </c>
      <c r="H877" s="1">
        <v>30</v>
      </c>
      <c r="I877" s="1">
        <v>120</v>
      </c>
    </row>
    <row r="878" spans="1:9" ht="12.75" x14ac:dyDescent="0.2">
      <c r="A878" s="1">
        <v>877</v>
      </c>
      <c r="B878" s="2">
        <v>45096</v>
      </c>
      <c r="C878" s="1" t="s">
        <v>890</v>
      </c>
      <c r="D878" s="1" t="s">
        <v>13</v>
      </c>
      <c r="E878" s="1">
        <v>58</v>
      </c>
      <c r="F878" s="1" t="s">
        <v>14</v>
      </c>
      <c r="G878" s="1">
        <v>1</v>
      </c>
      <c r="H878" s="1">
        <v>25</v>
      </c>
      <c r="I878" s="1">
        <v>25</v>
      </c>
    </row>
    <row r="879" spans="1:9" ht="12.75" x14ac:dyDescent="0.2">
      <c r="A879" s="1">
        <v>878</v>
      </c>
      <c r="B879" s="2">
        <v>45107</v>
      </c>
      <c r="C879" s="1" t="s">
        <v>891</v>
      </c>
      <c r="D879" s="1" t="s">
        <v>13</v>
      </c>
      <c r="E879" s="1">
        <v>20</v>
      </c>
      <c r="F879" s="1" t="s">
        <v>14</v>
      </c>
      <c r="G879" s="1">
        <v>1</v>
      </c>
      <c r="H879" s="1">
        <v>30</v>
      </c>
      <c r="I879" s="1">
        <v>30</v>
      </c>
    </row>
    <row r="880" spans="1:9" ht="12.75" x14ac:dyDescent="0.2">
      <c r="A880" s="1">
        <v>879</v>
      </c>
      <c r="B880" s="2">
        <v>45286</v>
      </c>
      <c r="C880" s="1" t="s">
        <v>892</v>
      </c>
      <c r="D880" s="1" t="s">
        <v>10</v>
      </c>
      <c r="E880" s="1">
        <v>23</v>
      </c>
      <c r="F880" s="1" t="s">
        <v>14</v>
      </c>
      <c r="G880" s="1">
        <v>1</v>
      </c>
      <c r="H880" s="1">
        <v>30</v>
      </c>
      <c r="I880" s="1">
        <v>30</v>
      </c>
    </row>
    <row r="881" spans="1:9" ht="12.75" x14ac:dyDescent="0.2">
      <c r="A881" s="1">
        <v>880</v>
      </c>
      <c r="B881" s="2">
        <v>45159</v>
      </c>
      <c r="C881" s="1" t="s">
        <v>893</v>
      </c>
      <c r="D881" s="1" t="s">
        <v>10</v>
      </c>
      <c r="E881" s="1">
        <v>22</v>
      </c>
      <c r="F881" s="1" t="s">
        <v>11</v>
      </c>
      <c r="G881" s="1">
        <v>2</v>
      </c>
      <c r="H881" s="1">
        <v>500</v>
      </c>
      <c r="I881" s="1">
        <v>1000</v>
      </c>
    </row>
    <row r="882" spans="1:9" ht="12.75" x14ac:dyDescent="0.2">
      <c r="A882" s="1">
        <v>881</v>
      </c>
      <c r="B882" s="2">
        <v>45065</v>
      </c>
      <c r="C882" s="1" t="s">
        <v>894</v>
      </c>
      <c r="D882" s="1" t="s">
        <v>10</v>
      </c>
      <c r="E882" s="1">
        <v>22</v>
      </c>
      <c r="F882" s="1" t="s">
        <v>16</v>
      </c>
      <c r="G882" s="1">
        <v>1</v>
      </c>
      <c r="H882" s="1">
        <v>300</v>
      </c>
      <c r="I882" s="1">
        <v>300</v>
      </c>
    </row>
    <row r="883" spans="1:9" ht="12.75" x14ac:dyDescent="0.2">
      <c r="A883" s="1">
        <v>882</v>
      </c>
      <c r="B883" s="2">
        <v>45083</v>
      </c>
      <c r="C883" s="1" t="s">
        <v>895</v>
      </c>
      <c r="D883" s="1" t="s">
        <v>13</v>
      </c>
      <c r="E883" s="1">
        <v>64</v>
      </c>
      <c r="F883" s="1" t="s">
        <v>16</v>
      </c>
      <c r="G883" s="1">
        <v>2</v>
      </c>
      <c r="H883" s="1">
        <v>25</v>
      </c>
      <c r="I883" s="1">
        <v>50</v>
      </c>
    </row>
    <row r="884" spans="1:9" ht="12.75" x14ac:dyDescent="0.2">
      <c r="A884" s="1">
        <v>883</v>
      </c>
      <c r="B884" s="2">
        <v>45055</v>
      </c>
      <c r="C884" s="1" t="s">
        <v>896</v>
      </c>
      <c r="D884" s="1" t="s">
        <v>10</v>
      </c>
      <c r="E884" s="1">
        <v>40</v>
      </c>
      <c r="F884" s="1" t="s">
        <v>16</v>
      </c>
      <c r="G884" s="1">
        <v>1</v>
      </c>
      <c r="H884" s="1">
        <v>500</v>
      </c>
      <c r="I884" s="1">
        <v>500</v>
      </c>
    </row>
    <row r="885" spans="1:9" ht="12.75" x14ac:dyDescent="0.2">
      <c r="A885" s="1">
        <v>884</v>
      </c>
      <c r="B885" s="2">
        <v>45045</v>
      </c>
      <c r="C885" s="1" t="s">
        <v>897</v>
      </c>
      <c r="D885" s="1" t="s">
        <v>13</v>
      </c>
      <c r="E885" s="1">
        <v>26</v>
      </c>
      <c r="F885" s="1" t="s">
        <v>14</v>
      </c>
      <c r="G885" s="1">
        <v>2</v>
      </c>
      <c r="H885" s="1">
        <v>30</v>
      </c>
      <c r="I885" s="1">
        <v>60</v>
      </c>
    </row>
    <row r="886" spans="1:9" ht="12.75" x14ac:dyDescent="0.2">
      <c r="A886" s="1">
        <v>885</v>
      </c>
      <c r="B886" s="2">
        <v>44988</v>
      </c>
      <c r="C886" s="1" t="s">
        <v>898</v>
      </c>
      <c r="D886" s="1" t="s">
        <v>13</v>
      </c>
      <c r="E886" s="1">
        <v>52</v>
      </c>
      <c r="F886" s="1" t="s">
        <v>14</v>
      </c>
      <c r="G886" s="1">
        <v>4</v>
      </c>
      <c r="H886" s="1">
        <v>30</v>
      </c>
      <c r="I886" s="1">
        <v>120</v>
      </c>
    </row>
    <row r="887" spans="1:9" ht="12.75" x14ac:dyDescent="0.2">
      <c r="A887" s="1">
        <v>886</v>
      </c>
      <c r="B887" s="2">
        <v>45025</v>
      </c>
      <c r="C887" s="1" t="s">
        <v>899</v>
      </c>
      <c r="D887" s="1" t="s">
        <v>10</v>
      </c>
      <c r="E887" s="1">
        <v>37</v>
      </c>
      <c r="F887" s="1" t="s">
        <v>16</v>
      </c>
      <c r="G887" s="1">
        <v>3</v>
      </c>
      <c r="H887" s="1">
        <v>300</v>
      </c>
      <c r="I887" s="1">
        <v>900</v>
      </c>
    </row>
    <row r="888" spans="1:9" ht="12.75" x14ac:dyDescent="0.2">
      <c r="A888" s="1">
        <v>887</v>
      </c>
      <c r="B888" s="2">
        <v>45088</v>
      </c>
      <c r="C888" s="1" t="s">
        <v>900</v>
      </c>
      <c r="D888" s="1" t="s">
        <v>10</v>
      </c>
      <c r="E888" s="1">
        <v>59</v>
      </c>
      <c r="F888" s="1" t="s">
        <v>14</v>
      </c>
      <c r="G888" s="1">
        <v>4</v>
      </c>
      <c r="H888" s="1">
        <v>25</v>
      </c>
      <c r="I888" s="1">
        <v>100</v>
      </c>
    </row>
    <row r="889" spans="1:9" ht="12.75" x14ac:dyDescent="0.2">
      <c r="A889" s="1">
        <v>888</v>
      </c>
      <c r="B889" s="2">
        <v>44988</v>
      </c>
      <c r="C889" s="1" t="s">
        <v>901</v>
      </c>
      <c r="D889" s="1" t="s">
        <v>13</v>
      </c>
      <c r="E889" s="1">
        <v>52</v>
      </c>
      <c r="F889" s="1" t="s">
        <v>16</v>
      </c>
      <c r="G889" s="1">
        <v>4</v>
      </c>
      <c r="H889" s="1">
        <v>25</v>
      </c>
      <c r="I889" s="1">
        <v>100</v>
      </c>
    </row>
    <row r="890" spans="1:9" ht="12.75" x14ac:dyDescent="0.2">
      <c r="A890" s="1">
        <v>889</v>
      </c>
      <c r="B890" s="2">
        <v>45201</v>
      </c>
      <c r="C890" s="1" t="s">
        <v>902</v>
      </c>
      <c r="D890" s="1" t="s">
        <v>13</v>
      </c>
      <c r="E890" s="1">
        <v>35</v>
      </c>
      <c r="F890" s="1" t="s">
        <v>16</v>
      </c>
      <c r="G890" s="1">
        <v>1</v>
      </c>
      <c r="H890" s="1">
        <v>50</v>
      </c>
      <c r="I890" s="1">
        <v>50</v>
      </c>
    </row>
    <row r="891" spans="1:9" ht="12.75" x14ac:dyDescent="0.2">
      <c r="A891" s="1">
        <v>890</v>
      </c>
      <c r="B891" s="2">
        <v>45280</v>
      </c>
      <c r="C891" s="1" t="s">
        <v>903</v>
      </c>
      <c r="D891" s="1" t="s">
        <v>10</v>
      </c>
      <c r="E891" s="1">
        <v>34</v>
      </c>
      <c r="F891" s="1" t="s">
        <v>16</v>
      </c>
      <c r="G891" s="1">
        <v>2</v>
      </c>
      <c r="H891" s="1">
        <v>25</v>
      </c>
      <c r="I891" s="1">
        <v>50</v>
      </c>
    </row>
    <row r="892" spans="1:9" ht="12.75" x14ac:dyDescent="0.2">
      <c r="A892" s="1">
        <v>891</v>
      </c>
      <c r="B892" s="2">
        <v>45021</v>
      </c>
      <c r="C892" s="1" t="s">
        <v>904</v>
      </c>
      <c r="D892" s="1" t="s">
        <v>10</v>
      </c>
      <c r="E892" s="1">
        <v>41</v>
      </c>
      <c r="F892" s="1" t="s">
        <v>16</v>
      </c>
      <c r="G892" s="1">
        <v>3</v>
      </c>
      <c r="H892" s="1">
        <v>300</v>
      </c>
      <c r="I892" s="1">
        <v>900</v>
      </c>
    </row>
    <row r="893" spans="1:9" ht="12.75" x14ac:dyDescent="0.2">
      <c r="A893" s="1">
        <v>892</v>
      </c>
      <c r="B893" s="2">
        <v>45025</v>
      </c>
      <c r="C893" s="1" t="s">
        <v>905</v>
      </c>
      <c r="D893" s="1" t="s">
        <v>10</v>
      </c>
      <c r="E893" s="1">
        <v>20</v>
      </c>
      <c r="F893" s="1" t="s">
        <v>16</v>
      </c>
      <c r="G893" s="1">
        <v>1</v>
      </c>
      <c r="H893" s="1">
        <v>50</v>
      </c>
      <c r="I893" s="1">
        <v>50</v>
      </c>
    </row>
    <row r="894" spans="1:9" ht="12.75" x14ac:dyDescent="0.2">
      <c r="A894" s="1">
        <v>893</v>
      </c>
      <c r="B894" s="2">
        <v>45037</v>
      </c>
      <c r="C894" s="1" t="s">
        <v>906</v>
      </c>
      <c r="D894" s="1" t="s">
        <v>10</v>
      </c>
      <c r="E894" s="1">
        <v>49</v>
      </c>
      <c r="F894" s="1" t="s">
        <v>16</v>
      </c>
      <c r="G894" s="1">
        <v>1</v>
      </c>
      <c r="H894" s="1">
        <v>50</v>
      </c>
      <c r="I894" s="1">
        <v>50</v>
      </c>
    </row>
    <row r="895" spans="1:9" ht="12.75" x14ac:dyDescent="0.2">
      <c r="A895" s="1">
        <v>894</v>
      </c>
      <c r="B895" s="2">
        <v>45174</v>
      </c>
      <c r="C895" s="1" t="s">
        <v>907</v>
      </c>
      <c r="D895" s="1" t="s">
        <v>10</v>
      </c>
      <c r="E895" s="1">
        <v>52</v>
      </c>
      <c r="F895" s="1" t="s">
        <v>16</v>
      </c>
      <c r="G895" s="1">
        <v>1</v>
      </c>
      <c r="H895" s="1">
        <v>30</v>
      </c>
      <c r="I895" s="1">
        <v>30</v>
      </c>
    </row>
    <row r="896" spans="1:9" ht="12.75" x14ac:dyDescent="0.2">
      <c r="A896" s="1">
        <v>895</v>
      </c>
      <c r="B896" s="2">
        <v>45068</v>
      </c>
      <c r="C896" s="1" t="s">
        <v>908</v>
      </c>
      <c r="D896" s="1" t="s">
        <v>13</v>
      </c>
      <c r="E896" s="1">
        <v>55</v>
      </c>
      <c r="F896" s="1" t="s">
        <v>14</v>
      </c>
      <c r="G896" s="1">
        <v>4</v>
      </c>
      <c r="H896" s="1">
        <v>30</v>
      </c>
      <c r="I896" s="1">
        <v>120</v>
      </c>
    </row>
    <row r="897" spans="1:9" ht="12.75" x14ac:dyDescent="0.2">
      <c r="A897" s="1">
        <v>896</v>
      </c>
      <c r="B897" s="2">
        <v>45228</v>
      </c>
      <c r="C897" s="1" t="s">
        <v>909</v>
      </c>
      <c r="D897" s="1" t="s">
        <v>13</v>
      </c>
      <c r="E897" s="1">
        <v>30</v>
      </c>
      <c r="F897" s="1" t="s">
        <v>16</v>
      </c>
      <c r="G897" s="1">
        <v>2</v>
      </c>
      <c r="H897" s="1">
        <v>25</v>
      </c>
      <c r="I897" s="1">
        <v>50</v>
      </c>
    </row>
    <row r="898" spans="1:9" ht="12.75" x14ac:dyDescent="0.2">
      <c r="A898" s="1">
        <v>897</v>
      </c>
      <c r="B898" s="2">
        <v>45195</v>
      </c>
      <c r="C898" s="1" t="s">
        <v>910</v>
      </c>
      <c r="D898" s="1" t="s">
        <v>13</v>
      </c>
      <c r="E898" s="1">
        <v>64</v>
      </c>
      <c r="F898" s="1" t="s">
        <v>16</v>
      </c>
      <c r="G898" s="1">
        <v>2</v>
      </c>
      <c r="H898" s="1">
        <v>50</v>
      </c>
      <c r="I898" s="1">
        <v>100</v>
      </c>
    </row>
    <row r="899" spans="1:9" ht="12.75" x14ac:dyDescent="0.2">
      <c r="A899" s="1">
        <v>898</v>
      </c>
      <c r="B899" s="2">
        <v>45232</v>
      </c>
      <c r="C899" s="1" t="s">
        <v>911</v>
      </c>
      <c r="D899" s="1" t="s">
        <v>13</v>
      </c>
      <c r="E899" s="1">
        <v>42</v>
      </c>
      <c r="F899" s="1" t="s">
        <v>14</v>
      </c>
      <c r="G899" s="1">
        <v>3</v>
      </c>
      <c r="H899" s="1">
        <v>30</v>
      </c>
      <c r="I899" s="1">
        <v>90</v>
      </c>
    </row>
    <row r="900" spans="1:9" ht="12.75" x14ac:dyDescent="0.2">
      <c r="A900" s="1">
        <v>899</v>
      </c>
      <c r="B900" s="2">
        <v>45071</v>
      </c>
      <c r="C900" s="1" t="s">
        <v>912</v>
      </c>
      <c r="D900" s="1" t="s">
        <v>10</v>
      </c>
      <c r="E900" s="1">
        <v>26</v>
      </c>
      <c r="F900" s="1" t="s">
        <v>14</v>
      </c>
      <c r="G900" s="1">
        <v>2</v>
      </c>
      <c r="H900" s="1">
        <v>300</v>
      </c>
      <c r="I900" s="1">
        <v>600</v>
      </c>
    </row>
    <row r="901" spans="1:9" ht="12.75" x14ac:dyDescent="0.2">
      <c r="A901" s="1">
        <v>900</v>
      </c>
      <c r="B901" s="2">
        <v>44978</v>
      </c>
      <c r="C901" s="1" t="s">
        <v>913</v>
      </c>
      <c r="D901" s="1" t="s">
        <v>10</v>
      </c>
      <c r="E901" s="1">
        <v>21</v>
      </c>
      <c r="F901" s="1" t="s">
        <v>14</v>
      </c>
      <c r="G901" s="1">
        <v>2</v>
      </c>
      <c r="H901" s="1">
        <v>30</v>
      </c>
      <c r="I901" s="1">
        <v>60</v>
      </c>
    </row>
    <row r="902" spans="1:9" ht="12.75" x14ac:dyDescent="0.2">
      <c r="A902" s="1">
        <v>901</v>
      </c>
      <c r="B902" s="2">
        <v>45026</v>
      </c>
      <c r="C902" s="1" t="s">
        <v>914</v>
      </c>
      <c r="D902" s="1" t="s">
        <v>10</v>
      </c>
      <c r="E902" s="1">
        <v>31</v>
      </c>
      <c r="F902" s="1" t="s">
        <v>16</v>
      </c>
      <c r="G902" s="1">
        <v>1</v>
      </c>
      <c r="H902" s="1">
        <v>30</v>
      </c>
      <c r="I902" s="1">
        <v>30</v>
      </c>
    </row>
    <row r="903" spans="1:9" ht="12.75" x14ac:dyDescent="0.2">
      <c r="A903" s="1">
        <v>902</v>
      </c>
      <c r="B903" s="2">
        <v>45078</v>
      </c>
      <c r="C903" s="1" t="s">
        <v>915</v>
      </c>
      <c r="D903" s="1" t="s">
        <v>13</v>
      </c>
      <c r="E903" s="1">
        <v>54</v>
      </c>
      <c r="F903" s="1" t="s">
        <v>11</v>
      </c>
      <c r="G903" s="1">
        <v>1</v>
      </c>
      <c r="H903" s="1">
        <v>50</v>
      </c>
      <c r="I903" s="1">
        <v>50</v>
      </c>
    </row>
    <row r="904" spans="1:9" ht="12.75" x14ac:dyDescent="0.2">
      <c r="A904" s="1">
        <v>903</v>
      </c>
      <c r="B904" s="2">
        <v>45043</v>
      </c>
      <c r="C904" s="1" t="s">
        <v>916</v>
      </c>
      <c r="D904" s="1" t="s">
        <v>13</v>
      </c>
      <c r="E904" s="1">
        <v>51</v>
      </c>
      <c r="F904" s="1" t="s">
        <v>11</v>
      </c>
      <c r="G904" s="1">
        <v>4</v>
      </c>
      <c r="H904" s="1">
        <v>50</v>
      </c>
      <c r="I904" s="1">
        <v>200</v>
      </c>
    </row>
    <row r="905" spans="1:9" ht="12.75" x14ac:dyDescent="0.2">
      <c r="A905" s="1">
        <v>904</v>
      </c>
      <c r="B905" s="2">
        <v>45111</v>
      </c>
      <c r="C905" s="1" t="s">
        <v>917</v>
      </c>
      <c r="D905" s="1" t="s">
        <v>10</v>
      </c>
      <c r="E905" s="1">
        <v>28</v>
      </c>
      <c r="F905" s="1" t="s">
        <v>14</v>
      </c>
      <c r="G905" s="1">
        <v>1</v>
      </c>
      <c r="H905" s="1">
        <v>500</v>
      </c>
      <c r="I905" s="1">
        <v>500</v>
      </c>
    </row>
    <row r="906" spans="1:9" ht="12.75" x14ac:dyDescent="0.2">
      <c r="A906" s="1">
        <v>905</v>
      </c>
      <c r="B906" s="2">
        <v>45018</v>
      </c>
      <c r="C906" s="1" t="s">
        <v>918</v>
      </c>
      <c r="D906" s="1" t="s">
        <v>10</v>
      </c>
      <c r="E906" s="1">
        <v>58</v>
      </c>
      <c r="F906" s="1" t="s">
        <v>11</v>
      </c>
      <c r="G906" s="1">
        <v>1</v>
      </c>
      <c r="H906" s="1">
        <v>300</v>
      </c>
      <c r="I906" s="1">
        <v>300</v>
      </c>
    </row>
    <row r="907" spans="1:9" ht="12.75" x14ac:dyDescent="0.2">
      <c r="A907" s="1">
        <v>906</v>
      </c>
      <c r="B907" s="2">
        <v>45081</v>
      </c>
      <c r="C907" s="1" t="s">
        <v>919</v>
      </c>
      <c r="D907" s="1" t="s">
        <v>13</v>
      </c>
      <c r="E907" s="1">
        <v>20</v>
      </c>
      <c r="F907" s="1" t="s">
        <v>14</v>
      </c>
      <c r="G907" s="1">
        <v>1</v>
      </c>
      <c r="H907" s="1">
        <v>50</v>
      </c>
      <c r="I907" s="1">
        <v>50</v>
      </c>
    </row>
    <row r="908" spans="1:9" ht="12.75" x14ac:dyDescent="0.2">
      <c r="A908" s="1">
        <v>907</v>
      </c>
      <c r="B908" s="2">
        <v>44934</v>
      </c>
      <c r="C908" s="1" t="s">
        <v>920</v>
      </c>
      <c r="D908" s="1" t="s">
        <v>13</v>
      </c>
      <c r="E908" s="1">
        <v>45</v>
      </c>
      <c r="F908" s="1" t="s">
        <v>16</v>
      </c>
      <c r="G908" s="1">
        <v>1</v>
      </c>
      <c r="H908" s="1">
        <v>25</v>
      </c>
      <c r="I908" s="1">
        <v>25</v>
      </c>
    </row>
    <row r="909" spans="1:9" ht="12.75" x14ac:dyDescent="0.2">
      <c r="A909" s="1">
        <v>908</v>
      </c>
      <c r="B909" s="2">
        <v>45289</v>
      </c>
      <c r="C909" s="1" t="s">
        <v>921</v>
      </c>
      <c r="D909" s="1" t="s">
        <v>10</v>
      </c>
      <c r="E909" s="1">
        <v>46</v>
      </c>
      <c r="F909" s="1" t="s">
        <v>11</v>
      </c>
      <c r="G909" s="1">
        <v>4</v>
      </c>
      <c r="H909" s="1">
        <v>300</v>
      </c>
      <c r="I909" s="1">
        <v>1200</v>
      </c>
    </row>
    <row r="910" spans="1:9" ht="12.75" x14ac:dyDescent="0.2">
      <c r="A910" s="1">
        <v>909</v>
      </c>
      <c r="B910" s="2">
        <v>45200</v>
      </c>
      <c r="C910" s="1" t="s">
        <v>922</v>
      </c>
      <c r="D910" s="1" t="s">
        <v>10</v>
      </c>
      <c r="E910" s="1">
        <v>26</v>
      </c>
      <c r="F910" s="1" t="s">
        <v>16</v>
      </c>
      <c r="G910" s="1">
        <v>1</v>
      </c>
      <c r="H910" s="1">
        <v>300</v>
      </c>
      <c r="I910" s="1">
        <v>300</v>
      </c>
    </row>
    <row r="911" spans="1:9" ht="12.75" x14ac:dyDescent="0.2">
      <c r="A911" s="1">
        <v>910</v>
      </c>
      <c r="B911" s="2">
        <v>44991</v>
      </c>
      <c r="C911" s="1" t="s">
        <v>923</v>
      </c>
      <c r="D911" s="1" t="s">
        <v>13</v>
      </c>
      <c r="E911" s="1">
        <v>20</v>
      </c>
      <c r="F911" s="1" t="s">
        <v>11</v>
      </c>
      <c r="G911" s="1">
        <v>3</v>
      </c>
      <c r="H911" s="1">
        <v>50</v>
      </c>
      <c r="I911" s="1">
        <v>150</v>
      </c>
    </row>
    <row r="912" spans="1:9" ht="12.75" x14ac:dyDescent="0.2">
      <c r="A912" s="1">
        <v>911</v>
      </c>
      <c r="B912" s="2">
        <v>45067</v>
      </c>
      <c r="C912" s="1" t="s">
        <v>924</v>
      </c>
      <c r="D912" s="1" t="s">
        <v>10</v>
      </c>
      <c r="E912" s="1">
        <v>42</v>
      </c>
      <c r="F912" s="1" t="s">
        <v>16</v>
      </c>
      <c r="G912" s="1">
        <v>3</v>
      </c>
      <c r="H912" s="1">
        <v>300</v>
      </c>
      <c r="I912" s="1">
        <v>900</v>
      </c>
    </row>
    <row r="913" spans="1:9" ht="12.75" x14ac:dyDescent="0.2">
      <c r="A913" s="1">
        <v>912</v>
      </c>
      <c r="B913" s="2">
        <v>44950</v>
      </c>
      <c r="C913" s="1" t="s">
        <v>925</v>
      </c>
      <c r="D913" s="1" t="s">
        <v>10</v>
      </c>
      <c r="E913" s="1">
        <v>51</v>
      </c>
      <c r="F913" s="1" t="s">
        <v>11</v>
      </c>
      <c r="G913" s="1">
        <v>3</v>
      </c>
      <c r="H913" s="1">
        <v>50</v>
      </c>
      <c r="I913" s="1">
        <v>150</v>
      </c>
    </row>
    <row r="914" spans="1:9" ht="12.75" x14ac:dyDescent="0.2">
      <c r="A914" s="1">
        <v>913</v>
      </c>
      <c r="B914" s="2">
        <v>44954</v>
      </c>
      <c r="C914" s="1" t="s">
        <v>926</v>
      </c>
      <c r="D914" s="1" t="s">
        <v>10</v>
      </c>
      <c r="E914" s="1">
        <v>29</v>
      </c>
      <c r="F914" s="1" t="s">
        <v>16</v>
      </c>
      <c r="G914" s="1">
        <v>3</v>
      </c>
      <c r="H914" s="1">
        <v>30</v>
      </c>
      <c r="I914" s="1">
        <v>90</v>
      </c>
    </row>
    <row r="915" spans="1:9" ht="12.75" x14ac:dyDescent="0.2">
      <c r="A915" s="1">
        <v>914</v>
      </c>
      <c r="B915" s="2">
        <v>45210</v>
      </c>
      <c r="C915" s="1" t="s">
        <v>927</v>
      </c>
      <c r="D915" s="1" t="s">
        <v>13</v>
      </c>
      <c r="E915" s="1">
        <v>59</v>
      </c>
      <c r="F915" s="1" t="s">
        <v>16</v>
      </c>
      <c r="G915" s="1">
        <v>1</v>
      </c>
      <c r="H915" s="1">
        <v>500</v>
      </c>
      <c r="I915" s="1">
        <v>500</v>
      </c>
    </row>
    <row r="916" spans="1:9" ht="12.75" x14ac:dyDescent="0.2">
      <c r="A916" s="1">
        <v>915</v>
      </c>
      <c r="B916" s="2">
        <v>45076</v>
      </c>
      <c r="C916" s="1" t="s">
        <v>928</v>
      </c>
      <c r="D916" s="1" t="s">
        <v>13</v>
      </c>
      <c r="E916" s="1">
        <v>26</v>
      </c>
      <c r="F916" s="1" t="s">
        <v>11</v>
      </c>
      <c r="G916" s="1">
        <v>3</v>
      </c>
      <c r="H916" s="1">
        <v>30</v>
      </c>
      <c r="I916" s="1">
        <v>90</v>
      </c>
    </row>
    <row r="917" spans="1:9" ht="12.75" x14ac:dyDescent="0.2">
      <c r="A917" s="1">
        <v>916</v>
      </c>
      <c r="B917" s="2">
        <v>45284</v>
      </c>
      <c r="C917" s="1" t="s">
        <v>929</v>
      </c>
      <c r="D917" s="1" t="s">
        <v>13</v>
      </c>
      <c r="E917" s="1">
        <v>32</v>
      </c>
      <c r="F917" s="1" t="s">
        <v>16</v>
      </c>
      <c r="G917" s="1">
        <v>1</v>
      </c>
      <c r="H917" s="1">
        <v>50</v>
      </c>
      <c r="I917" s="1">
        <v>50</v>
      </c>
    </row>
    <row r="918" spans="1:9" ht="12.75" x14ac:dyDescent="0.2">
      <c r="A918" s="1">
        <v>917</v>
      </c>
      <c r="B918" s="2">
        <v>44991</v>
      </c>
      <c r="C918" s="1" t="s">
        <v>930</v>
      </c>
      <c r="D918" s="1" t="s">
        <v>13</v>
      </c>
      <c r="E918" s="1">
        <v>57</v>
      </c>
      <c r="F918" s="1" t="s">
        <v>16</v>
      </c>
      <c r="G918" s="1">
        <v>4</v>
      </c>
      <c r="H918" s="1">
        <v>50</v>
      </c>
      <c r="I918" s="1">
        <v>200</v>
      </c>
    </row>
    <row r="919" spans="1:9" ht="12.75" x14ac:dyDescent="0.2">
      <c r="A919" s="1">
        <v>918</v>
      </c>
      <c r="B919" s="2">
        <v>45253</v>
      </c>
      <c r="C919" s="1" t="s">
        <v>931</v>
      </c>
      <c r="D919" s="1" t="s">
        <v>13</v>
      </c>
      <c r="E919" s="1">
        <v>42</v>
      </c>
      <c r="F919" s="1" t="s">
        <v>16</v>
      </c>
      <c r="G919" s="1">
        <v>3</v>
      </c>
      <c r="H919" s="1">
        <v>30</v>
      </c>
      <c r="I919" s="1">
        <v>90</v>
      </c>
    </row>
    <row r="920" spans="1:9" ht="12.75" x14ac:dyDescent="0.2">
      <c r="A920" s="1">
        <v>919</v>
      </c>
      <c r="B920" s="2">
        <v>45178</v>
      </c>
      <c r="C920" s="1" t="s">
        <v>932</v>
      </c>
      <c r="D920" s="1" t="s">
        <v>13</v>
      </c>
      <c r="E920" s="1">
        <v>22</v>
      </c>
      <c r="F920" s="1" t="s">
        <v>11</v>
      </c>
      <c r="G920" s="1">
        <v>2</v>
      </c>
      <c r="H920" s="1">
        <v>25</v>
      </c>
      <c r="I920" s="1">
        <v>50</v>
      </c>
    </row>
    <row r="921" spans="1:9" ht="12.75" x14ac:dyDescent="0.2">
      <c r="A921" s="1">
        <v>920</v>
      </c>
      <c r="B921" s="2">
        <v>44979</v>
      </c>
      <c r="C921" s="1" t="s">
        <v>933</v>
      </c>
      <c r="D921" s="1" t="s">
        <v>13</v>
      </c>
      <c r="E921" s="1">
        <v>28</v>
      </c>
      <c r="F921" s="1" t="s">
        <v>11</v>
      </c>
      <c r="G921" s="1">
        <v>3</v>
      </c>
      <c r="H921" s="1">
        <v>25</v>
      </c>
      <c r="I921" s="1">
        <v>75</v>
      </c>
    </row>
    <row r="922" spans="1:9" ht="12.75" x14ac:dyDescent="0.2">
      <c r="A922" s="1">
        <v>921</v>
      </c>
      <c r="B922" s="2">
        <v>44933</v>
      </c>
      <c r="C922" s="1" t="s">
        <v>934</v>
      </c>
      <c r="D922" s="1" t="s">
        <v>10</v>
      </c>
      <c r="E922" s="1">
        <v>51</v>
      </c>
      <c r="F922" s="1" t="s">
        <v>16</v>
      </c>
      <c r="G922" s="1">
        <v>3</v>
      </c>
      <c r="H922" s="1">
        <v>25</v>
      </c>
      <c r="I922" s="1">
        <v>75</v>
      </c>
    </row>
    <row r="923" spans="1:9" ht="12.75" x14ac:dyDescent="0.2">
      <c r="A923" s="1">
        <v>922</v>
      </c>
      <c r="B923" s="2">
        <v>45220</v>
      </c>
      <c r="C923" s="1" t="s">
        <v>935</v>
      </c>
      <c r="D923" s="1" t="s">
        <v>10</v>
      </c>
      <c r="E923" s="1">
        <v>41</v>
      </c>
      <c r="F923" s="1" t="s">
        <v>16</v>
      </c>
      <c r="G923" s="1">
        <v>1</v>
      </c>
      <c r="H923" s="1">
        <v>50</v>
      </c>
      <c r="I923" s="1">
        <v>50</v>
      </c>
    </row>
    <row r="924" spans="1:9" ht="12.75" x14ac:dyDescent="0.2">
      <c r="A924" s="1">
        <v>923</v>
      </c>
      <c r="B924" s="2">
        <v>45072</v>
      </c>
      <c r="C924" s="1" t="s">
        <v>936</v>
      </c>
      <c r="D924" s="1" t="s">
        <v>10</v>
      </c>
      <c r="E924" s="1">
        <v>32</v>
      </c>
      <c r="F924" s="1" t="s">
        <v>11</v>
      </c>
      <c r="G924" s="1">
        <v>3</v>
      </c>
      <c r="H924" s="1">
        <v>300</v>
      </c>
      <c r="I924" s="1">
        <v>900</v>
      </c>
    </row>
    <row r="925" spans="1:9" ht="12.75" x14ac:dyDescent="0.2">
      <c r="A925" s="1">
        <v>924</v>
      </c>
      <c r="B925" s="2">
        <v>45167</v>
      </c>
      <c r="C925" s="1" t="s">
        <v>937</v>
      </c>
      <c r="D925" s="1" t="s">
        <v>10</v>
      </c>
      <c r="E925" s="1">
        <v>55</v>
      </c>
      <c r="F925" s="1" t="s">
        <v>11</v>
      </c>
      <c r="G925" s="1">
        <v>2</v>
      </c>
      <c r="H925" s="1">
        <v>50</v>
      </c>
      <c r="I925" s="1">
        <v>100</v>
      </c>
    </row>
    <row r="926" spans="1:9" ht="12.75" x14ac:dyDescent="0.2">
      <c r="A926" s="1">
        <v>925</v>
      </c>
      <c r="B926" s="2">
        <v>45172</v>
      </c>
      <c r="C926" s="1" t="s">
        <v>938</v>
      </c>
      <c r="D926" s="1" t="s">
        <v>10</v>
      </c>
      <c r="E926" s="1">
        <v>25</v>
      </c>
      <c r="F926" s="1" t="s">
        <v>16</v>
      </c>
      <c r="G926" s="1">
        <v>1</v>
      </c>
      <c r="H926" s="1">
        <v>300</v>
      </c>
      <c r="I926" s="1">
        <v>300</v>
      </c>
    </row>
    <row r="927" spans="1:9" ht="12.75" x14ac:dyDescent="0.2">
      <c r="A927" s="1">
        <v>926</v>
      </c>
      <c r="B927" s="2">
        <v>45152</v>
      </c>
      <c r="C927" s="1" t="s">
        <v>939</v>
      </c>
      <c r="D927" s="1" t="s">
        <v>10</v>
      </c>
      <c r="E927" s="1">
        <v>22</v>
      </c>
      <c r="F927" s="1" t="s">
        <v>16</v>
      </c>
      <c r="G927" s="1">
        <v>1</v>
      </c>
      <c r="H927" s="1">
        <v>30</v>
      </c>
      <c r="I927" s="1">
        <v>30</v>
      </c>
    </row>
    <row r="928" spans="1:9" ht="12.75" x14ac:dyDescent="0.2">
      <c r="A928" s="1">
        <v>927</v>
      </c>
      <c r="B928" s="2">
        <v>45101</v>
      </c>
      <c r="C928" s="1" t="s">
        <v>940</v>
      </c>
      <c r="D928" s="1" t="s">
        <v>10</v>
      </c>
      <c r="E928" s="1">
        <v>43</v>
      </c>
      <c r="F928" s="1" t="s">
        <v>16</v>
      </c>
      <c r="G928" s="1">
        <v>4</v>
      </c>
      <c r="H928" s="1">
        <v>500</v>
      </c>
      <c r="I928" s="1">
        <v>2000</v>
      </c>
    </row>
    <row r="929" spans="1:9" ht="12.75" x14ac:dyDescent="0.2">
      <c r="A929" s="1">
        <v>928</v>
      </c>
      <c r="B929" s="2">
        <v>45021</v>
      </c>
      <c r="C929" s="1" t="s">
        <v>941</v>
      </c>
      <c r="D929" s="1" t="s">
        <v>13</v>
      </c>
      <c r="E929" s="1">
        <v>35</v>
      </c>
      <c r="F929" s="1" t="s">
        <v>14</v>
      </c>
      <c r="G929" s="1">
        <v>4</v>
      </c>
      <c r="H929" s="1">
        <v>300</v>
      </c>
      <c r="I929" s="1">
        <v>1200</v>
      </c>
    </row>
    <row r="930" spans="1:9" ht="12.75" x14ac:dyDescent="0.2">
      <c r="A930" s="1">
        <v>929</v>
      </c>
      <c r="B930" s="2">
        <v>44953</v>
      </c>
      <c r="C930" s="1" t="s">
        <v>942</v>
      </c>
      <c r="D930" s="1" t="s">
        <v>13</v>
      </c>
      <c r="E930" s="1">
        <v>23</v>
      </c>
      <c r="F930" s="1" t="s">
        <v>11</v>
      </c>
      <c r="G930" s="1">
        <v>3</v>
      </c>
      <c r="H930" s="1">
        <v>25</v>
      </c>
      <c r="I930" s="1">
        <v>75</v>
      </c>
    </row>
    <row r="931" spans="1:9" ht="12.75" x14ac:dyDescent="0.2">
      <c r="A931" s="1">
        <v>930</v>
      </c>
      <c r="B931" s="2">
        <v>45056</v>
      </c>
      <c r="C931" s="1" t="s">
        <v>943</v>
      </c>
      <c r="D931" s="1" t="s">
        <v>10</v>
      </c>
      <c r="E931" s="1">
        <v>54</v>
      </c>
      <c r="F931" s="1" t="s">
        <v>14</v>
      </c>
      <c r="G931" s="1">
        <v>4</v>
      </c>
      <c r="H931" s="1">
        <v>50</v>
      </c>
      <c r="I931" s="1">
        <v>200</v>
      </c>
    </row>
    <row r="932" spans="1:9" ht="12.75" x14ac:dyDescent="0.2">
      <c r="A932" s="1">
        <v>931</v>
      </c>
      <c r="B932" s="2">
        <v>45171</v>
      </c>
      <c r="C932" s="1" t="s">
        <v>944</v>
      </c>
      <c r="D932" s="1" t="s">
        <v>10</v>
      </c>
      <c r="E932" s="1">
        <v>30</v>
      </c>
      <c r="F932" s="1" t="s">
        <v>11</v>
      </c>
      <c r="G932" s="1">
        <v>4</v>
      </c>
      <c r="H932" s="1">
        <v>30</v>
      </c>
      <c r="I932" s="1">
        <v>120</v>
      </c>
    </row>
    <row r="933" spans="1:9" ht="12.75" x14ac:dyDescent="0.2">
      <c r="A933" s="1">
        <v>932</v>
      </c>
      <c r="B933" s="2">
        <v>44985</v>
      </c>
      <c r="C933" s="1" t="s">
        <v>945</v>
      </c>
      <c r="D933" s="1" t="s">
        <v>13</v>
      </c>
      <c r="E933" s="1">
        <v>45</v>
      </c>
      <c r="F933" s="1" t="s">
        <v>11</v>
      </c>
      <c r="G933" s="1">
        <v>4</v>
      </c>
      <c r="H933" s="1">
        <v>25</v>
      </c>
      <c r="I933" s="1">
        <v>100</v>
      </c>
    </row>
    <row r="934" spans="1:9" ht="12.75" x14ac:dyDescent="0.2">
      <c r="A934" s="1">
        <v>933</v>
      </c>
      <c r="B934" s="2">
        <v>44960</v>
      </c>
      <c r="C934" s="1" t="s">
        <v>946</v>
      </c>
      <c r="D934" s="1" t="s">
        <v>10</v>
      </c>
      <c r="E934" s="1">
        <v>22</v>
      </c>
      <c r="F934" s="1" t="s">
        <v>11</v>
      </c>
      <c r="G934" s="1">
        <v>1</v>
      </c>
      <c r="H934" s="1">
        <v>30</v>
      </c>
      <c r="I934" s="1">
        <v>30</v>
      </c>
    </row>
    <row r="935" spans="1:9" ht="12.75" x14ac:dyDescent="0.2">
      <c r="A935" s="1">
        <v>934</v>
      </c>
      <c r="B935" s="2">
        <v>45132</v>
      </c>
      <c r="C935" s="1" t="s">
        <v>947</v>
      </c>
      <c r="D935" s="1" t="s">
        <v>10</v>
      </c>
      <c r="E935" s="1">
        <v>30</v>
      </c>
      <c r="F935" s="1" t="s">
        <v>11</v>
      </c>
      <c r="G935" s="1">
        <v>1</v>
      </c>
      <c r="H935" s="1">
        <v>500</v>
      </c>
      <c r="I935" s="1">
        <v>500</v>
      </c>
    </row>
    <row r="936" spans="1:9" ht="12.75" x14ac:dyDescent="0.2">
      <c r="A936" s="1">
        <v>935</v>
      </c>
      <c r="B936" s="2">
        <v>45178</v>
      </c>
      <c r="C936" s="1" t="s">
        <v>948</v>
      </c>
      <c r="D936" s="1" t="s">
        <v>13</v>
      </c>
      <c r="E936" s="1">
        <v>34</v>
      </c>
      <c r="F936" s="1" t="s">
        <v>11</v>
      </c>
      <c r="G936" s="1">
        <v>1</v>
      </c>
      <c r="H936" s="1">
        <v>50</v>
      </c>
      <c r="I936" s="1">
        <v>50</v>
      </c>
    </row>
    <row r="937" spans="1:9" ht="12.75" x14ac:dyDescent="0.2">
      <c r="A937" s="1">
        <v>936</v>
      </c>
      <c r="B937" s="2">
        <v>44964</v>
      </c>
      <c r="C937" s="1" t="s">
        <v>949</v>
      </c>
      <c r="D937" s="1" t="s">
        <v>10</v>
      </c>
      <c r="E937" s="1">
        <v>57</v>
      </c>
      <c r="F937" s="1" t="s">
        <v>11</v>
      </c>
      <c r="G937" s="1">
        <v>4</v>
      </c>
      <c r="H937" s="1">
        <v>50</v>
      </c>
      <c r="I937" s="1">
        <v>200</v>
      </c>
    </row>
    <row r="938" spans="1:9" ht="12.75" x14ac:dyDescent="0.2">
      <c r="A938" s="1">
        <v>937</v>
      </c>
      <c r="B938" s="2">
        <v>45222</v>
      </c>
      <c r="C938" s="1" t="s">
        <v>950</v>
      </c>
      <c r="D938" s="1" t="s">
        <v>13</v>
      </c>
      <c r="E938" s="1">
        <v>62</v>
      </c>
      <c r="F938" s="1" t="s">
        <v>11</v>
      </c>
      <c r="G938" s="1">
        <v>1</v>
      </c>
      <c r="H938" s="1">
        <v>500</v>
      </c>
      <c r="I938" s="1">
        <v>500</v>
      </c>
    </row>
    <row r="939" spans="1:9" ht="12.75" x14ac:dyDescent="0.2">
      <c r="A939" s="1">
        <v>938</v>
      </c>
      <c r="B939" s="2">
        <v>45249</v>
      </c>
      <c r="C939" s="1" t="s">
        <v>951</v>
      </c>
      <c r="D939" s="1" t="s">
        <v>10</v>
      </c>
      <c r="E939" s="1">
        <v>49</v>
      </c>
      <c r="F939" s="1" t="s">
        <v>14</v>
      </c>
      <c r="G939" s="1">
        <v>4</v>
      </c>
      <c r="H939" s="1">
        <v>50</v>
      </c>
      <c r="I939" s="1">
        <v>200</v>
      </c>
    </row>
    <row r="940" spans="1:9" ht="12.75" x14ac:dyDescent="0.2">
      <c r="A940" s="1">
        <v>939</v>
      </c>
      <c r="B940" s="2">
        <v>45278</v>
      </c>
      <c r="C940" s="1" t="s">
        <v>952</v>
      </c>
      <c r="D940" s="1" t="s">
        <v>13</v>
      </c>
      <c r="E940" s="1">
        <v>46</v>
      </c>
      <c r="F940" s="1" t="s">
        <v>16</v>
      </c>
      <c r="G940" s="1">
        <v>1</v>
      </c>
      <c r="H940" s="1">
        <v>300</v>
      </c>
      <c r="I940" s="1">
        <v>300</v>
      </c>
    </row>
    <row r="941" spans="1:9" ht="12.75" x14ac:dyDescent="0.2">
      <c r="A941" s="1">
        <v>940</v>
      </c>
      <c r="B941" s="2">
        <v>44954</v>
      </c>
      <c r="C941" s="1" t="s">
        <v>953</v>
      </c>
      <c r="D941" s="1" t="s">
        <v>13</v>
      </c>
      <c r="E941" s="1">
        <v>20</v>
      </c>
      <c r="F941" s="1" t="s">
        <v>16</v>
      </c>
      <c r="G941" s="1">
        <v>1</v>
      </c>
      <c r="H941" s="1">
        <v>30</v>
      </c>
      <c r="I941" s="1">
        <v>30</v>
      </c>
    </row>
    <row r="942" spans="1:9" ht="12.75" x14ac:dyDescent="0.2">
      <c r="A942" s="1">
        <v>941</v>
      </c>
      <c r="B942" s="2">
        <v>45004</v>
      </c>
      <c r="C942" s="1" t="s">
        <v>954</v>
      </c>
      <c r="D942" s="1" t="s">
        <v>13</v>
      </c>
      <c r="E942" s="1">
        <v>57</v>
      </c>
      <c r="F942" s="1" t="s">
        <v>14</v>
      </c>
      <c r="G942" s="1">
        <v>2</v>
      </c>
      <c r="H942" s="1">
        <v>25</v>
      </c>
      <c r="I942" s="1">
        <v>50</v>
      </c>
    </row>
    <row r="943" spans="1:9" ht="12.75" x14ac:dyDescent="0.2">
      <c r="A943" s="1">
        <v>942</v>
      </c>
      <c r="B943" s="2">
        <v>45003</v>
      </c>
      <c r="C943" s="1" t="s">
        <v>955</v>
      </c>
      <c r="D943" s="1" t="s">
        <v>10</v>
      </c>
      <c r="E943" s="1">
        <v>51</v>
      </c>
      <c r="F943" s="1" t="s">
        <v>14</v>
      </c>
      <c r="G943" s="1">
        <v>3</v>
      </c>
      <c r="H943" s="1">
        <v>500</v>
      </c>
      <c r="I943" s="1">
        <v>1500</v>
      </c>
    </row>
    <row r="944" spans="1:9" ht="12.75" x14ac:dyDescent="0.2">
      <c r="A944" s="1">
        <v>943</v>
      </c>
      <c r="B944" s="2">
        <v>45215</v>
      </c>
      <c r="C944" s="1" t="s">
        <v>956</v>
      </c>
      <c r="D944" s="1" t="s">
        <v>13</v>
      </c>
      <c r="E944" s="1">
        <v>57</v>
      </c>
      <c r="F944" s="1" t="s">
        <v>14</v>
      </c>
      <c r="G944" s="1">
        <v>4</v>
      </c>
      <c r="H944" s="1">
        <v>300</v>
      </c>
      <c r="I944" s="1">
        <v>1200</v>
      </c>
    </row>
    <row r="945" spans="1:9" ht="12.75" x14ac:dyDescent="0.2">
      <c r="A945" s="1">
        <v>944</v>
      </c>
      <c r="B945" s="2">
        <v>45082</v>
      </c>
      <c r="C945" s="1" t="s">
        <v>957</v>
      </c>
      <c r="D945" s="1" t="s">
        <v>10</v>
      </c>
      <c r="E945" s="1">
        <v>44</v>
      </c>
      <c r="F945" s="1" t="s">
        <v>14</v>
      </c>
      <c r="G945" s="1">
        <v>2</v>
      </c>
      <c r="H945" s="1">
        <v>25</v>
      </c>
      <c r="I945" s="1">
        <v>50</v>
      </c>
    </row>
    <row r="946" spans="1:9" ht="12.75" x14ac:dyDescent="0.2">
      <c r="A946" s="1">
        <v>945</v>
      </c>
      <c r="B946" s="2">
        <v>44970</v>
      </c>
      <c r="C946" s="1" t="s">
        <v>958</v>
      </c>
      <c r="D946" s="1" t="s">
        <v>10</v>
      </c>
      <c r="E946" s="1">
        <v>30</v>
      </c>
      <c r="F946" s="1" t="s">
        <v>11</v>
      </c>
      <c r="G946" s="1">
        <v>1</v>
      </c>
      <c r="H946" s="1">
        <v>25</v>
      </c>
      <c r="I946" s="1">
        <v>25</v>
      </c>
    </row>
    <row r="947" spans="1:9" ht="12.75" x14ac:dyDescent="0.2">
      <c r="A947" s="1">
        <v>946</v>
      </c>
      <c r="B947" s="2">
        <v>45054</v>
      </c>
      <c r="C947" s="1" t="s">
        <v>959</v>
      </c>
      <c r="D947" s="1" t="s">
        <v>10</v>
      </c>
      <c r="E947" s="1">
        <v>62</v>
      </c>
      <c r="F947" s="1" t="s">
        <v>16</v>
      </c>
      <c r="G947" s="1">
        <v>4</v>
      </c>
      <c r="H947" s="1">
        <v>500</v>
      </c>
      <c r="I947" s="1">
        <v>2000</v>
      </c>
    </row>
    <row r="948" spans="1:9" ht="12.75" x14ac:dyDescent="0.2">
      <c r="A948" s="1">
        <v>947</v>
      </c>
      <c r="B948" s="2">
        <v>44987</v>
      </c>
      <c r="C948" s="1" t="s">
        <v>960</v>
      </c>
      <c r="D948" s="1" t="s">
        <v>10</v>
      </c>
      <c r="E948" s="1">
        <v>50</v>
      </c>
      <c r="F948" s="1" t="s">
        <v>11</v>
      </c>
      <c r="G948" s="1">
        <v>1</v>
      </c>
      <c r="H948" s="1">
        <v>300</v>
      </c>
      <c r="I948" s="1">
        <v>300</v>
      </c>
    </row>
    <row r="949" spans="1:9" ht="12.75" x14ac:dyDescent="0.2">
      <c r="A949" s="1">
        <v>948</v>
      </c>
      <c r="B949" s="2">
        <v>45212</v>
      </c>
      <c r="C949" s="1" t="s">
        <v>961</v>
      </c>
      <c r="D949" s="1" t="s">
        <v>13</v>
      </c>
      <c r="E949" s="1">
        <v>23</v>
      </c>
      <c r="F949" s="1" t="s">
        <v>16</v>
      </c>
      <c r="G949" s="1">
        <v>3</v>
      </c>
      <c r="H949" s="1">
        <v>25</v>
      </c>
      <c r="I949" s="1">
        <v>75</v>
      </c>
    </row>
    <row r="950" spans="1:9" ht="12.75" x14ac:dyDescent="0.2">
      <c r="A950" s="1">
        <v>949</v>
      </c>
      <c r="B950" s="2">
        <v>45140</v>
      </c>
      <c r="C950" s="1" t="s">
        <v>962</v>
      </c>
      <c r="D950" s="1" t="s">
        <v>13</v>
      </c>
      <c r="E950" s="1">
        <v>41</v>
      </c>
      <c r="F950" s="1" t="s">
        <v>16</v>
      </c>
      <c r="G950" s="1">
        <v>2</v>
      </c>
      <c r="H950" s="1">
        <v>25</v>
      </c>
      <c r="I950" s="1">
        <v>50</v>
      </c>
    </row>
    <row r="951" spans="1:9" ht="12.75" x14ac:dyDescent="0.2">
      <c r="A951" s="1">
        <v>950</v>
      </c>
      <c r="B951" s="2">
        <v>45237</v>
      </c>
      <c r="C951" s="1" t="s">
        <v>963</v>
      </c>
      <c r="D951" s="1" t="s">
        <v>10</v>
      </c>
      <c r="E951" s="1">
        <v>36</v>
      </c>
      <c r="F951" s="1" t="s">
        <v>14</v>
      </c>
      <c r="G951" s="1">
        <v>3</v>
      </c>
      <c r="H951" s="1">
        <v>300</v>
      </c>
      <c r="I951" s="1">
        <v>900</v>
      </c>
    </row>
    <row r="952" spans="1:9" ht="12.75" x14ac:dyDescent="0.2">
      <c r="A952" s="1">
        <v>951</v>
      </c>
      <c r="B952" s="2">
        <v>45232</v>
      </c>
      <c r="C952" s="1" t="s">
        <v>964</v>
      </c>
      <c r="D952" s="1" t="s">
        <v>10</v>
      </c>
      <c r="E952" s="1">
        <v>33</v>
      </c>
      <c r="F952" s="1" t="s">
        <v>11</v>
      </c>
      <c r="G952" s="1">
        <v>2</v>
      </c>
      <c r="H952" s="1">
        <v>50</v>
      </c>
      <c r="I952" s="1">
        <v>100</v>
      </c>
    </row>
    <row r="953" spans="1:9" ht="12.75" x14ac:dyDescent="0.2">
      <c r="A953" s="1">
        <v>952</v>
      </c>
      <c r="B953" s="2">
        <v>45243</v>
      </c>
      <c r="C953" s="1" t="s">
        <v>965</v>
      </c>
      <c r="D953" s="1" t="s">
        <v>13</v>
      </c>
      <c r="E953" s="1">
        <v>57</v>
      </c>
      <c r="F953" s="1" t="s">
        <v>14</v>
      </c>
      <c r="G953" s="1">
        <v>1</v>
      </c>
      <c r="H953" s="1">
        <v>25</v>
      </c>
      <c r="I953" s="1">
        <v>25</v>
      </c>
    </row>
    <row r="954" spans="1:9" ht="12.75" x14ac:dyDescent="0.2">
      <c r="A954" s="1">
        <v>953</v>
      </c>
      <c r="B954" s="2">
        <v>45042</v>
      </c>
      <c r="C954" s="1" t="s">
        <v>966</v>
      </c>
      <c r="D954" s="1" t="s">
        <v>10</v>
      </c>
      <c r="E954" s="1">
        <v>45</v>
      </c>
      <c r="F954" s="1" t="s">
        <v>11</v>
      </c>
      <c r="G954" s="1">
        <v>3</v>
      </c>
      <c r="H954" s="1">
        <v>30</v>
      </c>
      <c r="I954" s="1">
        <v>90</v>
      </c>
    </row>
    <row r="955" spans="1:9" ht="12.75" x14ac:dyDescent="0.2">
      <c r="A955" s="1">
        <v>954</v>
      </c>
      <c r="B955" s="2">
        <v>45194</v>
      </c>
      <c r="C955" s="1" t="s">
        <v>967</v>
      </c>
      <c r="D955" s="1" t="s">
        <v>13</v>
      </c>
      <c r="E955" s="1">
        <v>50</v>
      </c>
      <c r="F955" s="1" t="s">
        <v>16</v>
      </c>
      <c r="G955" s="1">
        <v>3</v>
      </c>
      <c r="H955" s="1">
        <v>300</v>
      </c>
      <c r="I955" s="1">
        <v>900</v>
      </c>
    </row>
    <row r="956" spans="1:9" ht="12.75" x14ac:dyDescent="0.2">
      <c r="A956" s="1">
        <v>955</v>
      </c>
      <c r="B956" s="2">
        <v>45121</v>
      </c>
      <c r="C956" s="1" t="s">
        <v>968</v>
      </c>
      <c r="D956" s="1" t="s">
        <v>10</v>
      </c>
      <c r="E956" s="1">
        <v>58</v>
      </c>
      <c r="F956" s="1" t="s">
        <v>14</v>
      </c>
      <c r="G956" s="1">
        <v>1</v>
      </c>
      <c r="H956" s="1">
        <v>25</v>
      </c>
      <c r="I956" s="1">
        <v>25</v>
      </c>
    </row>
    <row r="957" spans="1:9" ht="12.75" x14ac:dyDescent="0.2">
      <c r="A957" s="1">
        <v>956</v>
      </c>
      <c r="B957" s="2">
        <v>45157</v>
      </c>
      <c r="C957" s="1" t="s">
        <v>969</v>
      </c>
      <c r="D957" s="1" t="s">
        <v>10</v>
      </c>
      <c r="E957" s="1">
        <v>30</v>
      </c>
      <c r="F957" s="1" t="s">
        <v>14</v>
      </c>
      <c r="G957" s="1">
        <v>3</v>
      </c>
      <c r="H957" s="1">
        <v>500</v>
      </c>
      <c r="I957" s="1">
        <v>1500</v>
      </c>
    </row>
    <row r="958" spans="1:9" ht="12.75" x14ac:dyDescent="0.2">
      <c r="A958" s="1">
        <v>957</v>
      </c>
      <c r="B958" s="2">
        <v>45153</v>
      </c>
      <c r="C958" s="1" t="s">
        <v>970</v>
      </c>
      <c r="D958" s="1" t="s">
        <v>13</v>
      </c>
      <c r="E958" s="1">
        <v>60</v>
      </c>
      <c r="F958" s="1" t="s">
        <v>16</v>
      </c>
      <c r="G958" s="1">
        <v>4</v>
      </c>
      <c r="H958" s="1">
        <v>30</v>
      </c>
      <c r="I958" s="1">
        <v>120</v>
      </c>
    </row>
    <row r="959" spans="1:9" ht="12.75" x14ac:dyDescent="0.2">
      <c r="A959" s="1">
        <v>958</v>
      </c>
      <c r="B959" s="2">
        <v>45079</v>
      </c>
      <c r="C959" s="1" t="s">
        <v>971</v>
      </c>
      <c r="D959" s="1" t="s">
        <v>10</v>
      </c>
      <c r="E959" s="1">
        <v>62</v>
      </c>
      <c r="F959" s="1" t="s">
        <v>16</v>
      </c>
      <c r="G959" s="1">
        <v>2</v>
      </c>
      <c r="H959" s="1">
        <v>25</v>
      </c>
      <c r="I959" s="1">
        <v>50</v>
      </c>
    </row>
    <row r="960" spans="1:9" ht="12.75" x14ac:dyDescent="0.2">
      <c r="A960" s="1">
        <v>959</v>
      </c>
      <c r="B960" s="2">
        <v>45228</v>
      </c>
      <c r="C960" s="1" t="s">
        <v>972</v>
      </c>
      <c r="D960" s="1" t="s">
        <v>13</v>
      </c>
      <c r="E960" s="1">
        <v>42</v>
      </c>
      <c r="F960" s="1" t="s">
        <v>16</v>
      </c>
      <c r="G960" s="1">
        <v>2</v>
      </c>
      <c r="H960" s="1">
        <v>30</v>
      </c>
      <c r="I960" s="1">
        <v>60</v>
      </c>
    </row>
    <row r="961" spans="1:9" ht="12.75" x14ac:dyDescent="0.2">
      <c r="A961" s="1">
        <v>960</v>
      </c>
      <c r="B961" s="2">
        <v>45146</v>
      </c>
      <c r="C961" s="1" t="s">
        <v>973</v>
      </c>
      <c r="D961" s="1" t="s">
        <v>10</v>
      </c>
      <c r="E961" s="1">
        <v>59</v>
      </c>
      <c r="F961" s="1" t="s">
        <v>14</v>
      </c>
      <c r="G961" s="1">
        <v>2</v>
      </c>
      <c r="H961" s="1">
        <v>30</v>
      </c>
      <c r="I961" s="1">
        <v>60</v>
      </c>
    </row>
    <row r="962" spans="1:9" ht="12.75" x14ac:dyDescent="0.2">
      <c r="A962" s="1">
        <v>961</v>
      </c>
      <c r="B962" s="2">
        <v>45083</v>
      </c>
      <c r="C962" s="1" t="s">
        <v>974</v>
      </c>
      <c r="D962" s="1" t="s">
        <v>10</v>
      </c>
      <c r="E962" s="1">
        <v>53</v>
      </c>
      <c r="F962" s="1" t="s">
        <v>11</v>
      </c>
      <c r="G962" s="1">
        <v>4</v>
      </c>
      <c r="H962" s="1">
        <v>50</v>
      </c>
      <c r="I962" s="1">
        <v>200</v>
      </c>
    </row>
    <row r="963" spans="1:9" ht="12.75" x14ac:dyDescent="0.2">
      <c r="A963" s="1">
        <v>962</v>
      </c>
      <c r="B963" s="2">
        <v>45218</v>
      </c>
      <c r="C963" s="1" t="s">
        <v>975</v>
      </c>
      <c r="D963" s="1" t="s">
        <v>10</v>
      </c>
      <c r="E963" s="1">
        <v>44</v>
      </c>
      <c r="F963" s="1" t="s">
        <v>14</v>
      </c>
      <c r="G963" s="1">
        <v>2</v>
      </c>
      <c r="H963" s="1">
        <v>30</v>
      </c>
      <c r="I963" s="1">
        <v>60</v>
      </c>
    </row>
    <row r="964" spans="1:9" ht="12.75" x14ac:dyDescent="0.2">
      <c r="A964" s="1">
        <v>963</v>
      </c>
      <c r="B964" s="2">
        <v>45244</v>
      </c>
      <c r="C964" s="1" t="s">
        <v>976</v>
      </c>
      <c r="D964" s="1" t="s">
        <v>13</v>
      </c>
      <c r="E964" s="1">
        <v>55</v>
      </c>
      <c r="F964" s="1" t="s">
        <v>11</v>
      </c>
      <c r="G964" s="1">
        <v>1</v>
      </c>
      <c r="H964" s="1">
        <v>50</v>
      </c>
      <c r="I964" s="1">
        <v>50</v>
      </c>
    </row>
    <row r="965" spans="1:9" ht="12.75" x14ac:dyDescent="0.2">
      <c r="A965" s="1">
        <v>964</v>
      </c>
      <c r="B965" s="2">
        <v>44957</v>
      </c>
      <c r="C965" s="1" t="s">
        <v>977</v>
      </c>
      <c r="D965" s="1" t="s">
        <v>10</v>
      </c>
      <c r="E965" s="1">
        <v>24</v>
      </c>
      <c r="F965" s="1" t="s">
        <v>14</v>
      </c>
      <c r="G965" s="1">
        <v>3</v>
      </c>
      <c r="H965" s="1">
        <v>300</v>
      </c>
      <c r="I965" s="1">
        <v>900</v>
      </c>
    </row>
    <row r="966" spans="1:9" ht="12.75" x14ac:dyDescent="0.2">
      <c r="A966" s="1">
        <v>965</v>
      </c>
      <c r="B966" s="2">
        <v>45239</v>
      </c>
      <c r="C966" s="1" t="s">
        <v>978</v>
      </c>
      <c r="D966" s="1" t="s">
        <v>10</v>
      </c>
      <c r="E966" s="1">
        <v>22</v>
      </c>
      <c r="F966" s="1" t="s">
        <v>14</v>
      </c>
      <c r="G966" s="1">
        <v>4</v>
      </c>
      <c r="H966" s="1">
        <v>50</v>
      </c>
      <c r="I966" s="1">
        <v>200</v>
      </c>
    </row>
    <row r="967" spans="1:9" ht="12.75" x14ac:dyDescent="0.2">
      <c r="A967" s="1">
        <v>966</v>
      </c>
      <c r="B967" s="2">
        <v>44977</v>
      </c>
      <c r="C967" s="1" t="s">
        <v>979</v>
      </c>
      <c r="D967" s="1" t="s">
        <v>10</v>
      </c>
      <c r="E967" s="1">
        <v>60</v>
      </c>
      <c r="F967" s="1" t="s">
        <v>16</v>
      </c>
      <c r="G967" s="1">
        <v>2</v>
      </c>
      <c r="H967" s="1">
        <v>500</v>
      </c>
      <c r="I967" s="1">
        <v>1000</v>
      </c>
    </row>
    <row r="968" spans="1:9" ht="12.75" x14ac:dyDescent="0.2">
      <c r="A968" s="1">
        <v>967</v>
      </c>
      <c r="B968" s="2">
        <v>45033</v>
      </c>
      <c r="C968" s="1" t="s">
        <v>980</v>
      </c>
      <c r="D968" s="1" t="s">
        <v>10</v>
      </c>
      <c r="E968" s="1">
        <v>62</v>
      </c>
      <c r="F968" s="1" t="s">
        <v>11</v>
      </c>
      <c r="G968" s="1">
        <v>1</v>
      </c>
      <c r="H968" s="1">
        <v>25</v>
      </c>
      <c r="I968" s="1">
        <v>25</v>
      </c>
    </row>
    <row r="969" spans="1:9" ht="12.75" x14ac:dyDescent="0.2">
      <c r="A969" s="1">
        <v>968</v>
      </c>
      <c r="B969" s="2">
        <v>45247</v>
      </c>
      <c r="C969" s="1" t="s">
        <v>981</v>
      </c>
      <c r="D969" s="1" t="s">
        <v>13</v>
      </c>
      <c r="E969" s="1">
        <v>48</v>
      </c>
      <c r="F969" s="1" t="s">
        <v>14</v>
      </c>
      <c r="G969" s="1">
        <v>3</v>
      </c>
      <c r="H969" s="1">
        <v>300</v>
      </c>
      <c r="I969" s="1">
        <v>900</v>
      </c>
    </row>
    <row r="970" spans="1:9" ht="12.75" x14ac:dyDescent="0.2">
      <c r="A970" s="1">
        <v>969</v>
      </c>
      <c r="B970" s="2">
        <v>45035</v>
      </c>
      <c r="C970" s="1" t="s">
        <v>982</v>
      </c>
      <c r="D970" s="1" t="s">
        <v>13</v>
      </c>
      <c r="E970" s="1">
        <v>40</v>
      </c>
      <c r="F970" s="1" t="s">
        <v>14</v>
      </c>
      <c r="G970" s="1">
        <v>3</v>
      </c>
      <c r="H970" s="1">
        <v>300</v>
      </c>
      <c r="I970" s="1">
        <v>900</v>
      </c>
    </row>
    <row r="971" spans="1:9" ht="12.75" x14ac:dyDescent="0.2">
      <c r="A971" s="1">
        <v>970</v>
      </c>
      <c r="B971" s="2">
        <v>45062</v>
      </c>
      <c r="C971" s="1" t="s">
        <v>983</v>
      </c>
      <c r="D971" s="1" t="s">
        <v>10</v>
      </c>
      <c r="E971" s="1">
        <v>59</v>
      </c>
      <c r="F971" s="1" t="s">
        <v>16</v>
      </c>
      <c r="G971" s="1">
        <v>4</v>
      </c>
      <c r="H971" s="1">
        <v>500</v>
      </c>
      <c r="I971" s="1">
        <v>2000</v>
      </c>
    </row>
    <row r="972" spans="1:9" ht="12.75" x14ac:dyDescent="0.2">
      <c r="A972" s="1">
        <v>971</v>
      </c>
      <c r="B972" s="2">
        <v>45265</v>
      </c>
      <c r="C972" s="1" t="s">
        <v>984</v>
      </c>
      <c r="D972" s="1" t="s">
        <v>13</v>
      </c>
      <c r="E972" s="1">
        <v>27</v>
      </c>
      <c r="F972" s="1" t="s">
        <v>16</v>
      </c>
      <c r="G972" s="1">
        <v>4</v>
      </c>
      <c r="H972" s="1">
        <v>50</v>
      </c>
      <c r="I972" s="1">
        <v>200</v>
      </c>
    </row>
    <row r="973" spans="1:9" ht="12.75" x14ac:dyDescent="0.2">
      <c r="A973" s="1">
        <v>972</v>
      </c>
      <c r="B973" s="2">
        <v>44968</v>
      </c>
      <c r="C973" s="1" t="s">
        <v>985</v>
      </c>
      <c r="D973" s="1" t="s">
        <v>10</v>
      </c>
      <c r="E973" s="1">
        <v>49</v>
      </c>
      <c r="F973" s="1" t="s">
        <v>11</v>
      </c>
      <c r="G973" s="1">
        <v>4</v>
      </c>
      <c r="H973" s="1">
        <v>25</v>
      </c>
      <c r="I973" s="1">
        <v>100</v>
      </c>
    </row>
    <row r="974" spans="1:9" ht="12.75" x14ac:dyDescent="0.2">
      <c r="A974" s="1">
        <v>973</v>
      </c>
      <c r="B974" s="2">
        <v>45007</v>
      </c>
      <c r="C974" s="1" t="s">
        <v>986</v>
      </c>
      <c r="D974" s="1" t="s">
        <v>10</v>
      </c>
      <c r="E974" s="1">
        <v>60</v>
      </c>
      <c r="F974" s="1" t="s">
        <v>14</v>
      </c>
      <c r="G974" s="1">
        <v>1</v>
      </c>
      <c r="H974" s="1">
        <v>50</v>
      </c>
      <c r="I974" s="1">
        <v>50</v>
      </c>
    </row>
    <row r="975" spans="1:9" ht="12.75" x14ac:dyDescent="0.2">
      <c r="A975" s="1">
        <v>974</v>
      </c>
      <c r="B975" s="2">
        <v>45049</v>
      </c>
      <c r="C975" s="1" t="s">
        <v>987</v>
      </c>
      <c r="D975" s="1" t="s">
        <v>10</v>
      </c>
      <c r="E975" s="1">
        <v>47</v>
      </c>
      <c r="F975" s="1" t="s">
        <v>11</v>
      </c>
      <c r="G975" s="1">
        <v>1</v>
      </c>
      <c r="H975" s="1">
        <v>30</v>
      </c>
      <c r="I975" s="1">
        <v>30</v>
      </c>
    </row>
    <row r="976" spans="1:9" ht="12.75" x14ac:dyDescent="0.2">
      <c r="A976" s="1">
        <v>975</v>
      </c>
      <c r="B976" s="2">
        <v>45015</v>
      </c>
      <c r="C976" s="1" t="s">
        <v>988</v>
      </c>
      <c r="D976" s="1" t="s">
        <v>13</v>
      </c>
      <c r="E976" s="1">
        <v>56</v>
      </c>
      <c r="F976" s="1" t="s">
        <v>14</v>
      </c>
      <c r="G976" s="1">
        <v>4</v>
      </c>
      <c r="H976" s="1">
        <v>50</v>
      </c>
      <c r="I976" s="1">
        <v>200</v>
      </c>
    </row>
    <row r="977" spans="1:9" ht="12.75" x14ac:dyDescent="0.2">
      <c r="A977" s="1">
        <v>976</v>
      </c>
      <c r="B977" s="2">
        <v>45209</v>
      </c>
      <c r="C977" s="1" t="s">
        <v>989</v>
      </c>
      <c r="D977" s="1" t="s">
        <v>13</v>
      </c>
      <c r="E977" s="1">
        <v>48</v>
      </c>
      <c r="F977" s="1" t="s">
        <v>11</v>
      </c>
      <c r="G977" s="1">
        <v>2</v>
      </c>
      <c r="H977" s="1">
        <v>300</v>
      </c>
      <c r="I977" s="1">
        <v>600</v>
      </c>
    </row>
    <row r="978" spans="1:9" ht="12.75" x14ac:dyDescent="0.2">
      <c r="A978" s="1">
        <v>977</v>
      </c>
      <c r="B978" s="2">
        <v>44965</v>
      </c>
      <c r="C978" s="1" t="s">
        <v>990</v>
      </c>
      <c r="D978" s="1" t="s">
        <v>13</v>
      </c>
      <c r="E978" s="1">
        <v>35</v>
      </c>
      <c r="F978" s="1" t="s">
        <v>16</v>
      </c>
      <c r="G978" s="1">
        <v>3</v>
      </c>
      <c r="H978" s="1">
        <v>25</v>
      </c>
      <c r="I978" s="1">
        <v>75</v>
      </c>
    </row>
    <row r="979" spans="1:9" ht="12.75" x14ac:dyDescent="0.2">
      <c r="A979" s="1">
        <v>978</v>
      </c>
      <c r="B979" s="2">
        <v>45007</v>
      </c>
      <c r="C979" s="1" t="s">
        <v>991</v>
      </c>
      <c r="D979" s="1" t="s">
        <v>13</v>
      </c>
      <c r="E979" s="1">
        <v>53</v>
      </c>
      <c r="F979" s="1" t="s">
        <v>14</v>
      </c>
      <c r="G979" s="1">
        <v>3</v>
      </c>
      <c r="H979" s="1">
        <v>50</v>
      </c>
      <c r="I979" s="1">
        <v>150</v>
      </c>
    </row>
    <row r="980" spans="1:9" ht="12.75" x14ac:dyDescent="0.2">
      <c r="A980" s="1">
        <v>979</v>
      </c>
      <c r="B980" s="2">
        <v>44928</v>
      </c>
      <c r="C980" s="1" t="s">
        <v>992</v>
      </c>
      <c r="D980" s="1" t="s">
        <v>13</v>
      </c>
      <c r="E980" s="1">
        <v>19</v>
      </c>
      <c r="F980" s="1" t="s">
        <v>11</v>
      </c>
      <c r="G980" s="1">
        <v>1</v>
      </c>
      <c r="H980" s="1">
        <v>25</v>
      </c>
      <c r="I980" s="1">
        <v>25</v>
      </c>
    </row>
    <row r="981" spans="1:9" ht="12.75" x14ac:dyDescent="0.2">
      <c r="A981" s="1">
        <v>980</v>
      </c>
      <c r="B981" s="2">
        <v>45136</v>
      </c>
      <c r="C981" s="1" t="s">
        <v>993</v>
      </c>
      <c r="D981" s="1" t="s">
        <v>13</v>
      </c>
      <c r="E981" s="1">
        <v>31</v>
      </c>
      <c r="F981" s="1" t="s">
        <v>16</v>
      </c>
      <c r="G981" s="1">
        <v>3</v>
      </c>
      <c r="H981" s="1">
        <v>25</v>
      </c>
      <c r="I981" s="1">
        <v>75</v>
      </c>
    </row>
    <row r="982" spans="1:9" ht="12.75" x14ac:dyDescent="0.2">
      <c r="A982" s="1">
        <v>981</v>
      </c>
      <c r="B982" s="2">
        <v>45157</v>
      </c>
      <c r="C982" s="1" t="s">
        <v>994</v>
      </c>
      <c r="D982" s="1" t="s">
        <v>13</v>
      </c>
      <c r="E982" s="1">
        <v>30</v>
      </c>
      <c r="F982" s="1" t="s">
        <v>16</v>
      </c>
      <c r="G982" s="1">
        <v>2</v>
      </c>
      <c r="H982" s="1">
        <v>30</v>
      </c>
      <c r="I982" s="1">
        <v>60</v>
      </c>
    </row>
    <row r="983" spans="1:9" ht="12.75" x14ac:dyDescent="0.2">
      <c r="A983" s="1">
        <v>982</v>
      </c>
      <c r="B983" s="2">
        <v>45279</v>
      </c>
      <c r="C983" s="1" t="s">
        <v>995</v>
      </c>
      <c r="D983" s="1" t="s">
        <v>13</v>
      </c>
      <c r="E983" s="1">
        <v>46</v>
      </c>
      <c r="F983" s="1" t="s">
        <v>11</v>
      </c>
      <c r="G983" s="1">
        <v>3</v>
      </c>
      <c r="H983" s="1">
        <v>30</v>
      </c>
      <c r="I983" s="1">
        <v>90</v>
      </c>
    </row>
    <row r="984" spans="1:9" ht="12.75" x14ac:dyDescent="0.2">
      <c r="A984" s="1">
        <v>983</v>
      </c>
      <c r="B984" s="2">
        <v>45231</v>
      </c>
      <c r="C984" s="1" t="s">
        <v>996</v>
      </c>
      <c r="D984" s="1" t="s">
        <v>13</v>
      </c>
      <c r="E984" s="1">
        <v>29</v>
      </c>
      <c r="F984" s="1" t="s">
        <v>14</v>
      </c>
      <c r="G984" s="1">
        <v>1</v>
      </c>
      <c r="H984" s="1">
        <v>300</v>
      </c>
      <c r="I984" s="1">
        <v>300</v>
      </c>
    </row>
    <row r="985" spans="1:9" ht="12.75" x14ac:dyDescent="0.2">
      <c r="A985" s="1">
        <v>984</v>
      </c>
      <c r="B985" s="2">
        <v>45167</v>
      </c>
      <c r="C985" s="1" t="s">
        <v>997</v>
      </c>
      <c r="D985" s="1" t="s">
        <v>10</v>
      </c>
      <c r="E985" s="1">
        <v>56</v>
      </c>
      <c r="F985" s="1" t="s">
        <v>14</v>
      </c>
      <c r="G985" s="1">
        <v>1</v>
      </c>
      <c r="H985" s="1">
        <v>500</v>
      </c>
      <c r="I985" s="1">
        <v>500</v>
      </c>
    </row>
    <row r="986" spans="1:9" ht="12.75" x14ac:dyDescent="0.2">
      <c r="A986" s="1">
        <v>985</v>
      </c>
      <c r="B986" s="2">
        <v>45076</v>
      </c>
      <c r="C986" s="1" t="s">
        <v>998</v>
      </c>
      <c r="D986" s="1" t="s">
        <v>13</v>
      </c>
      <c r="E986" s="1">
        <v>19</v>
      </c>
      <c r="F986" s="1" t="s">
        <v>16</v>
      </c>
      <c r="G986" s="1">
        <v>2</v>
      </c>
      <c r="H986" s="1">
        <v>25</v>
      </c>
      <c r="I986" s="1">
        <v>50</v>
      </c>
    </row>
    <row r="987" spans="1:9" ht="12.75" x14ac:dyDescent="0.2">
      <c r="A987" s="1">
        <v>986</v>
      </c>
      <c r="B987" s="2">
        <v>44943</v>
      </c>
      <c r="C987" s="1" t="s">
        <v>999</v>
      </c>
      <c r="D987" s="1" t="s">
        <v>13</v>
      </c>
      <c r="E987" s="1">
        <v>49</v>
      </c>
      <c r="F987" s="1" t="s">
        <v>14</v>
      </c>
      <c r="G987" s="1">
        <v>2</v>
      </c>
      <c r="H987" s="1">
        <v>500</v>
      </c>
      <c r="I987" s="1">
        <v>1000</v>
      </c>
    </row>
    <row r="988" spans="1:9" ht="12.75" x14ac:dyDescent="0.2">
      <c r="A988" s="1">
        <v>987</v>
      </c>
      <c r="B988" s="2">
        <v>45045</v>
      </c>
      <c r="C988" s="1" t="s">
        <v>1000</v>
      </c>
      <c r="D988" s="1" t="s">
        <v>13</v>
      </c>
      <c r="E988" s="1">
        <v>30</v>
      </c>
      <c r="F988" s="1" t="s">
        <v>14</v>
      </c>
      <c r="G988" s="1">
        <v>3</v>
      </c>
      <c r="H988" s="1">
        <v>300</v>
      </c>
      <c r="I988" s="1">
        <v>900</v>
      </c>
    </row>
    <row r="989" spans="1:9" ht="12.75" x14ac:dyDescent="0.2">
      <c r="A989" s="1">
        <v>988</v>
      </c>
      <c r="B989" s="2">
        <v>45074</v>
      </c>
      <c r="C989" s="1" t="s">
        <v>1001</v>
      </c>
      <c r="D989" s="1" t="s">
        <v>13</v>
      </c>
      <c r="E989" s="1">
        <v>63</v>
      </c>
      <c r="F989" s="1" t="s">
        <v>14</v>
      </c>
      <c r="G989" s="1">
        <v>3</v>
      </c>
      <c r="H989" s="1">
        <v>25</v>
      </c>
      <c r="I989" s="1">
        <v>75</v>
      </c>
    </row>
    <row r="990" spans="1:9" ht="12.75" x14ac:dyDescent="0.2">
      <c r="A990" s="1">
        <v>989</v>
      </c>
      <c r="B990" s="2">
        <v>45288</v>
      </c>
      <c r="C990" s="1" t="s">
        <v>1002</v>
      </c>
      <c r="D990" s="1" t="s">
        <v>13</v>
      </c>
      <c r="E990" s="1">
        <v>44</v>
      </c>
      <c r="F990" s="1" t="s">
        <v>16</v>
      </c>
      <c r="G990" s="1">
        <v>1</v>
      </c>
      <c r="H990" s="1">
        <v>25</v>
      </c>
      <c r="I990" s="1">
        <v>25</v>
      </c>
    </row>
    <row r="991" spans="1:9" ht="12.75" x14ac:dyDescent="0.2">
      <c r="A991" s="1">
        <v>990</v>
      </c>
      <c r="B991" s="2">
        <v>45071</v>
      </c>
      <c r="C991" s="1" t="s">
        <v>1003</v>
      </c>
      <c r="D991" s="1" t="s">
        <v>13</v>
      </c>
      <c r="E991" s="1">
        <v>58</v>
      </c>
      <c r="F991" s="1" t="s">
        <v>11</v>
      </c>
      <c r="G991" s="1">
        <v>2</v>
      </c>
      <c r="H991" s="1">
        <v>500</v>
      </c>
      <c r="I991" s="1">
        <v>1000</v>
      </c>
    </row>
    <row r="992" spans="1:9" ht="12.75" x14ac:dyDescent="0.2">
      <c r="A992" s="1">
        <v>991</v>
      </c>
      <c r="B992" s="2">
        <v>45286</v>
      </c>
      <c r="C992" s="1" t="s">
        <v>1004</v>
      </c>
      <c r="D992" s="1" t="s">
        <v>13</v>
      </c>
      <c r="E992" s="1">
        <v>34</v>
      </c>
      <c r="F992" s="1" t="s">
        <v>14</v>
      </c>
      <c r="G992" s="1">
        <v>2</v>
      </c>
      <c r="H992" s="1">
        <v>50</v>
      </c>
      <c r="I992" s="1">
        <v>100</v>
      </c>
    </row>
    <row r="993" spans="1:9" ht="12.75" x14ac:dyDescent="0.2">
      <c r="A993" s="1">
        <v>992</v>
      </c>
      <c r="B993" s="2">
        <v>45159</v>
      </c>
      <c r="C993" s="1" t="s">
        <v>1005</v>
      </c>
      <c r="D993" s="1" t="s">
        <v>13</v>
      </c>
      <c r="E993" s="1">
        <v>57</v>
      </c>
      <c r="F993" s="1" t="s">
        <v>16</v>
      </c>
      <c r="G993" s="1">
        <v>2</v>
      </c>
      <c r="H993" s="1">
        <v>30</v>
      </c>
      <c r="I993" s="1">
        <v>60</v>
      </c>
    </row>
    <row r="994" spans="1:9" ht="12.75" x14ac:dyDescent="0.2">
      <c r="A994" s="1">
        <v>993</v>
      </c>
      <c r="B994" s="2">
        <v>44963</v>
      </c>
      <c r="C994" s="1" t="s">
        <v>1006</v>
      </c>
      <c r="D994" s="1" t="s">
        <v>13</v>
      </c>
      <c r="E994" s="1">
        <v>48</v>
      </c>
      <c r="F994" s="1" t="s">
        <v>16</v>
      </c>
      <c r="G994" s="1">
        <v>3</v>
      </c>
      <c r="H994" s="1">
        <v>50</v>
      </c>
      <c r="I994" s="1">
        <v>150</v>
      </c>
    </row>
    <row r="995" spans="1:9" ht="12.75" x14ac:dyDescent="0.2">
      <c r="A995" s="1">
        <v>994</v>
      </c>
      <c r="B995" s="2">
        <v>45278</v>
      </c>
      <c r="C995" s="1" t="s">
        <v>1007</v>
      </c>
      <c r="D995" s="1" t="s">
        <v>13</v>
      </c>
      <c r="E995" s="1">
        <v>51</v>
      </c>
      <c r="F995" s="1" t="s">
        <v>11</v>
      </c>
      <c r="G995" s="1">
        <v>2</v>
      </c>
      <c r="H995" s="1">
        <v>500</v>
      </c>
      <c r="I995" s="1">
        <v>1000</v>
      </c>
    </row>
    <row r="996" spans="1:9" ht="12.75" x14ac:dyDescent="0.2">
      <c r="A996" s="1">
        <v>995</v>
      </c>
      <c r="B996" s="2">
        <v>45046</v>
      </c>
      <c r="C996" s="1" t="s">
        <v>1008</v>
      </c>
      <c r="D996" s="1" t="s">
        <v>13</v>
      </c>
      <c r="E996" s="1">
        <v>41</v>
      </c>
      <c r="F996" s="1" t="s">
        <v>14</v>
      </c>
      <c r="G996" s="1">
        <v>1</v>
      </c>
      <c r="H996" s="1">
        <v>30</v>
      </c>
      <c r="I996" s="1">
        <v>30</v>
      </c>
    </row>
    <row r="997" spans="1:9" ht="12.75" x14ac:dyDescent="0.2">
      <c r="A997" s="1">
        <v>996</v>
      </c>
      <c r="B997" s="2">
        <v>45062</v>
      </c>
      <c r="C997" s="1" t="s">
        <v>1009</v>
      </c>
      <c r="D997" s="1" t="s">
        <v>10</v>
      </c>
      <c r="E997" s="1">
        <v>62</v>
      </c>
      <c r="F997" s="1" t="s">
        <v>14</v>
      </c>
      <c r="G997" s="1">
        <v>1</v>
      </c>
      <c r="H997" s="1">
        <v>50</v>
      </c>
      <c r="I997" s="1">
        <v>50</v>
      </c>
    </row>
    <row r="998" spans="1:9" ht="12.75" x14ac:dyDescent="0.2">
      <c r="A998" s="1">
        <v>997</v>
      </c>
      <c r="B998" s="2">
        <v>45247</v>
      </c>
      <c r="C998" s="1" t="s">
        <v>1010</v>
      </c>
      <c r="D998" s="1" t="s">
        <v>10</v>
      </c>
      <c r="E998" s="1">
        <v>52</v>
      </c>
      <c r="F998" s="1" t="s">
        <v>11</v>
      </c>
      <c r="G998" s="1">
        <v>3</v>
      </c>
      <c r="H998" s="1">
        <v>30</v>
      </c>
      <c r="I998" s="1">
        <v>90</v>
      </c>
    </row>
    <row r="999" spans="1:9" ht="12.75" x14ac:dyDescent="0.2">
      <c r="A999" s="1">
        <v>998</v>
      </c>
      <c r="B999" s="2">
        <v>45228</v>
      </c>
      <c r="C999" s="1" t="s">
        <v>1011</v>
      </c>
      <c r="D999" s="1" t="s">
        <v>13</v>
      </c>
      <c r="E999" s="1">
        <v>23</v>
      </c>
      <c r="F999" s="1" t="s">
        <v>11</v>
      </c>
      <c r="G999" s="1">
        <v>4</v>
      </c>
      <c r="H999" s="1">
        <v>25</v>
      </c>
      <c r="I999" s="1">
        <v>100</v>
      </c>
    </row>
    <row r="1000" spans="1:9" ht="12.75" x14ac:dyDescent="0.2">
      <c r="A1000" s="1">
        <v>999</v>
      </c>
      <c r="B1000" s="2">
        <v>45265</v>
      </c>
      <c r="C1000" s="1" t="s">
        <v>1012</v>
      </c>
      <c r="D1000" s="1" t="s">
        <v>13</v>
      </c>
      <c r="E1000" s="1">
        <v>36</v>
      </c>
      <c r="F1000" s="1" t="s">
        <v>16</v>
      </c>
      <c r="G1000" s="1">
        <v>3</v>
      </c>
      <c r="H1000" s="1">
        <v>50</v>
      </c>
      <c r="I1000" s="1">
        <v>150</v>
      </c>
    </row>
    <row r="1001" spans="1:9" ht="12.75" x14ac:dyDescent="0.2">
      <c r="A1001" s="1">
        <v>1000</v>
      </c>
      <c r="B1001" s="2">
        <v>45028</v>
      </c>
      <c r="C1001" s="1" t="s">
        <v>1013</v>
      </c>
      <c r="D1001" s="1" t="s">
        <v>10</v>
      </c>
      <c r="E1001" s="1">
        <v>47</v>
      </c>
      <c r="F1001" s="1" t="s">
        <v>16</v>
      </c>
      <c r="G1001" s="1">
        <v>4</v>
      </c>
      <c r="H1001" s="1">
        <v>30</v>
      </c>
      <c r="I1001" s="1">
        <v>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1D1CE-6219-4126-AE46-681BAACCD7EB}">
  <sheetPr>
    <tabColor theme="9"/>
  </sheetPr>
  <dimension ref="A1:N1001"/>
  <sheetViews>
    <sheetView topLeftCell="B1" workbookViewId="0">
      <selection activeCell="D17" sqref="D17"/>
    </sheetView>
  </sheetViews>
  <sheetFormatPr defaultRowHeight="12.75" x14ac:dyDescent="0.2"/>
  <cols>
    <col min="1" max="1" width="12.5703125" bestFit="1" customWidth="1"/>
    <col min="2" max="2" width="10.42578125" style="5" bestFit="1" customWidth="1"/>
    <col min="3" max="3" width="10.42578125" style="5" customWidth="1"/>
    <col min="4" max="5" width="10.42578125" style="8" customWidth="1"/>
    <col min="6" max="6" width="12.85546875" style="7" customWidth="1"/>
    <col min="7" max="7" width="9.140625" style="7"/>
    <col min="8" max="9" width="9.140625" style="8"/>
    <col min="10" max="10" width="16.7109375" style="7" customWidth="1"/>
    <col min="11" max="12" width="10" style="8" customWidth="1"/>
    <col min="13" max="14" width="13.85546875" style="10" customWidth="1"/>
  </cols>
  <sheetData>
    <row r="1" spans="1:14" x14ac:dyDescent="0.2">
      <c r="A1" t="s">
        <v>0</v>
      </c>
      <c r="B1" s="5" t="s">
        <v>1</v>
      </c>
      <c r="C1" s="12" t="s">
        <v>1037</v>
      </c>
      <c r="D1" s="11" t="s">
        <v>1038</v>
      </c>
      <c r="E1" s="11" t="s">
        <v>1039</v>
      </c>
      <c r="F1" s="6" t="s">
        <v>1026</v>
      </c>
      <c r="G1" s="7" t="s">
        <v>3</v>
      </c>
      <c r="H1" s="8" t="s">
        <v>4</v>
      </c>
      <c r="I1" s="11" t="s">
        <v>1030</v>
      </c>
      <c r="J1" s="6" t="s">
        <v>1027</v>
      </c>
      <c r="K1" s="8" t="s">
        <v>6</v>
      </c>
      <c r="L1" s="11" t="s">
        <v>1032</v>
      </c>
      <c r="M1" s="9" t="s">
        <v>1028</v>
      </c>
      <c r="N1" s="9" t="s">
        <v>1029</v>
      </c>
    </row>
    <row r="2" spans="1:14" x14ac:dyDescent="0.2">
      <c r="A2">
        <v>3</v>
      </c>
      <c r="B2" s="5">
        <v>44939</v>
      </c>
      <c r="C2" s="5" t="str">
        <f>TEXT(Table2[[#This Row],[Date]], "MMM")</f>
        <v>Jan</v>
      </c>
      <c r="D2" s="8">
        <f>MONTH(Table2[[#This Row],[Date]])</f>
        <v>1</v>
      </c>
      <c r="E2" s="8">
        <f>YEAR(Table2[[#This Row],[Date]])</f>
        <v>2023</v>
      </c>
      <c r="F2" s="7" t="s">
        <v>15</v>
      </c>
      <c r="G2" s="7" t="s">
        <v>10</v>
      </c>
      <c r="H2" s="8">
        <v>50</v>
      </c>
      <c r="I2" s="8" t="str">
        <f>IF(Table2[[#This Row],[Age]] &lt; 19, "Teenagers", IF(Table2[[#This Row],[Age]] &lt;= 34, "Young Adults", IF(Table2[[#This Row],[Age]] &lt;= 45, "Adults", IF(Table2[[#This Row],[Age]] &lt;= 55, "Seniors", "Elderly")) ))</f>
        <v>Seniors</v>
      </c>
      <c r="J2" s="7" t="s">
        <v>16</v>
      </c>
      <c r="K2" s="8">
        <v>1</v>
      </c>
      <c r="L2" s="8" t="str">
        <f>IF(Table2[[#This Row],[Quantity]]=1, "Single Order", IF(Table2[[#This Row],[Quantity]]=2, "Small Order", IF(Table2[[#This Row],[Quantity]]=3, "Medium Order", "Bulk Order")))</f>
        <v>Single Order</v>
      </c>
      <c r="M2" s="10">
        <v>30</v>
      </c>
      <c r="N2" s="10">
        <v>30</v>
      </c>
    </row>
    <row r="3" spans="1:14" x14ac:dyDescent="0.2">
      <c r="A3">
        <v>14</v>
      </c>
      <c r="B3" s="5">
        <v>44943</v>
      </c>
      <c r="C3" s="5" t="str">
        <f>TEXT(Table2[[#This Row],[Date]], "MMM")</f>
        <v>Jan</v>
      </c>
      <c r="D3" s="8">
        <f>MONTH(Table2[[#This Row],[Date]])</f>
        <v>1</v>
      </c>
      <c r="E3" s="8">
        <f>YEAR(Table2[[#This Row],[Date]])</f>
        <v>2023</v>
      </c>
      <c r="F3" s="7" t="s">
        <v>27</v>
      </c>
      <c r="G3" s="7" t="s">
        <v>10</v>
      </c>
      <c r="H3" s="8">
        <v>64</v>
      </c>
      <c r="I3" s="8" t="str">
        <f>IF(Table2[[#This Row],[Age]] &lt; 19, "Teenagers", IF(Table2[[#This Row],[Age]] &lt;= 34, "Young Adults", IF(Table2[[#This Row],[Age]] &lt;= 45, "Adults", IF(Table2[[#This Row],[Age]] &lt;= 55, "Seniors", "Elderly")) ))</f>
        <v>Elderly</v>
      </c>
      <c r="J3" s="7" t="s">
        <v>14</v>
      </c>
      <c r="K3" s="8">
        <v>4</v>
      </c>
      <c r="L3" s="8" t="str">
        <f>IF(Table2[[#This Row],[Quantity]]=1, "Single Order", IF(Table2[[#This Row],[Quantity]]=2, "Small Order", IF(Table2[[#This Row],[Quantity]]=3, "Medium Order", "Bulk Order")))</f>
        <v>Bulk Order</v>
      </c>
      <c r="M3" s="10">
        <v>30</v>
      </c>
      <c r="N3" s="10">
        <v>120</v>
      </c>
    </row>
    <row r="4" spans="1:14" x14ac:dyDescent="0.2">
      <c r="A4">
        <v>15</v>
      </c>
      <c r="B4" s="5">
        <v>44942</v>
      </c>
      <c r="C4" s="5" t="str">
        <f>TEXT(Table2[[#This Row],[Date]], "MMM")</f>
        <v>Jan</v>
      </c>
      <c r="D4" s="8">
        <f>MONTH(Table2[[#This Row],[Date]])</f>
        <v>1</v>
      </c>
      <c r="E4" s="8">
        <f>YEAR(Table2[[#This Row],[Date]])</f>
        <v>2023</v>
      </c>
      <c r="F4" s="7" t="s">
        <v>28</v>
      </c>
      <c r="G4" s="7" t="s">
        <v>13</v>
      </c>
      <c r="H4" s="8">
        <v>42</v>
      </c>
      <c r="I4" s="8" t="str">
        <f>IF(Table2[[#This Row],[Age]] &lt; 19, "Teenagers", IF(Table2[[#This Row],[Age]] &lt;= 34, "Young Adults", IF(Table2[[#This Row],[Age]] &lt;= 45, "Adults", IF(Table2[[#This Row],[Age]] &lt;= 55, "Seniors", "Elderly")) ))</f>
        <v>Adults</v>
      </c>
      <c r="J4" s="7" t="s">
        <v>16</v>
      </c>
      <c r="K4" s="8">
        <v>4</v>
      </c>
      <c r="L4" s="8" t="str">
        <f>IF(Table2[[#This Row],[Quantity]]=1, "Single Order", IF(Table2[[#This Row],[Quantity]]=2, "Small Order", IF(Table2[[#This Row],[Quantity]]=3, "Medium Order", "Bulk Order")))</f>
        <v>Bulk Order</v>
      </c>
      <c r="M4" s="10">
        <v>500</v>
      </c>
      <c r="N4" s="10">
        <v>2000</v>
      </c>
    </row>
    <row r="5" spans="1:14" x14ac:dyDescent="0.2">
      <c r="A5">
        <v>21</v>
      </c>
      <c r="B5" s="5">
        <v>44940</v>
      </c>
      <c r="C5" s="5" t="str">
        <f>TEXT(Table2[[#This Row],[Date]], "MMM")</f>
        <v>Jan</v>
      </c>
      <c r="D5" s="8">
        <f>MONTH(Table2[[#This Row],[Date]])</f>
        <v>1</v>
      </c>
      <c r="E5" s="8">
        <f>YEAR(Table2[[#This Row],[Date]])</f>
        <v>2023</v>
      </c>
      <c r="F5" s="7" t="s">
        <v>34</v>
      </c>
      <c r="G5" s="7" t="s">
        <v>13</v>
      </c>
      <c r="H5" s="8">
        <v>50</v>
      </c>
      <c r="I5" s="8" t="str">
        <f>IF(Table2[[#This Row],[Age]] &lt; 19, "Teenagers", IF(Table2[[#This Row],[Age]] &lt;= 34, "Young Adults", IF(Table2[[#This Row],[Age]] &lt;= 45, "Adults", IF(Table2[[#This Row],[Age]] &lt;= 55, "Seniors", "Elderly")) ))</f>
        <v>Seniors</v>
      </c>
      <c r="J5" s="7" t="s">
        <v>11</v>
      </c>
      <c r="K5" s="8">
        <v>1</v>
      </c>
      <c r="L5" s="8" t="str">
        <f>IF(Table2[[#This Row],[Quantity]]=1, "Single Order", IF(Table2[[#This Row],[Quantity]]=2, "Small Order", IF(Table2[[#This Row],[Quantity]]=3, "Medium Order", "Bulk Order")))</f>
        <v>Single Order</v>
      </c>
      <c r="M5" s="10">
        <v>500</v>
      </c>
      <c r="N5" s="10">
        <v>500</v>
      </c>
    </row>
    <row r="6" spans="1:14" x14ac:dyDescent="0.2">
      <c r="A6">
        <v>32</v>
      </c>
      <c r="B6" s="5">
        <v>44930</v>
      </c>
      <c r="C6" s="5" t="str">
        <f>TEXT(Table2[[#This Row],[Date]], "MMM")</f>
        <v>Jan</v>
      </c>
      <c r="D6" s="8">
        <f>MONTH(Table2[[#This Row],[Date]])</f>
        <v>1</v>
      </c>
      <c r="E6" s="8">
        <f>YEAR(Table2[[#This Row],[Date]])</f>
        <v>2023</v>
      </c>
      <c r="F6" s="7" t="s">
        <v>45</v>
      </c>
      <c r="G6" s="7" t="s">
        <v>10</v>
      </c>
      <c r="H6" s="8">
        <v>30</v>
      </c>
      <c r="I6" s="8" t="str">
        <f>IF(Table2[[#This Row],[Age]] &lt; 19, "Teenagers", IF(Table2[[#This Row],[Age]] &lt;= 34, "Young Adults", IF(Table2[[#This Row],[Age]] &lt;= 45, "Adults", IF(Table2[[#This Row],[Age]] &lt;= 55, "Seniors", "Elderly")) ))</f>
        <v>Young Adults</v>
      </c>
      <c r="J6" s="7" t="s">
        <v>11</v>
      </c>
      <c r="K6" s="8">
        <v>3</v>
      </c>
      <c r="L6" s="8" t="str">
        <f>IF(Table2[[#This Row],[Quantity]]=1, "Single Order", IF(Table2[[#This Row],[Quantity]]=2, "Small Order", IF(Table2[[#This Row],[Quantity]]=3, "Medium Order", "Bulk Order")))</f>
        <v>Medium Order</v>
      </c>
      <c r="M6" s="10">
        <v>30</v>
      </c>
      <c r="N6" s="10">
        <v>90</v>
      </c>
    </row>
    <row r="7" spans="1:14" x14ac:dyDescent="0.2">
      <c r="A7">
        <v>49</v>
      </c>
      <c r="B7" s="5">
        <v>44949</v>
      </c>
      <c r="C7" s="5" t="str">
        <f>TEXT(Table2[[#This Row],[Date]], "MMM")</f>
        <v>Jan</v>
      </c>
      <c r="D7" s="8">
        <f>MONTH(Table2[[#This Row],[Date]])</f>
        <v>1</v>
      </c>
      <c r="E7" s="8">
        <f>YEAR(Table2[[#This Row],[Date]])</f>
        <v>2023</v>
      </c>
      <c r="F7" s="7" t="s">
        <v>62</v>
      </c>
      <c r="G7" s="7" t="s">
        <v>13</v>
      </c>
      <c r="H7" s="8">
        <v>54</v>
      </c>
      <c r="I7" s="8" t="str">
        <f>IF(Table2[[#This Row],[Age]] &lt; 19, "Teenagers", IF(Table2[[#This Row],[Age]] &lt;= 34, "Young Adults", IF(Table2[[#This Row],[Age]] &lt;= 45, "Adults", IF(Table2[[#This Row],[Age]] &lt;= 55, "Seniors", "Elderly")) ))</f>
        <v>Seniors</v>
      </c>
      <c r="J7" s="7" t="s">
        <v>16</v>
      </c>
      <c r="K7" s="8">
        <v>2</v>
      </c>
      <c r="L7" s="8" t="str">
        <f>IF(Table2[[#This Row],[Quantity]]=1, "Single Order", IF(Table2[[#This Row],[Quantity]]=2, "Small Order", IF(Table2[[#This Row],[Quantity]]=3, "Medium Order", "Bulk Order")))</f>
        <v>Small Order</v>
      </c>
      <c r="M7" s="10">
        <v>500</v>
      </c>
      <c r="N7" s="10">
        <v>1000</v>
      </c>
    </row>
    <row r="8" spans="1:14" x14ac:dyDescent="0.2">
      <c r="A8">
        <v>64</v>
      </c>
      <c r="B8" s="5">
        <v>44950</v>
      </c>
      <c r="C8" s="5" t="str">
        <f>TEXT(Table2[[#This Row],[Date]], "MMM")</f>
        <v>Jan</v>
      </c>
      <c r="D8" s="8">
        <f>MONTH(Table2[[#This Row],[Date]])</f>
        <v>1</v>
      </c>
      <c r="E8" s="8">
        <f>YEAR(Table2[[#This Row],[Date]])</f>
        <v>2023</v>
      </c>
      <c r="F8" s="7" t="s">
        <v>77</v>
      </c>
      <c r="G8" s="7" t="s">
        <v>10</v>
      </c>
      <c r="H8" s="8">
        <v>49</v>
      </c>
      <c r="I8" s="8" t="str">
        <f>IF(Table2[[#This Row],[Age]] &lt; 19, "Teenagers", IF(Table2[[#This Row],[Age]] &lt;= 34, "Young Adults", IF(Table2[[#This Row],[Age]] &lt;= 45, "Adults", IF(Table2[[#This Row],[Age]] &lt;= 55, "Seniors", "Elderly")) ))</f>
        <v>Seniors</v>
      </c>
      <c r="J8" s="7" t="s">
        <v>14</v>
      </c>
      <c r="K8" s="8">
        <v>4</v>
      </c>
      <c r="L8" s="8" t="str">
        <f>IF(Table2[[#This Row],[Quantity]]=1, "Single Order", IF(Table2[[#This Row],[Quantity]]=2, "Small Order", IF(Table2[[#This Row],[Quantity]]=3, "Medium Order", "Bulk Order")))</f>
        <v>Bulk Order</v>
      </c>
      <c r="M8" s="10">
        <v>25</v>
      </c>
      <c r="N8" s="10">
        <v>100</v>
      </c>
    </row>
    <row r="9" spans="1:14" x14ac:dyDescent="0.2">
      <c r="A9">
        <v>101</v>
      </c>
      <c r="B9" s="5">
        <v>44955</v>
      </c>
      <c r="C9" s="5" t="str">
        <f>TEXT(Table2[[#This Row],[Date]], "MMM")</f>
        <v>Jan</v>
      </c>
      <c r="D9" s="8">
        <f>MONTH(Table2[[#This Row],[Date]])</f>
        <v>1</v>
      </c>
      <c r="E9" s="8">
        <f>YEAR(Table2[[#This Row],[Date]])</f>
        <v>2023</v>
      </c>
      <c r="F9" s="7" t="s">
        <v>114</v>
      </c>
      <c r="G9" s="7" t="s">
        <v>10</v>
      </c>
      <c r="H9" s="8">
        <v>32</v>
      </c>
      <c r="I9" s="8" t="str">
        <f>IF(Table2[[#This Row],[Age]] &lt; 19, "Teenagers", IF(Table2[[#This Row],[Age]] &lt;= 34, "Young Adults", IF(Table2[[#This Row],[Age]] &lt;= 45, "Adults", IF(Table2[[#This Row],[Age]] &lt;= 55, "Seniors", "Elderly")) ))</f>
        <v>Young Adults</v>
      </c>
      <c r="J9" s="7" t="s">
        <v>14</v>
      </c>
      <c r="K9" s="8">
        <v>2</v>
      </c>
      <c r="L9" s="8" t="str">
        <f>IF(Table2[[#This Row],[Quantity]]=1, "Single Order", IF(Table2[[#This Row],[Quantity]]=2, "Small Order", IF(Table2[[#This Row],[Quantity]]=3, "Medium Order", "Bulk Order")))</f>
        <v>Small Order</v>
      </c>
      <c r="M9" s="10">
        <v>300</v>
      </c>
      <c r="N9" s="10">
        <v>600</v>
      </c>
    </row>
    <row r="10" spans="1:14" x14ac:dyDescent="0.2">
      <c r="A10">
        <v>103</v>
      </c>
      <c r="B10" s="5">
        <v>44943</v>
      </c>
      <c r="C10" s="5" t="str">
        <f>TEXT(Table2[[#This Row],[Date]], "MMM")</f>
        <v>Jan</v>
      </c>
      <c r="D10" s="8">
        <f>MONTH(Table2[[#This Row],[Date]])</f>
        <v>1</v>
      </c>
      <c r="E10" s="8">
        <f>YEAR(Table2[[#This Row],[Date]])</f>
        <v>2023</v>
      </c>
      <c r="F10" s="7" t="s">
        <v>116</v>
      </c>
      <c r="G10" s="7" t="s">
        <v>13</v>
      </c>
      <c r="H10" s="8">
        <v>59</v>
      </c>
      <c r="I10" s="8" t="str">
        <f>IF(Table2[[#This Row],[Age]] &lt; 19, "Teenagers", IF(Table2[[#This Row],[Age]] &lt;= 34, "Young Adults", IF(Table2[[#This Row],[Age]] &lt;= 45, "Adults", IF(Table2[[#This Row],[Age]] &lt;= 55, "Seniors", "Elderly")) ))</f>
        <v>Elderly</v>
      </c>
      <c r="J10" s="7" t="s">
        <v>14</v>
      </c>
      <c r="K10" s="8">
        <v>1</v>
      </c>
      <c r="L10" s="8" t="str">
        <f>IF(Table2[[#This Row],[Quantity]]=1, "Single Order", IF(Table2[[#This Row],[Quantity]]=2, "Small Order", IF(Table2[[#This Row],[Quantity]]=3, "Medium Order", "Bulk Order")))</f>
        <v>Single Order</v>
      </c>
      <c r="M10" s="10">
        <v>25</v>
      </c>
      <c r="N10" s="10">
        <v>25</v>
      </c>
    </row>
    <row r="11" spans="1:14" x14ac:dyDescent="0.2">
      <c r="A11">
        <v>134</v>
      </c>
      <c r="B11" s="5">
        <v>44951</v>
      </c>
      <c r="C11" s="5" t="str">
        <f>TEXT(Table2[[#This Row],[Date]], "MMM")</f>
        <v>Jan</v>
      </c>
      <c r="D11" s="8">
        <f>MONTH(Table2[[#This Row],[Date]])</f>
        <v>1</v>
      </c>
      <c r="E11" s="8">
        <f>YEAR(Table2[[#This Row],[Date]])</f>
        <v>2023</v>
      </c>
      <c r="F11" s="7" t="s">
        <v>147</v>
      </c>
      <c r="G11" s="7" t="s">
        <v>10</v>
      </c>
      <c r="H11" s="8">
        <v>49</v>
      </c>
      <c r="I11" s="8" t="str">
        <f>IF(Table2[[#This Row],[Age]] &lt; 19, "Teenagers", IF(Table2[[#This Row],[Age]] &lt;= 34, "Young Adults", IF(Table2[[#This Row],[Age]] &lt;= 45, "Adults", IF(Table2[[#This Row],[Age]] &lt;= 55, "Seniors", "Elderly")) ))</f>
        <v>Seniors</v>
      </c>
      <c r="J11" s="7" t="s">
        <v>16</v>
      </c>
      <c r="K11" s="8">
        <v>1</v>
      </c>
      <c r="L11" s="8" t="str">
        <f>IF(Table2[[#This Row],[Quantity]]=1, "Single Order", IF(Table2[[#This Row],[Quantity]]=2, "Small Order", IF(Table2[[#This Row],[Quantity]]=3, "Medium Order", "Bulk Order")))</f>
        <v>Single Order</v>
      </c>
      <c r="M11" s="10">
        <v>50</v>
      </c>
      <c r="N11" s="10">
        <v>50</v>
      </c>
    </row>
    <row r="12" spans="1:14" x14ac:dyDescent="0.2">
      <c r="A12">
        <v>150</v>
      </c>
      <c r="B12" s="5">
        <v>44932</v>
      </c>
      <c r="C12" s="5" t="str">
        <f>TEXT(Table2[[#This Row],[Date]], "MMM")</f>
        <v>Jan</v>
      </c>
      <c r="D12" s="8">
        <f>MONTH(Table2[[#This Row],[Date]])</f>
        <v>1</v>
      </c>
      <c r="E12" s="8">
        <f>YEAR(Table2[[#This Row],[Date]])</f>
        <v>2023</v>
      </c>
      <c r="F12" s="7" t="s">
        <v>163</v>
      </c>
      <c r="G12" s="7" t="s">
        <v>13</v>
      </c>
      <c r="H12" s="8">
        <v>58</v>
      </c>
      <c r="I12" s="8" t="str">
        <f>IF(Table2[[#This Row],[Age]] &lt; 19, "Teenagers", IF(Table2[[#This Row],[Age]] &lt;= 34, "Young Adults", IF(Table2[[#This Row],[Age]] &lt;= 45, "Adults", IF(Table2[[#This Row],[Age]] &lt;= 55, "Seniors", "Elderly")) ))</f>
        <v>Elderly</v>
      </c>
      <c r="J12" s="7" t="s">
        <v>16</v>
      </c>
      <c r="K12" s="8">
        <v>4</v>
      </c>
      <c r="L12" s="8" t="str">
        <f>IF(Table2[[#This Row],[Quantity]]=1, "Single Order", IF(Table2[[#This Row],[Quantity]]=2, "Small Order", IF(Table2[[#This Row],[Quantity]]=3, "Medium Order", "Bulk Order")))</f>
        <v>Bulk Order</v>
      </c>
      <c r="M12" s="10">
        <v>30</v>
      </c>
      <c r="N12" s="10">
        <v>120</v>
      </c>
    </row>
    <row r="13" spans="1:14" x14ac:dyDescent="0.2">
      <c r="A13">
        <v>163</v>
      </c>
      <c r="B13" s="5">
        <v>44928</v>
      </c>
      <c r="C13" s="5" t="str">
        <f>TEXT(Table2[[#This Row],[Date]], "MMM")</f>
        <v>Jan</v>
      </c>
      <c r="D13" s="8">
        <f>MONTH(Table2[[#This Row],[Date]])</f>
        <v>1</v>
      </c>
      <c r="E13" s="8">
        <f>YEAR(Table2[[#This Row],[Date]])</f>
        <v>2023</v>
      </c>
      <c r="F13" s="7" t="s">
        <v>176</v>
      </c>
      <c r="G13" s="7" t="s">
        <v>13</v>
      </c>
      <c r="H13" s="8">
        <v>64</v>
      </c>
      <c r="I13" s="8" t="str">
        <f>IF(Table2[[#This Row],[Age]] &lt; 19, "Teenagers", IF(Table2[[#This Row],[Age]] &lt;= 34, "Young Adults", IF(Table2[[#This Row],[Age]] &lt;= 45, "Adults", IF(Table2[[#This Row],[Age]] &lt;= 55, "Seniors", "Elderly")) ))</f>
        <v>Elderly</v>
      </c>
      <c r="J13" s="7" t="s">
        <v>14</v>
      </c>
      <c r="K13" s="8">
        <v>3</v>
      </c>
      <c r="L13" s="8" t="str">
        <f>IF(Table2[[#This Row],[Quantity]]=1, "Single Order", IF(Table2[[#This Row],[Quantity]]=2, "Small Order", IF(Table2[[#This Row],[Quantity]]=3, "Medium Order", "Bulk Order")))</f>
        <v>Medium Order</v>
      </c>
      <c r="M13" s="10">
        <v>50</v>
      </c>
      <c r="N13" s="10">
        <v>150</v>
      </c>
    </row>
    <row r="14" spans="1:14" x14ac:dyDescent="0.2">
      <c r="A14">
        <v>180</v>
      </c>
      <c r="B14" s="5">
        <v>44927</v>
      </c>
      <c r="C14" s="5" t="str">
        <f>TEXT(Table2[[#This Row],[Date]], "MMM")</f>
        <v>Jan</v>
      </c>
      <c r="D14" s="8">
        <f>MONTH(Table2[[#This Row],[Date]])</f>
        <v>1</v>
      </c>
      <c r="E14" s="8">
        <f>YEAR(Table2[[#This Row],[Date]])</f>
        <v>2023</v>
      </c>
      <c r="F14" s="7" t="s">
        <v>193</v>
      </c>
      <c r="G14" s="7" t="s">
        <v>10</v>
      </c>
      <c r="H14" s="8">
        <v>41</v>
      </c>
      <c r="I14" s="8" t="str">
        <f>IF(Table2[[#This Row],[Age]] &lt; 19, "Teenagers", IF(Table2[[#This Row],[Age]] &lt;= 34, "Young Adults", IF(Table2[[#This Row],[Age]] &lt;= 45, "Adults", IF(Table2[[#This Row],[Age]] &lt;= 55, "Seniors", "Elderly")) ))</f>
        <v>Adults</v>
      </c>
      <c r="J14" s="7" t="s">
        <v>14</v>
      </c>
      <c r="K14" s="8">
        <v>3</v>
      </c>
      <c r="L14" s="8" t="str">
        <f>IF(Table2[[#This Row],[Quantity]]=1, "Single Order", IF(Table2[[#This Row],[Quantity]]=2, "Small Order", IF(Table2[[#This Row],[Quantity]]=3, "Medium Order", "Bulk Order")))</f>
        <v>Medium Order</v>
      </c>
      <c r="M14" s="10">
        <v>300</v>
      </c>
      <c r="N14" s="10">
        <v>900</v>
      </c>
    </row>
    <row r="15" spans="1:14" x14ac:dyDescent="0.2">
      <c r="A15">
        <v>184</v>
      </c>
      <c r="B15" s="5">
        <v>44936</v>
      </c>
      <c r="C15" s="5" t="str">
        <f>TEXT(Table2[[#This Row],[Date]], "MMM")</f>
        <v>Jan</v>
      </c>
      <c r="D15" s="8">
        <f>MONTH(Table2[[#This Row],[Date]])</f>
        <v>1</v>
      </c>
      <c r="E15" s="8">
        <f>YEAR(Table2[[#This Row],[Date]])</f>
        <v>2023</v>
      </c>
      <c r="F15" s="7" t="s">
        <v>197</v>
      </c>
      <c r="G15" s="7" t="s">
        <v>10</v>
      </c>
      <c r="H15" s="8">
        <v>31</v>
      </c>
      <c r="I15" s="8" t="str">
        <f>IF(Table2[[#This Row],[Age]] &lt; 19, "Teenagers", IF(Table2[[#This Row],[Age]] &lt;= 34, "Young Adults", IF(Table2[[#This Row],[Age]] &lt;= 45, "Adults", IF(Table2[[#This Row],[Age]] &lt;= 55, "Seniors", "Elderly")) ))</f>
        <v>Young Adults</v>
      </c>
      <c r="J15" s="7" t="s">
        <v>16</v>
      </c>
      <c r="K15" s="8">
        <v>4</v>
      </c>
      <c r="L15" s="8" t="str">
        <f>IF(Table2[[#This Row],[Quantity]]=1, "Single Order", IF(Table2[[#This Row],[Quantity]]=2, "Small Order", IF(Table2[[#This Row],[Quantity]]=3, "Medium Order", "Bulk Order")))</f>
        <v>Bulk Order</v>
      </c>
      <c r="M15" s="10">
        <v>50</v>
      </c>
      <c r="N15" s="10">
        <v>200</v>
      </c>
    </row>
    <row r="16" spans="1:14" x14ac:dyDescent="0.2">
      <c r="A16">
        <v>189</v>
      </c>
      <c r="B16" s="5">
        <v>44956</v>
      </c>
      <c r="C16" s="5" t="str">
        <f>TEXT(Table2[[#This Row],[Date]], "MMM")</f>
        <v>Jan</v>
      </c>
      <c r="D16" s="8">
        <f>MONTH(Table2[[#This Row],[Date]])</f>
        <v>1</v>
      </c>
      <c r="E16" s="8">
        <f>YEAR(Table2[[#This Row],[Date]])</f>
        <v>2023</v>
      </c>
      <c r="F16" s="7" t="s">
        <v>202</v>
      </c>
      <c r="G16" s="7" t="s">
        <v>10</v>
      </c>
      <c r="H16" s="8">
        <v>63</v>
      </c>
      <c r="I16" s="8" t="str">
        <f>IF(Table2[[#This Row],[Age]] &lt; 19, "Teenagers", IF(Table2[[#This Row],[Age]] &lt;= 34, "Young Adults", IF(Table2[[#This Row],[Age]] &lt;= 45, "Adults", IF(Table2[[#This Row],[Age]] &lt;= 55, "Seniors", "Elderly")) ))</f>
        <v>Elderly</v>
      </c>
      <c r="J16" s="7" t="s">
        <v>11</v>
      </c>
      <c r="K16" s="8">
        <v>1</v>
      </c>
      <c r="L16" s="8" t="str">
        <f>IF(Table2[[#This Row],[Quantity]]=1, "Single Order", IF(Table2[[#This Row],[Quantity]]=2, "Small Order", IF(Table2[[#This Row],[Quantity]]=3, "Medium Order", "Bulk Order")))</f>
        <v>Single Order</v>
      </c>
      <c r="M16" s="10">
        <v>50</v>
      </c>
      <c r="N16" s="10">
        <v>50</v>
      </c>
    </row>
    <row r="17" spans="1:14" x14ac:dyDescent="0.2">
      <c r="A17">
        <v>211</v>
      </c>
      <c r="B17" s="5">
        <v>45292</v>
      </c>
      <c r="C17" s="5" t="str">
        <f>TEXT(Table2[[#This Row],[Date]], "MMM")</f>
        <v>Jan</v>
      </c>
      <c r="D17" s="8">
        <f>MONTH(Table2[[#This Row],[Date]])</f>
        <v>1</v>
      </c>
      <c r="E17" s="8">
        <f>YEAR(Table2[[#This Row],[Date]])</f>
        <v>2024</v>
      </c>
      <c r="F17" s="7" t="s">
        <v>224</v>
      </c>
      <c r="G17" s="7" t="s">
        <v>10</v>
      </c>
      <c r="H17" s="8">
        <v>42</v>
      </c>
      <c r="I17" s="8" t="str">
        <f>IF(Table2[[#This Row],[Age]] &lt; 19, "Teenagers", IF(Table2[[#This Row],[Age]] &lt;= 34, "Young Adults", IF(Table2[[#This Row],[Age]] &lt;= 45, "Adults", IF(Table2[[#This Row],[Age]] &lt;= 55, "Seniors", "Elderly")) ))</f>
        <v>Adults</v>
      </c>
      <c r="J17" s="7" t="s">
        <v>11</v>
      </c>
      <c r="K17" s="8">
        <v>3</v>
      </c>
      <c r="L17" s="8" t="str">
        <f>IF(Table2[[#This Row],[Quantity]]=1, "Single Order", IF(Table2[[#This Row],[Quantity]]=2, "Small Order", IF(Table2[[#This Row],[Quantity]]=3, "Medium Order", "Bulk Order")))</f>
        <v>Medium Order</v>
      </c>
      <c r="M17" s="10">
        <v>500</v>
      </c>
      <c r="N17" s="10">
        <v>1500</v>
      </c>
    </row>
    <row r="18" spans="1:14" x14ac:dyDescent="0.2">
      <c r="A18">
        <v>225</v>
      </c>
      <c r="B18" s="5">
        <v>44937</v>
      </c>
      <c r="C18" s="5" t="str">
        <f>TEXT(Table2[[#This Row],[Date]], "MMM")</f>
        <v>Jan</v>
      </c>
      <c r="D18" s="8">
        <f>MONTH(Table2[[#This Row],[Date]])</f>
        <v>1</v>
      </c>
      <c r="E18" s="8">
        <f>YEAR(Table2[[#This Row],[Date]])</f>
        <v>2023</v>
      </c>
      <c r="F18" s="7" t="s">
        <v>238</v>
      </c>
      <c r="G18" s="7" t="s">
        <v>13</v>
      </c>
      <c r="H18" s="8">
        <v>57</v>
      </c>
      <c r="I18" s="8" t="str">
        <f>IF(Table2[[#This Row],[Age]] &lt; 19, "Teenagers", IF(Table2[[#This Row],[Age]] &lt;= 34, "Young Adults", IF(Table2[[#This Row],[Age]] &lt;= 45, "Adults", IF(Table2[[#This Row],[Age]] &lt;= 55, "Seniors", "Elderly")) ))</f>
        <v>Elderly</v>
      </c>
      <c r="J18" s="7" t="s">
        <v>11</v>
      </c>
      <c r="K18" s="8">
        <v>4</v>
      </c>
      <c r="L18" s="8" t="str">
        <f>IF(Table2[[#This Row],[Quantity]]=1, "Single Order", IF(Table2[[#This Row],[Quantity]]=2, "Small Order", IF(Table2[[#This Row],[Quantity]]=3, "Medium Order", "Bulk Order")))</f>
        <v>Bulk Order</v>
      </c>
      <c r="M18" s="10">
        <v>25</v>
      </c>
      <c r="N18" s="10">
        <v>100</v>
      </c>
    </row>
    <row r="19" spans="1:14" x14ac:dyDescent="0.2">
      <c r="A19">
        <v>231</v>
      </c>
      <c r="B19" s="5">
        <v>44930</v>
      </c>
      <c r="C19" s="5" t="str">
        <f>TEXT(Table2[[#This Row],[Date]], "MMM")</f>
        <v>Jan</v>
      </c>
      <c r="D19" s="8">
        <f>MONTH(Table2[[#This Row],[Date]])</f>
        <v>1</v>
      </c>
      <c r="E19" s="8">
        <f>YEAR(Table2[[#This Row],[Date]])</f>
        <v>2023</v>
      </c>
      <c r="F19" s="7" t="s">
        <v>244</v>
      </c>
      <c r="G19" s="7" t="s">
        <v>13</v>
      </c>
      <c r="H19" s="8">
        <v>23</v>
      </c>
      <c r="I19" s="8" t="str">
        <f>IF(Table2[[#This Row],[Age]] &lt; 19, "Teenagers", IF(Table2[[#This Row],[Age]] &lt;= 34, "Young Adults", IF(Table2[[#This Row],[Age]] &lt;= 45, "Adults", IF(Table2[[#This Row],[Age]] &lt;= 55, "Seniors", "Elderly")) ))</f>
        <v>Young Adults</v>
      </c>
      <c r="J19" s="7" t="s">
        <v>14</v>
      </c>
      <c r="K19" s="8">
        <v>3</v>
      </c>
      <c r="L19" s="8" t="str">
        <f>IF(Table2[[#This Row],[Quantity]]=1, "Single Order", IF(Table2[[#This Row],[Quantity]]=2, "Small Order", IF(Table2[[#This Row],[Quantity]]=3, "Medium Order", "Bulk Order")))</f>
        <v>Medium Order</v>
      </c>
      <c r="M19" s="10">
        <v>50</v>
      </c>
      <c r="N19" s="10">
        <v>150</v>
      </c>
    </row>
    <row r="20" spans="1:14" x14ac:dyDescent="0.2">
      <c r="A20">
        <v>235</v>
      </c>
      <c r="B20" s="5">
        <v>44957</v>
      </c>
      <c r="C20" s="5" t="str">
        <f>TEXT(Table2[[#This Row],[Date]], "MMM")</f>
        <v>Jan</v>
      </c>
      <c r="D20" s="8">
        <f>MONTH(Table2[[#This Row],[Date]])</f>
        <v>1</v>
      </c>
      <c r="E20" s="8">
        <f>YEAR(Table2[[#This Row],[Date]])</f>
        <v>2023</v>
      </c>
      <c r="F20" s="7" t="s">
        <v>248</v>
      </c>
      <c r="G20" s="7" t="s">
        <v>13</v>
      </c>
      <c r="H20" s="8">
        <v>23</v>
      </c>
      <c r="I20" s="8" t="str">
        <f>IF(Table2[[#This Row],[Age]] &lt; 19, "Teenagers", IF(Table2[[#This Row],[Age]] &lt;= 34, "Young Adults", IF(Table2[[#This Row],[Age]] &lt;= 45, "Adults", IF(Table2[[#This Row],[Age]] &lt;= 55, "Seniors", "Elderly")) ))</f>
        <v>Young Adults</v>
      </c>
      <c r="J20" s="7" t="s">
        <v>16</v>
      </c>
      <c r="K20" s="8">
        <v>2</v>
      </c>
      <c r="L20" s="8" t="str">
        <f>IF(Table2[[#This Row],[Quantity]]=1, "Single Order", IF(Table2[[#This Row],[Quantity]]=2, "Small Order", IF(Table2[[#This Row],[Quantity]]=3, "Medium Order", "Bulk Order")))</f>
        <v>Small Order</v>
      </c>
      <c r="M20" s="10">
        <v>500</v>
      </c>
      <c r="N20" s="10">
        <v>1000</v>
      </c>
    </row>
    <row r="21" spans="1:14" x14ac:dyDescent="0.2">
      <c r="A21">
        <v>238</v>
      </c>
      <c r="B21" s="5">
        <v>44943</v>
      </c>
      <c r="C21" s="5" t="str">
        <f>TEXT(Table2[[#This Row],[Date]], "MMM")</f>
        <v>Jan</v>
      </c>
      <c r="D21" s="8">
        <f>MONTH(Table2[[#This Row],[Date]])</f>
        <v>1</v>
      </c>
      <c r="E21" s="8">
        <f>YEAR(Table2[[#This Row],[Date]])</f>
        <v>2023</v>
      </c>
      <c r="F21" s="7" t="s">
        <v>251</v>
      </c>
      <c r="G21" s="7" t="s">
        <v>13</v>
      </c>
      <c r="H21" s="8">
        <v>39</v>
      </c>
      <c r="I21" s="8" t="str">
        <f>IF(Table2[[#This Row],[Age]] &lt; 19, "Teenagers", IF(Table2[[#This Row],[Age]] &lt;= 34, "Young Adults", IF(Table2[[#This Row],[Age]] &lt;= 45, "Adults", IF(Table2[[#This Row],[Age]] &lt;= 55, "Seniors", "Elderly")) ))</f>
        <v>Adults</v>
      </c>
      <c r="J21" s="7" t="s">
        <v>11</v>
      </c>
      <c r="K21" s="8">
        <v>1</v>
      </c>
      <c r="L21" s="8" t="str">
        <f>IF(Table2[[#This Row],[Quantity]]=1, "Single Order", IF(Table2[[#This Row],[Quantity]]=2, "Small Order", IF(Table2[[#This Row],[Quantity]]=3, "Medium Order", "Bulk Order")))</f>
        <v>Single Order</v>
      </c>
      <c r="M21" s="10">
        <v>500</v>
      </c>
      <c r="N21" s="10">
        <v>500</v>
      </c>
    </row>
    <row r="22" spans="1:14" x14ac:dyDescent="0.2">
      <c r="A22">
        <v>264</v>
      </c>
      <c r="B22" s="5">
        <v>44954</v>
      </c>
      <c r="C22" s="5" t="str">
        <f>TEXT(Table2[[#This Row],[Date]], "MMM")</f>
        <v>Jan</v>
      </c>
      <c r="D22" s="8">
        <f>MONTH(Table2[[#This Row],[Date]])</f>
        <v>1</v>
      </c>
      <c r="E22" s="8">
        <f>YEAR(Table2[[#This Row],[Date]])</f>
        <v>2023</v>
      </c>
      <c r="F22" s="7" t="s">
        <v>277</v>
      </c>
      <c r="G22" s="7" t="s">
        <v>10</v>
      </c>
      <c r="H22" s="8">
        <v>47</v>
      </c>
      <c r="I22" s="8" t="str">
        <f>IF(Table2[[#This Row],[Age]] &lt; 19, "Teenagers", IF(Table2[[#This Row],[Age]] &lt;= 34, "Young Adults", IF(Table2[[#This Row],[Age]] &lt;= 45, "Adults", IF(Table2[[#This Row],[Age]] &lt;= 55, "Seniors", "Elderly")) ))</f>
        <v>Seniors</v>
      </c>
      <c r="J22" s="7" t="s">
        <v>14</v>
      </c>
      <c r="K22" s="8">
        <v>3</v>
      </c>
      <c r="L22" s="8" t="str">
        <f>IF(Table2[[#This Row],[Quantity]]=1, "Single Order", IF(Table2[[#This Row],[Quantity]]=2, "Small Order", IF(Table2[[#This Row],[Quantity]]=3, "Medium Order", "Bulk Order")))</f>
        <v>Medium Order</v>
      </c>
      <c r="M22" s="10">
        <v>300</v>
      </c>
      <c r="N22" s="10">
        <v>900</v>
      </c>
    </row>
    <row r="23" spans="1:14" x14ac:dyDescent="0.2">
      <c r="A23">
        <v>288</v>
      </c>
      <c r="B23" s="5">
        <v>44952</v>
      </c>
      <c r="C23" s="5" t="str">
        <f>TEXT(Table2[[#This Row],[Date]], "MMM")</f>
        <v>Jan</v>
      </c>
      <c r="D23" s="8">
        <f>MONTH(Table2[[#This Row],[Date]])</f>
        <v>1</v>
      </c>
      <c r="E23" s="8">
        <f>YEAR(Table2[[#This Row],[Date]])</f>
        <v>2023</v>
      </c>
      <c r="F23" s="7" t="s">
        <v>301</v>
      </c>
      <c r="G23" s="7" t="s">
        <v>10</v>
      </c>
      <c r="H23" s="8">
        <v>28</v>
      </c>
      <c r="I23" s="8" t="str">
        <f>IF(Table2[[#This Row],[Age]] &lt; 19, "Teenagers", IF(Table2[[#This Row],[Age]] &lt;= 34, "Young Adults", IF(Table2[[#This Row],[Age]] &lt;= 45, "Adults", IF(Table2[[#This Row],[Age]] &lt;= 55, "Seniors", "Elderly")) ))</f>
        <v>Young Adults</v>
      </c>
      <c r="J23" s="7" t="s">
        <v>14</v>
      </c>
      <c r="K23" s="8">
        <v>4</v>
      </c>
      <c r="L23" s="8" t="str">
        <f>IF(Table2[[#This Row],[Quantity]]=1, "Single Order", IF(Table2[[#This Row],[Quantity]]=2, "Small Order", IF(Table2[[#This Row],[Quantity]]=3, "Medium Order", "Bulk Order")))</f>
        <v>Bulk Order</v>
      </c>
      <c r="M23" s="10">
        <v>30</v>
      </c>
      <c r="N23" s="10">
        <v>120</v>
      </c>
    </row>
    <row r="24" spans="1:14" x14ac:dyDescent="0.2">
      <c r="A24">
        <v>291</v>
      </c>
      <c r="B24" s="5">
        <v>44934</v>
      </c>
      <c r="C24" s="5" t="str">
        <f>TEXT(Table2[[#This Row],[Date]], "MMM")</f>
        <v>Jan</v>
      </c>
      <c r="D24" s="8">
        <f>MONTH(Table2[[#This Row],[Date]])</f>
        <v>1</v>
      </c>
      <c r="E24" s="8">
        <f>YEAR(Table2[[#This Row],[Date]])</f>
        <v>2023</v>
      </c>
      <c r="F24" s="7" t="s">
        <v>304</v>
      </c>
      <c r="G24" s="7" t="s">
        <v>10</v>
      </c>
      <c r="H24" s="8">
        <v>60</v>
      </c>
      <c r="I24" s="8" t="str">
        <f>IF(Table2[[#This Row],[Age]] &lt; 19, "Teenagers", IF(Table2[[#This Row],[Age]] &lt;= 34, "Young Adults", IF(Table2[[#This Row],[Age]] &lt;= 45, "Adults", IF(Table2[[#This Row],[Age]] &lt;= 55, "Seniors", "Elderly")) ))</f>
        <v>Elderly</v>
      </c>
      <c r="J24" s="7" t="s">
        <v>14</v>
      </c>
      <c r="K24" s="8">
        <v>2</v>
      </c>
      <c r="L24" s="8" t="str">
        <f>IF(Table2[[#This Row],[Quantity]]=1, "Single Order", IF(Table2[[#This Row],[Quantity]]=2, "Small Order", IF(Table2[[#This Row],[Quantity]]=3, "Medium Order", "Bulk Order")))</f>
        <v>Small Order</v>
      </c>
      <c r="M24" s="10">
        <v>300</v>
      </c>
      <c r="N24" s="10">
        <v>600</v>
      </c>
    </row>
    <row r="25" spans="1:14" x14ac:dyDescent="0.2">
      <c r="A25">
        <v>300</v>
      </c>
      <c r="B25" s="5">
        <v>44957</v>
      </c>
      <c r="C25" s="5" t="str">
        <f>TEXT(Table2[[#This Row],[Date]], "MMM")</f>
        <v>Jan</v>
      </c>
      <c r="D25" s="8">
        <f>MONTH(Table2[[#This Row],[Date]])</f>
        <v>1</v>
      </c>
      <c r="E25" s="8">
        <f>YEAR(Table2[[#This Row],[Date]])</f>
        <v>2023</v>
      </c>
      <c r="F25" s="7" t="s">
        <v>313</v>
      </c>
      <c r="G25" s="7" t="s">
        <v>13</v>
      </c>
      <c r="H25" s="8">
        <v>19</v>
      </c>
      <c r="I25" s="8" t="str">
        <f>IF(Table2[[#This Row],[Age]] &lt; 19, "Teenagers", IF(Table2[[#This Row],[Age]] &lt;= 34, "Young Adults", IF(Table2[[#This Row],[Age]] &lt;= 45, "Adults", IF(Table2[[#This Row],[Age]] &lt;= 55, "Seniors", "Elderly")) ))</f>
        <v>Young Adults</v>
      </c>
      <c r="J25" s="7" t="s">
        <v>16</v>
      </c>
      <c r="K25" s="8">
        <v>4</v>
      </c>
      <c r="L25" s="8" t="str">
        <f>IF(Table2[[#This Row],[Quantity]]=1, "Single Order", IF(Table2[[#This Row],[Quantity]]=2, "Small Order", IF(Table2[[#This Row],[Quantity]]=3, "Medium Order", "Bulk Order")))</f>
        <v>Bulk Order</v>
      </c>
      <c r="M25" s="10">
        <v>50</v>
      </c>
      <c r="N25" s="10">
        <v>200</v>
      </c>
    </row>
    <row r="26" spans="1:14" x14ac:dyDescent="0.2">
      <c r="A26">
        <v>303</v>
      </c>
      <c r="B26" s="5">
        <v>44928</v>
      </c>
      <c r="C26" s="5" t="str">
        <f>TEXT(Table2[[#This Row],[Date]], "MMM")</f>
        <v>Jan</v>
      </c>
      <c r="D26" s="8">
        <f>MONTH(Table2[[#This Row],[Date]])</f>
        <v>1</v>
      </c>
      <c r="E26" s="8">
        <f>YEAR(Table2[[#This Row],[Date]])</f>
        <v>2023</v>
      </c>
      <c r="F26" s="7" t="s">
        <v>316</v>
      </c>
      <c r="G26" s="7" t="s">
        <v>10</v>
      </c>
      <c r="H26" s="8">
        <v>19</v>
      </c>
      <c r="I26" s="8" t="str">
        <f>IF(Table2[[#This Row],[Age]] &lt; 19, "Teenagers", IF(Table2[[#This Row],[Age]] &lt;= 34, "Young Adults", IF(Table2[[#This Row],[Age]] &lt;= 45, "Adults", IF(Table2[[#This Row],[Age]] &lt;= 55, "Seniors", "Elderly")) ))</f>
        <v>Young Adults</v>
      </c>
      <c r="J26" s="7" t="s">
        <v>16</v>
      </c>
      <c r="K26" s="8">
        <v>3</v>
      </c>
      <c r="L26" s="8" t="str">
        <f>IF(Table2[[#This Row],[Quantity]]=1, "Single Order", IF(Table2[[#This Row],[Quantity]]=2, "Small Order", IF(Table2[[#This Row],[Quantity]]=3, "Medium Order", "Bulk Order")))</f>
        <v>Medium Order</v>
      </c>
      <c r="M26" s="10">
        <v>30</v>
      </c>
      <c r="N26" s="10">
        <v>90</v>
      </c>
    </row>
    <row r="27" spans="1:14" x14ac:dyDescent="0.2">
      <c r="A27">
        <v>317</v>
      </c>
      <c r="B27" s="5">
        <v>44956</v>
      </c>
      <c r="C27" s="5" t="str">
        <f>TEXT(Table2[[#This Row],[Date]], "MMM")</f>
        <v>Jan</v>
      </c>
      <c r="D27" s="8">
        <f>MONTH(Table2[[#This Row],[Date]])</f>
        <v>1</v>
      </c>
      <c r="E27" s="8">
        <f>YEAR(Table2[[#This Row],[Date]])</f>
        <v>2023</v>
      </c>
      <c r="F27" s="7" t="s">
        <v>330</v>
      </c>
      <c r="G27" s="7" t="s">
        <v>10</v>
      </c>
      <c r="H27" s="8">
        <v>22</v>
      </c>
      <c r="I27" s="8" t="str">
        <f>IF(Table2[[#This Row],[Age]] &lt; 19, "Teenagers", IF(Table2[[#This Row],[Age]] &lt;= 34, "Young Adults", IF(Table2[[#This Row],[Age]] &lt;= 45, "Adults", IF(Table2[[#This Row],[Age]] &lt;= 55, "Seniors", "Elderly")) ))</f>
        <v>Young Adults</v>
      </c>
      <c r="J27" s="7" t="s">
        <v>16</v>
      </c>
      <c r="K27" s="8">
        <v>3</v>
      </c>
      <c r="L27" s="8" t="str">
        <f>IF(Table2[[#This Row],[Quantity]]=1, "Single Order", IF(Table2[[#This Row],[Quantity]]=2, "Small Order", IF(Table2[[#This Row],[Quantity]]=3, "Medium Order", "Bulk Order")))</f>
        <v>Medium Order</v>
      </c>
      <c r="M27" s="10">
        <v>30</v>
      </c>
      <c r="N27" s="10">
        <v>90</v>
      </c>
    </row>
    <row r="28" spans="1:14" x14ac:dyDescent="0.2">
      <c r="A28">
        <v>322</v>
      </c>
      <c r="B28" s="5">
        <v>44956</v>
      </c>
      <c r="C28" s="5" t="str">
        <f>TEXT(Table2[[#This Row],[Date]], "MMM")</f>
        <v>Jan</v>
      </c>
      <c r="D28" s="8">
        <f>MONTH(Table2[[#This Row],[Date]])</f>
        <v>1</v>
      </c>
      <c r="E28" s="8">
        <f>YEAR(Table2[[#This Row],[Date]])</f>
        <v>2023</v>
      </c>
      <c r="F28" s="7" t="s">
        <v>335</v>
      </c>
      <c r="G28" s="7" t="s">
        <v>10</v>
      </c>
      <c r="H28" s="8">
        <v>51</v>
      </c>
      <c r="I28" s="8" t="str">
        <f>IF(Table2[[#This Row],[Age]] &lt; 19, "Teenagers", IF(Table2[[#This Row],[Age]] &lt;= 34, "Young Adults", IF(Table2[[#This Row],[Age]] &lt;= 45, "Adults", IF(Table2[[#This Row],[Age]] &lt;= 55, "Seniors", "Elderly")) ))</f>
        <v>Seniors</v>
      </c>
      <c r="J28" s="7" t="s">
        <v>16</v>
      </c>
      <c r="K28" s="8">
        <v>1</v>
      </c>
      <c r="L28" s="8" t="str">
        <f>IF(Table2[[#This Row],[Quantity]]=1, "Single Order", IF(Table2[[#This Row],[Quantity]]=2, "Small Order", IF(Table2[[#This Row],[Quantity]]=3, "Medium Order", "Bulk Order")))</f>
        <v>Single Order</v>
      </c>
      <c r="M28" s="10">
        <v>500</v>
      </c>
      <c r="N28" s="10">
        <v>500</v>
      </c>
    </row>
    <row r="29" spans="1:14" x14ac:dyDescent="0.2">
      <c r="A29">
        <v>323</v>
      </c>
      <c r="B29" s="5">
        <v>44952</v>
      </c>
      <c r="C29" s="5" t="str">
        <f>TEXT(Table2[[#This Row],[Date]], "MMM")</f>
        <v>Jan</v>
      </c>
      <c r="D29" s="8">
        <f>MONTH(Table2[[#This Row],[Date]])</f>
        <v>1</v>
      </c>
      <c r="E29" s="8">
        <f>YEAR(Table2[[#This Row],[Date]])</f>
        <v>2023</v>
      </c>
      <c r="F29" s="7" t="s">
        <v>336</v>
      </c>
      <c r="G29" s="7" t="s">
        <v>13</v>
      </c>
      <c r="H29" s="8">
        <v>29</v>
      </c>
      <c r="I29" s="8" t="str">
        <f>IF(Table2[[#This Row],[Age]] &lt; 19, "Teenagers", IF(Table2[[#This Row],[Age]] &lt;= 34, "Young Adults", IF(Table2[[#This Row],[Age]] &lt;= 45, "Adults", IF(Table2[[#This Row],[Age]] &lt;= 55, "Seniors", "Elderly")) ))</f>
        <v>Young Adults</v>
      </c>
      <c r="J29" s="7" t="s">
        <v>11</v>
      </c>
      <c r="K29" s="8">
        <v>3</v>
      </c>
      <c r="L29" s="8" t="str">
        <f>IF(Table2[[#This Row],[Quantity]]=1, "Single Order", IF(Table2[[#This Row],[Quantity]]=2, "Small Order", IF(Table2[[#This Row],[Quantity]]=3, "Medium Order", "Bulk Order")))</f>
        <v>Medium Order</v>
      </c>
      <c r="M29" s="10">
        <v>300</v>
      </c>
      <c r="N29" s="10">
        <v>900</v>
      </c>
    </row>
    <row r="30" spans="1:14" x14ac:dyDescent="0.2">
      <c r="A30">
        <v>329</v>
      </c>
      <c r="B30" s="5">
        <v>44956</v>
      </c>
      <c r="C30" s="5" t="str">
        <f>TEXT(Table2[[#This Row],[Date]], "MMM")</f>
        <v>Jan</v>
      </c>
      <c r="D30" s="8">
        <f>MONTH(Table2[[#This Row],[Date]])</f>
        <v>1</v>
      </c>
      <c r="E30" s="8">
        <f>YEAR(Table2[[#This Row],[Date]])</f>
        <v>2023</v>
      </c>
      <c r="F30" s="7" t="s">
        <v>342</v>
      </c>
      <c r="G30" s="7" t="s">
        <v>13</v>
      </c>
      <c r="H30" s="8">
        <v>46</v>
      </c>
      <c r="I30" s="8" t="str">
        <f>IF(Table2[[#This Row],[Age]] &lt; 19, "Teenagers", IF(Table2[[#This Row],[Age]] &lt;= 34, "Young Adults", IF(Table2[[#This Row],[Age]] &lt;= 45, "Adults", IF(Table2[[#This Row],[Age]] &lt;= 55, "Seniors", "Elderly")) ))</f>
        <v>Seniors</v>
      </c>
      <c r="J30" s="7" t="s">
        <v>16</v>
      </c>
      <c r="K30" s="8">
        <v>4</v>
      </c>
      <c r="L30" s="8" t="str">
        <f>IF(Table2[[#This Row],[Quantity]]=1, "Single Order", IF(Table2[[#This Row],[Quantity]]=2, "Small Order", IF(Table2[[#This Row],[Quantity]]=3, "Medium Order", "Bulk Order")))</f>
        <v>Bulk Order</v>
      </c>
      <c r="M30" s="10">
        <v>25</v>
      </c>
      <c r="N30" s="10">
        <v>100</v>
      </c>
    </row>
    <row r="31" spans="1:14" x14ac:dyDescent="0.2">
      <c r="A31">
        <v>344</v>
      </c>
      <c r="B31" s="5">
        <v>44947</v>
      </c>
      <c r="C31" s="5" t="str">
        <f>TEXT(Table2[[#This Row],[Date]], "MMM")</f>
        <v>Jan</v>
      </c>
      <c r="D31" s="8">
        <f>MONTH(Table2[[#This Row],[Date]])</f>
        <v>1</v>
      </c>
      <c r="E31" s="8">
        <f>YEAR(Table2[[#This Row],[Date]])</f>
        <v>2023</v>
      </c>
      <c r="F31" s="7" t="s">
        <v>357</v>
      </c>
      <c r="G31" s="7" t="s">
        <v>13</v>
      </c>
      <c r="H31" s="8">
        <v>42</v>
      </c>
      <c r="I31" s="8" t="str">
        <f>IF(Table2[[#This Row],[Age]] &lt; 19, "Teenagers", IF(Table2[[#This Row],[Age]] &lt;= 34, "Young Adults", IF(Table2[[#This Row],[Age]] &lt;= 45, "Adults", IF(Table2[[#This Row],[Age]] &lt;= 55, "Seniors", "Elderly")) ))</f>
        <v>Adults</v>
      </c>
      <c r="J31" s="7" t="s">
        <v>11</v>
      </c>
      <c r="K31" s="8">
        <v>1</v>
      </c>
      <c r="L31" s="8" t="str">
        <f>IF(Table2[[#This Row],[Quantity]]=1, "Single Order", IF(Table2[[#This Row],[Quantity]]=2, "Small Order", IF(Table2[[#This Row],[Quantity]]=3, "Medium Order", "Bulk Order")))</f>
        <v>Single Order</v>
      </c>
      <c r="M31" s="10">
        <v>30</v>
      </c>
      <c r="N31" s="10">
        <v>30</v>
      </c>
    </row>
    <row r="32" spans="1:14" x14ac:dyDescent="0.2">
      <c r="A32">
        <v>367</v>
      </c>
      <c r="B32" s="5">
        <v>44931</v>
      </c>
      <c r="C32" s="5" t="str">
        <f>TEXT(Table2[[#This Row],[Date]], "MMM")</f>
        <v>Jan</v>
      </c>
      <c r="D32" s="8">
        <f>MONTH(Table2[[#This Row],[Date]])</f>
        <v>1</v>
      </c>
      <c r="E32" s="8">
        <f>YEAR(Table2[[#This Row],[Date]])</f>
        <v>2023</v>
      </c>
      <c r="F32" s="7" t="s">
        <v>380</v>
      </c>
      <c r="G32" s="7" t="s">
        <v>13</v>
      </c>
      <c r="H32" s="8">
        <v>57</v>
      </c>
      <c r="I32" s="8" t="str">
        <f>IF(Table2[[#This Row],[Age]] &lt; 19, "Teenagers", IF(Table2[[#This Row],[Age]] &lt;= 34, "Young Adults", IF(Table2[[#This Row],[Age]] &lt;= 45, "Adults", IF(Table2[[#This Row],[Age]] &lt;= 55, "Seniors", "Elderly")) ))</f>
        <v>Elderly</v>
      </c>
      <c r="J32" s="7" t="s">
        <v>16</v>
      </c>
      <c r="K32" s="8">
        <v>1</v>
      </c>
      <c r="L32" s="8" t="str">
        <f>IF(Table2[[#This Row],[Quantity]]=1, "Single Order", IF(Table2[[#This Row],[Quantity]]=2, "Small Order", IF(Table2[[#This Row],[Quantity]]=3, "Medium Order", "Bulk Order")))</f>
        <v>Single Order</v>
      </c>
      <c r="M32" s="10">
        <v>50</v>
      </c>
      <c r="N32" s="10">
        <v>50</v>
      </c>
    </row>
    <row r="33" spans="1:14" x14ac:dyDescent="0.2">
      <c r="A33">
        <v>391</v>
      </c>
      <c r="B33" s="5">
        <v>44931</v>
      </c>
      <c r="C33" s="5" t="str">
        <f>TEXT(Table2[[#This Row],[Date]], "MMM")</f>
        <v>Jan</v>
      </c>
      <c r="D33" s="8">
        <f>MONTH(Table2[[#This Row],[Date]])</f>
        <v>1</v>
      </c>
      <c r="E33" s="8">
        <f>YEAR(Table2[[#This Row],[Date]])</f>
        <v>2023</v>
      </c>
      <c r="F33" s="7" t="s">
        <v>404</v>
      </c>
      <c r="G33" s="7" t="s">
        <v>10</v>
      </c>
      <c r="H33" s="8">
        <v>19</v>
      </c>
      <c r="I33" s="8" t="str">
        <f>IF(Table2[[#This Row],[Age]] &lt; 19, "Teenagers", IF(Table2[[#This Row],[Age]] &lt;= 34, "Young Adults", IF(Table2[[#This Row],[Age]] &lt;= 45, "Adults", IF(Table2[[#This Row],[Age]] &lt;= 55, "Seniors", "Elderly")) ))</f>
        <v>Young Adults</v>
      </c>
      <c r="J33" s="7" t="s">
        <v>11</v>
      </c>
      <c r="K33" s="8">
        <v>2</v>
      </c>
      <c r="L33" s="8" t="str">
        <f>IF(Table2[[#This Row],[Quantity]]=1, "Single Order", IF(Table2[[#This Row],[Quantity]]=2, "Small Order", IF(Table2[[#This Row],[Quantity]]=3, "Medium Order", "Bulk Order")))</f>
        <v>Small Order</v>
      </c>
      <c r="M33" s="10">
        <v>25</v>
      </c>
      <c r="N33" s="10">
        <v>50</v>
      </c>
    </row>
    <row r="34" spans="1:14" x14ac:dyDescent="0.2">
      <c r="A34">
        <v>415</v>
      </c>
      <c r="B34" s="5">
        <v>44953</v>
      </c>
      <c r="C34" s="5" t="str">
        <f>TEXT(Table2[[#This Row],[Date]], "MMM")</f>
        <v>Jan</v>
      </c>
      <c r="D34" s="8">
        <f>MONTH(Table2[[#This Row],[Date]])</f>
        <v>1</v>
      </c>
      <c r="E34" s="8">
        <f>YEAR(Table2[[#This Row],[Date]])</f>
        <v>2023</v>
      </c>
      <c r="F34" s="7" t="s">
        <v>428</v>
      </c>
      <c r="G34" s="7" t="s">
        <v>10</v>
      </c>
      <c r="H34" s="8">
        <v>53</v>
      </c>
      <c r="I34" s="8" t="str">
        <f>IF(Table2[[#This Row],[Age]] &lt; 19, "Teenagers", IF(Table2[[#This Row],[Age]] &lt;= 34, "Young Adults", IF(Table2[[#This Row],[Age]] &lt;= 45, "Adults", IF(Table2[[#This Row],[Age]] &lt;= 55, "Seniors", "Elderly")) ))</f>
        <v>Seniors</v>
      </c>
      <c r="J34" s="7" t="s">
        <v>14</v>
      </c>
      <c r="K34" s="8">
        <v>2</v>
      </c>
      <c r="L34" s="8" t="str">
        <f>IF(Table2[[#This Row],[Quantity]]=1, "Single Order", IF(Table2[[#This Row],[Quantity]]=2, "Small Order", IF(Table2[[#This Row],[Quantity]]=3, "Medium Order", "Bulk Order")))</f>
        <v>Small Order</v>
      </c>
      <c r="M34" s="10">
        <v>30</v>
      </c>
      <c r="N34" s="10">
        <v>60</v>
      </c>
    </row>
    <row r="35" spans="1:14" x14ac:dyDescent="0.2">
      <c r="A35">
        <v>420</v>
      </c>
      <c r="B35" s="5">
        <v>44949</v>
      </c>
      <c r="C35" s="5" t="str">
        <f>TEXT(Table2[[#This Row],[Date]], "MMM")</f>
        <v>Jan</v>
      </c>
      <c r="D35" s="8">
        <f>MONTH(Table2[[#This Row],[Date]])</f>
        <v>1</v>
      </c>
      <c r="E35" s="8">
        <f>YEAR(Table2[[#This Row],[Date]])</f>
        <v>2023</v>
      </c>
      <c r="F35" s="7" t="s">
        <v>433</v>
      </c>
      <c r="G35" s="7" t="s">
        <v>13</v>
      </c>
      <c r="H35" s="8">
        <v>22</v>
      </c>
      <c r="I35" s="8" t="str">
        <f>IF(Table2[[#This Row],[Age]] &lt; 19, "Teenagers", IF(Table2[[#This Row],[Age]] &lt;= 34, "Young Adults", IF(Table2[[#This Row],[Age]] &lt;= 45, "Adults", IF(Table2[[#This Row],[Age]] &lt;= 55, "Seniors", "Elderly")) ))</f>
        <v>Young Adults</v>
      </c>
      <c r="J35" s="7" t="s">
        <v>14</v>
      </c>
      <c r="K35" s="8">
        <v>4</v>
      </c>
      <c r="L35" s="8" t="str">
        <f>IF(Table2[[#This Row],[Quantity]]=1, "Single Order", IF(Table2[[#This Row],[Quantity]]=2, "Small Order", IF(Table2[[#This Row],[Quantity]]=3, "Medium Order", "Bulk Order")))</f>
        <v>Bulk Order</v>
      </c>
      <c r="M35" s="10">
        <v>500</v>
      </c>
      <c r="N35" s="10">
        <v>2000</v>
      </c>
    </row>
    <row r="36" spans="1:14" x14ac:dyDescent="0.2">
      <c r="A36">
        <v>421</v>
      </c>
      <c r="B36" s="5">
        <v>44928</v>
      </c>
      <c r="C36" s="5" t="str">
        <f>TEXT(Table2[[#This Row],[Date]], "MMM")</f>
        <v>Jan</v>
      </c>
      <c r="D36" s="8">
        <f>MONTH(Table2[[#This Row],[Date]])</f>
        <v>1</v>
      </c>
      <c r="E36" s="8">
        <f>YEAR(Table2[[#This Row],[Date]])</f>
        <v>2023</v>
      </c>
      <c r="F36" s="7" t="s">
        <v>434</v>
      </c>
      <c r="G36" s="7" t="s">
        <v>13</v>
      </c>
      <c r="H36" s="8">
        <v>37</v>
      </c>
      <c r="I36" s="8" t="str">
        <f>IF(Table2[[#This Row],[Age]] &lt; 19, "Teenagers", IF(Table2[[#This Row],[Age]] &lt;= 34, "Young Adults", IF(Table2[[#This Row],[Age]] &lt;= 45, "Adults", IF(Table2[[#This Row],[Age]] &lt;= 55, "Seniors", "Elderly")) ))</f>
        <v>Adults</v>
      </c>
      <c r="J36" s="7" t="s">
        <v>14</v>
      </c>
      <c r="K36" s="8">
        <v>3</v>
      </c>
      <c r="L36" s="8" t="str">
        <f>IF(Table2[[#This Row],[Quantity]]=1, "Single Order", IF(Table2[[#This Row],[Quantity]]=2, "Small Order", IF(Table2[[#This Row],[Quantity]]=3, "Medium Order", "Bulk Order")))</f>
        <v>Medium Order</v>
      </c>
      <c r="M36" s="10">
        <v>500</v>
      </c>
      <c r="N36" s="10">
        <v>1500</v>
      </c>
    </row>
    <row r="37" spans="1:14" x14ac:dyDescent="0.2">
      <c r="A37">
        <v>432</v>
      </c>
      <c r="B37" s="5">
        <v>44931</v>
      </c>
      <c r="C37" s="5" t="str">
        <f>TEXT(Table2[[#This Row],[Date]], "MMM")</f>
        <v>Jan</v>
      </c>
      <c r="D37" s="8">
        <f>MONTH(Table2[[#This Row],[Date]])</f>
        <v>1</v>
      </c>
      <c r="E37" s="8">
        <f>YEAR(Table2[[#This Row],[Date]])</f>
        <v>2023</v>
      </c>
      <c r="F37" s="7" t="s">
        <v>445</v>
      </c>
      <c r="G37" s="7" t="s">
        <v>13</v>
      </c>
      <c r="H37" s="8">
        <v>60</v>
      </c>
      <c r="I37" s="8" t="str">
        <f>IF(Table2[[#This Row],[Age]] &lt; 19, "Teenagers", IF(Table2[[#This Row],[Age]] &lt;= 34, "Young Adults", IF(Table2[[#This Row],[Age]] &lt;= 45, "Adults", IF(Table2[[#This Row],[Age]] &lt;= 55, "Seniors", "Elderly")) ))</f>
        <v>Elderly</v>
      </c>
      <c r="J37" s="7" t="s">
        <v>16</v>
      </c>
      <c r="K37" s="8">
        <v>2</v>
      </c>
      <c r="L37" s="8" t="str">
        <f>IF(Table2[[#This Row],[Quantity]]=1, "Single Order", IF(Table2[[#This Row],[Quantity]]=2, "Small Order", IF(Table2[[#This Row],[Quantity]]=3, "Medium Order", "Bulk Order")))</f>
        <v>Small Order</v>
      </c>
      <c r="M37" s="10">
        <v>500</v>
      </c>
      <c r="N37" s="10">
        <v>1000</v>
      </c>
    </row>
    <row r="38" spans="1:14" x14ac:dyDescent="0.2">
      <c r="A38">
        <v>438</v>
      </c>
      <c r="B38" s="5">
        <v>44945</v>
      </c>
      <c r="C38" s="5" t="str">
        <f>TEXT(Table2[[#This Row],[Date]], "MMM")</f>
        <v>Jan</v>
      </c>
      <c r="D38" s="8">
        <f>MONTH(Table2[[#This Row],[Date]])</f>
        <v>1</v>
      </c>
      <c r="E38" s="8">
        <f>YEAR(Table2[[#This Row],[Date]])</f>
        <v>2023</v>
      </c>
      <c r="F38" s="7" t="s">
        <v>451</v>
      </c>
      <c r="G38" s="7" t="s">
        <v>13</v>
      </c>
      <c r="H38" s="8">
        <v>42</v>
      </c>
      <c r="I38" s="8" t="str">
        <f>IF(Table2[[#This Row],[Age]] &lt; 19, "Teenagers", IF(Table2[[#This Row],[Age]] &lt;= 34, "Young Adults", IF(Table2[[#This Row],[Age]] &lt;= 45, "Adults", IF(Table2[[#This Row],[Age]] &lt;= 55, "Seniors", "Elderly")) ))</f>
        <v>Adults</v>
      </c>
      <c r="J38" s="7" t="s">
        <v>14</v>
      </c>
      <c r="K38" s="8">
        <v>1</v>
      </c>
      <c r="L38" s="8" t="str">
        <f>IF(Table2[[#This Row],[Quantity]]=1, "Single Order", IF(Table2[[#This Row],[Quantity]]=2, "Small Order", IF(Table2[[#This Row],[Quantity]]=3, "Medium Order", "Bulk Order")))</f>
        <v>Single Order</v>
      </c>
      <c r="M38" s="10">
        <v>30</v>
      </c>
      <c r="N38" s="10">
        <v>30</v>
      </c>
    </row>
    <row r="39" spans="1:14" x14ac:dyDescent="0.2">
      <c r="A39">
        <v>445</v>
      </c>
      <c r="B39" s="5">
        <v>44948</v>
      </c>
      <c r="C39" s="5" t="str">
        <f>TEXT(Table2[[#This Row],[Date]], "MMM")</f>
        <v>Jan</v>
      </c>
      <c r="D39" s="8">
        <f>MONTH(Table2[[#This Row],[Date]])</f>
        <v>1</v>
      </c>
      <c r="E39" s="8">
        <f>YEAR(Table2[[#This Row],[Date]])</f>
        <v>2023</v>
      </c>
      <c r="F39" s="7" t="s">
        <v>458</v>
      </c>
      <c r="G39" s="7" t="s">
        <v>13</v>
      </c>
      <c r="H39" s="8">
        <v>53</v>
      </c>
      <c r="I39" s="8" t="str">
        <f>IF(Table2[[#This Row],[Age]] &lt; 19, "Teenagers", IF(Table2[[#This Row],[Age]] &lt;= 34, "Young Adults", IF(Table2[[#This Row],[Age]] &lt;= 45, "Adults", IF(Table2[[#This Row],[Age]] &lt;= 55, "Seniors", "Elderly")) ))</f>
        <v>Seniors</v>
      </c>
      <c r="J39" s="7" t="s">
        <v>16</v>
      </c>
      <c r="K39" s="8">
        <v>1</v>
      </c>
      <c r="L39" s="8" t="str">
        <f>IF(Table2[[#This Row],[Quantity]]=1, "Single Order", IF(Table2[[#This Row],[Quantity]]=2, "Small Order", IF(Table2[[#This Row],[Quantity]]=3, "Medium Order", "Bulk Order")))</f>
        <v>Single Order</v>
      </c>
      <c r="M39" s="10">
        <v>300</v>
      </c>
      <c r="N39" s="10">
        <v>300</v>
      </c>
    </row>
    <row r="40" spans="1:14" x14ac:dyDescent="0.2">
      <c r="A40">
        <v>448</v>
      </c>
      <c r="B40" s="5">
        <v>44947</v>
      </c>
      <c r="C40" s="5" t="str">
        <f>TEXT(Table2[[#This Row],[Date]], "MMM")</f>
        <v>Jan</v>
      </c>
      <c r="D40" s="8">
        <f>MONTH(Table2[[#This Row],[Date]])</f>
        <v>1</v>
      </c>
      <c r="E40" s="8">
        <f>YEAR(Table2[[#This Row],[Date]])</f>
        <v>2023</v>
      </c>
      <c r="F40" s="7" t="s">
        <v>461</v>
      </c>
      <c r="G40" s="7" t="s">
        <v>13</v>
      </c>
      <c r="H40" s="8">
        <v>54</v>
      </c>
      <c r="I40" s="8" t="str">
        <f>IF(Table2[[#This Row],[Age]] &lt; 19, "Teenagers", IF(Table2[[#This Row],[Age]] &lt;= 34, "Young Adults", IF(Table2[[#This Row],[Age]] &lt;= 45, "Adults", IF(Table2[[#This Row],[Age]] &lt;= 55, "Seniors", "Elderly")) ))</f>
        <v>Seniors</v>
      </c>
      <c r="J40" s="7" t="s">
        <v>11</v>
      </c>
      <c r="K40" s="8">
        <v>2</v>
      </c>
      <c r="L40" s="8" t="str">
        <f>IF(Table2[[#This Row],[Quantity]]=1, "Single Order", IF(Table2[[#This Row],[Quantity]]=2, "Small Order", IF(Table2[[#This Row],[Quantity]]=3, "Medium Order", "Bulk Order")))</f>
        <v>Small Order</v>
      </c>
      <c r="M40" s="10">
        <v>30</v>
      </c>
      <c r="N40" s="10">
        <v>60</v>
      </c>
    </row>
    <row r="41" spans="1:14" x14ac:dyDescent="0.2">
      <c r="A41">
        <v>464</v>
      </c>
      <c r="B41" s="5">
        <v>44939</v>
      </c>
      <c r="C41" s="5" t="str">
        <f>TEXT(Table2[[#This Row],[Date]], "MMM")</f>
        <v>Jan</v>
      </c>
      <c r="D41" s="8">
        <f>MONTH(Table2[[#This Row],[Date]])</f>
        <v>1</v>
      </c>
      <c r="E41" s="8">
        <f>YEAR(Table2[[#This Row],[Date]])</f>
        <v>2023</v>
      </c>
      <c r="F41" s="7" t="s">
        <v>477</v>
      </c>
      <c r="G41" s="7" t="s">
        <v>10</v>
      </c>
      <c r="H41" s="8">
        <v>38</v>
      </c>
      <c r="I41" s="8" t="str">
        <f>IF(Table2[[#This Row],[Age]] &lt; 19, "Teenagers", IF(Table2[[#This Row],[Age]] &lt;= 34, "Young Adults", IF(Table2[[#This Row],[Age]] &lt;= 45, "Adults", IF(Table2[[#This Row],[Age]] &lt;= 55, "Seniors", "Elderly")) ))</f>
        <v>Adults</v>
      </c>
      <c r="J41" s="7" t="s">
        <v>16</v>
      </c>
      <c r="K41" s="8">
        <v>2</v>
      </c>
      <c r="L41" s="8" t="str">
        <f>IF(Table2[[#This Row],[Quantity]]=1, "Single Order", IF(Table2[[#This Row],[Quantity]]=2, "Small Order", IF(Table2[[#This Row],[Quantity]]=3, "Medium Order", "Bulk Order")))</f>
        <v>Small Order</v>
      </c>
      <c r="M41" s="10">
        <v>300</v>
      </c>
      <c r="N41" s="10">
        <v>600</v>
      </c>
    </row>
    <row r="42" spans="1:14" x14ac:dyDescent="0.2">
      <c r="A42">
        <v>475</v>
      </c>
      <c r="B42" s="5">
        <v>44946</v>
      </c>
      <c r="C42" s="5" t="str">
        <f>TEXT(Table2[[#This Row],[Date]], "MMM")</f>
        <v>Jan</v>
      </c>
      <c r="D42" s="8">
        <f>MONTH(Table2[[#This Row],[Date]])</f>
        <v>1</v>
      </c>
      <c r="E42" s="8">
        <f>YEAR(Table2[[#This Row],[Date]])</f>
        <v>2023</v>
      </c>
      <c r="F42" s="7" t="s">
        <v>488</v>
      </c>
      <c r="G42" s="7" t="s">
        <v>10</v>
      </c>
      <c r="H42" s="8">
        <v>26</v>
      </c>
      <c r="I42" s="8" t="str">
        <f>IF(Table2[[#This Row],[Age]] &lt; 19, "Teenagers", IF(Table2[[#This Row],[Age]] &lt;= 34, "Young Adults", IF(Table2[[#This Row],[Age]] &lt;= 45, "Adults", IF(Table2[[#This Row],[Age]] &lt;= 55, "Seniors", "Elderly")) ))</f>
        <v>Young Adults</v>
      </c>
      <c r="J42" s="7" t="s">
        <v>14</v>
      </c>
      <c r="K42" s="8">
        <v>3</v>
      </c>
      <c r="L42" s="8" t="str">
        <f>IF(Table2[[#This Row],[Quantity]]=1, "Single Order", IF(Table2[[#This Row],[Quantity]]=2, "Small Order", IF(Table2[[#This Row],[Quantity]]=3, "Medium Order", "Bulk Order")))</f>
        <v>Medium Order</v>
      </c>
      <c r="M42" s="10">
        <v>25</v>
      </c>
      <c r="N42" s="10">
        <v>75</v>
      </c>
    </row>
    <row r="43" spans="1:14" x14ac:dyDescent="0.2">
      <c r="A43">
        <v>484</v>
      </c>
      <c r="B43" s="5">
        <v>44939</v>
      </c>
      <c r="C43" s="5" t="str">
        <f>TEXT(Table2[[#This Row],[Date]], "MMM")</f>
        <v>Jan</v>
      </c>
      <c r="D43" s="8">
        <f>MONTH(Table2[[#This Row],[Date]])</f>
        <v>1</v>
      </c>
      <c r="E43" s="8">
        <f>YEAR(Table2[[#This Row],[Date]])</f>
        <v>2023</v>
      </c>
      <c r="F43" s="7" t="s">
        <v>497</v>
      </c>
      <c r="G43" s="7" t="s">
        <v>13</v>
      </c>
      <c r="H43" s="8">
        <v>19</v>
      </c>
      <c r="I43" s="8" t="str">
        <f>IF(Table2[[#This Row],[Age]] &lt; 19, "Teenagers", IF(Table2[[#This Row],[Age]] &lt;= 34, "Young Adults", IF(Table2[[#This Row],[Age]] &lt;= 45, "Adults", IF(Table2[[#This Row],[Age]] &lt;= 55, "Seniors", "Elderly")) ))</f>
        <v>Young Adults</v>
      </c>
      <c r="J43" s="7" t="s">
        <v>14</v>
      </c>
      <c r="K43" s="8">
        <v>4</v>
      </c>
      <c r="L43" s="8" t="str">
        <f>IF(Table2[[#This Row],[Quantity]]=1, "Single Order", IF(Table2[[#This Row],[Quantity]]=2, "Small Order", IF(Table2[[#This Row],[Quantity]]=3, "Medium Order", "Bulk Order")))</f>
        <v>Bulk Order</v>
      </c>
      <c r="M43" s="10">
        <v>300</v>
      </c>
      <c r="N43" s="10">
        <v>1200</v>
      </c>
    </row>
    <row r="44" spans="1:14" x14ac:dyDescent="0.2">
      <c r="A44">
        <v>499</v>
      </c>
      <c r="B44" s="5">
        <v>44941</v>
      </c>
      <c r="C44" s="5" t="str">
        <f>TEXT(Table2[[#This Row],[Date]], "MMM")</f>
        <v>Jan</v>
      </c>
      <c r="D44" s="8">
        <f>MONTH(Table2[[#This Row],[Date]])</f>
        <v>1</v>
      </c>
      <c r="E44" s="8">
        <f>YEAR(Table2[[#This Row],[Date]])</f>
        <v>2023</v>
      </c>
      <c r="F44" s="7" t="s">
        <v>512</v>
      </c>
      <c r="G44" s="7" t="s">
        <v>10</v>
      </c>
      <c r="H44" s="8">
        <v>46</v>
      </c>
      <c r="I44" s="8" t="str">
        <f>IF(Table2[[#This Row],[Age]] &lt; 19, "Teenagers", IF(Table2[[#This Row],[Age]] &lt;= 34, "Young Adults", IF(Table2[[#This Row],[Age]] &lt;= 45, "Adults", IF(Table2[[#This Row],[Age]] &lt;= 55, "Seniors", "Elderly")) ))</f>
        <v>Seniors</v>
      </c>
      <c r="J44" s="7" t="s">
        <v>11</v>
      </c>
      <c r="K44" s="8">
        <v>2</v>
      </c>
      <c r="L44" s="8" t="str">
        <f>IF(Table2[[#This Row],[Quantity]]=1, "Single Order", IF(Table2[[#This Row],[Quantity]]=2, "Small Order", IF(Table2[[#This Row],[Quantity]]=3, "Medium Order", "Bulk Order")))</f>
        <v>Small Order</v>
      </c>
      <c r="M44" s="10">
        <v>30</v>
      </c>
      <c r="N44" s="10">
        <v>60</v>
      </c>
    </row>
    <row r="45" spans="1:14" x14ac:dyDescent="0.2">
      <c r="A45">
        <v>505</v>
      </c>
      <c r="B45" s="5">
        <v>44946</v>
      </c>
      <c r="C45" s="5" t="str">
        <f>TEXT(Table2[[#This Row],[Date]], "MMM")</f>
        <v>Jan</v>
      </c>
      <c r="D45" s="8">
        <f>MONTH(Table2[[#This Row],[Date]])</f>
        <v>1</v>
      </c>
      <c r="E45" s="8">
        <f>YEAR(Table2[[#This Row],[Date]])</f>
        <v>2023</v>
      </c>
      <c r="F45" s="7" t="s">
        <v>518</v>
      </c>
      <c r="G45" s="7" t="s">
        <v>10</v>
      </c>
      <c r="H45" s="8">
        <v>24</v>
      </c>
      <c r="I45" s="8" t="str">
        <f>IF(Table2[[#This Row],[Age]] &lt; 19, "Teenagers", IF(Table2[[#This Row],[Age]] &lt;= 34, "Young Adults", IF(Table2[[#This Row],[Age]] &lt;= 45, "Adults", IF(Table2[[#This Row],[Age]] &lt;= 55, "Seniors", "Elderly")) ))</f>
        <v>Young Adults</v>
      </c>
      <c r="J45" s="7" t="s">
        <v>11</v>
      </c>
      <c r="K45" s="8">
        <v>1</v>
      </c>
      <c r="L45" s="8" t="str">
        <f>IF(Table2[[#This Row],[Quantity]]=1, "Single Order", IF(Table2[[#This Row],[Quantity]]=2, "Small Order", IF(Table2[[#This Row],[Quantity]]=3, "Medium Order", "Bulk Order")))</f>
        <v>Single Order</v>
      </c>
      <c r="M45" s="10">
        <v>50</v>
      </c>
      <c r="N45" s="10">
        <v>50</v>
      </c>
    </row>
    <row r="46" spans="1:14" x14ac:dyDescent="0.2">
      <c r="A46">
        <v>519</v>
      </c>
      <c r="B46" s="5">
        <v>44949</v>
      </c>
      <c r="C46" s="5" t="str">
        <f>TEXT(Table2[[#This Row],[Date]], "MMM")</f>
        <v>Jan</v>
      </c>
      <c r="D46" s="8">
        <f>MONTH(Table2[[#This Row],[Date]])</f>
        <v>1</v>
      </c>
      <c r="E46" s="8">
        <f>YEAR(Table2[[#This Row],[Date]])</f>
        <v>2023</v>
      </c>
      <c r="F46" s="7" t="s">
        <v>532</v>
      </c>
      <c r="G46" s="7" t="s">
        <v>13</v>
      </c>
      <c r="H46" s="8">
        <v>36</v>
      </c>
      <c r="I46" s="8" t="str">
        <f>IF(Table2[[#This Row],[Age]] &lt; 19, "Teenagers", IF(Table2[[#This Row],[Age]] &lt;= 34, "Young Adults", IF(Table2[[#This Row],[Age]] &lt;= 45, "Adults", IF(Table2[[#This Row],[Age]] &lt;= 55, "Seniors", "Elderly")) ))</f>
        <v>Adults</v>
      </c>
      <c r="J46" s="7" t="s">
        <v>16</v>
      </c>
      <c r="K46" s="8">
        <v>4</v>
      </c>
      <c r="L46" s="8" t="str">
        <f>IF(Table2[[#This Row],[Quantity]]=1, "Single Order", IF(Table2[[#This Row],[Quantity]]=2, "Small Order", IF(Table2[[#This Row],[Quantity]]=3, "Medium Order", "Bulk Order")))</f>
        <v>Bulk Order</v>
      </c>
      <c r="M46" s="10">
        <v>30</v>
      </c>
      <c r="N46" s="10">
        <v>120</v>
      </c>
    </row>
    <row r="47" spans="1:14" x14ac:dyDescent="0.2">
      <c r="A47">
        <v>522</v>
      </c>
      <c r="B47" s="5">
        <v>44927</v>
      </c>
      <c r="C47" s="5" t="str">
        <f>TEXT(Table2[[#This Row],[Date]], "MMM")</f>
        <v>Jan</v>
      </c>
      <c r="D47" s="8">
        <f>MONTH(Table2[[#This Row],[Date]])</f>
        <v>1</v>
      </c>
      <c r="E47" s="8">
        <f>YEAR(Table2[[#This Row],[Date]])</f>
        <v>2023</v>
      </c>
      <c r="F47" s="7" t="s">
        <v>535</v>
      </c>
      <c r="G47" s="7" t="s">
        <v>10</v>
      </c>
      <c r="H47" s="8">
        <v>46</v>
      </c>
      <c r="I47" s="8" t="str">
        <f>IF(Table2[[#This Row],[Age]] &lt; 19, "Teenagers", IF(Table2[[#This Row],[Age]] &lt;= 34, "Young Adults", IF(Table2[[#This Row],[Age]] &lt;= 45, "Adults", IF(Table2[[#This Row],[Age]] &lt;= 55, "Seniors", "Elderly")) ))</f>
        <v>Seniors</v>
      </c>
      <c r="J47" s="7" t="s">
        <v>11</v>
      </c>
      <c r="K47" s="8">
        <v>3</v>
      </c>
      <c r="L47" s="8" t="str">
        <f>IF(Table2[[#This Row],[Quantity]]=1, "Single Order", IF(Table2[[#This Row],[Quantity]]=2, "Small Order", IF(Table2[[#This Row],[Quantity]]=3, "Medium Order", "Bulk Order")))</f>
        <v>Medium Order</v>
      </c>
      <c r="M47" s="10">
        <v>500</v>
      </c>
      <c r="N47" s="10">
        <v>1500</v>
      </c>
    </row>
    <row r="48" spans="1:14" x14ac:dyDescent="0.2">
      <c r="A48">
        <v>559</v>
      </c>
      <c r="B48" s="5">
        <v>44927</v>
      </c>
      <c r="C48" s="5" t="str">
        <f>TEXT(Table2[[#This Row],[Date]], "MMM")</f>
        <v>Jan</v>
      </c>
      <c r="D48" s="8">
        <f>MONTH(Table2[[#This Row],[Date]])</f>
        <v>1</v>
      </c>
      <c r="E48" s="8">
        <f>YEAR(Table2[[#This Row],[Date]])</f>
        <v>2023</v>
      </c>
      <c r="F48" s="7" t="s">
        <v>572</v>
      </c>
      <c r="G48" s="7" t="s">
        <v>13</v>
      </c>
      <c r="H48" s="8">
        <v>40</v>
      </c>
      <c r="I48" s="8" t="str">
        <f>IF(Table2[[#This Row],[Age]] &lt; 19, "Teenagers", IF(Table2[[#This Row],[Age]] &lt;= 34, "Young Adults", IF(Table2[[#This Row],[Age]] &lt;= 45, "Adults", IF(Table2[[#This Row],[Age]] &lt;= 55, "Seniors", "Elderly")) ))</f>
        <v>Adults</v>
      </c>
      <c r="J48" s="7" t="s">
        <v>14</v>
      </c>
      <c r="K48" s="8">
        <v>4</v>
      </c>
      <c r="L48" s="8" t="str">
        <f>IF(Table2[[#This Row],[Quantity]]=1, "Single Order", IF(Table2[[#This Row],[Quantity]]=2, "Small Order", IF(Table2[[#This Row],[Quantity]]=3, "Medium Order", "Bulk Order")))</f>
        <v>Bulk Order</v>
      </c>
      <c r="M48" s="10">
        <v>300</v>
      </c>
      <c r="N48" s="10">
        <v>1200</v>
      </c>
    </row>
    <row r="49" spans="1:14" x14ac:dyDescent="0.2">
      <c r="A49">
        <v>591</v>
      </c>
      <c r="B49" s="5">
        <v>44939</v>
      </c>
      <c r="C49" s="5" t="str">
        <f>TEXT(Table2[[#This Row],[Date]], "MMM")</f>
        <v>Jan</v>
      </c>
      <c r="D49" s="8">
        <f>MONTH(Table2[[#This Row],[Date]])</f>
        <v>1</v>
      </c>
      <c r="E49" s="8">
        <f>YEAR(Table2[[#This Row],[Date]])</f>
        <v>2023</v>
      </c>
      <c r="F49" s="7" t="s">
        <v>604</v>
      </c>
      <c r="G49" s="7" t="s">
        <v>10</v>
      </c>
      <c r="H49" s="8">
        <v>53</v>
      </c>
      <c r="I49" s="8" t="str">
        <f>IF(Table2[[#This Row],[Age]] &lt; 19, "Teenagers", IF(Table2[[#This Row],[Age]] &lt;= 34, "Young Adults", IF(Table2[[#This Row],[Age]] &lt;= 45, "Adults", IF(Table2[[#This Row],[Age]] &lt;= 55, "Seniors", "Elderly")) ))</f>
        <v>Seniors</v>
      </c>
      <c r="J49" s="7" t="s">
        <v>16</v>
      </c>
      <c r="K49" s="8">
        <v>4</v>
      </c>
      <c r="L49" s="8" t="str">
        <f>IF(Table2[[#This Row],[Quantity]]=1, "Single Order", IF(Table2[[#This Row],[Quantity]]=2, "Small Order", IF(Table2[[#This Row],[Quantity]]=3, "Medium Order", "Bulk Order")))</f>
        <v>Bulk Order</v>
      </c>
      <c r="M49" s="10">
        <v>25</v>
      </c>
      <c r="N49" s="10">
        <v>100</v>
      </c>
    </row>
    <row r="50" spans="1:14" x14ac:dyDescent="0.2">
      <c r="A50">
        <v>592</v>
      </c>
      <c r="B50" s="5">
        <v>44950</v>
      </c>
      <c r="C50" s="5" t="str">
        <f>TEXT(Table2[[#This Row],[Date]], "MMM")</f>
        <v>Jan</v>
      </c>
      <c r="D50" s="8">
        <f>MONTH(Table2[[#This Row],[Date]])</f>
        <v>1</v>
      </c>
      <c r="E50" s="8">
        <f>YEAR(Table2[[#This Row],[Date]])</f>
        <v>2023</v>
      </c>
      <c r="F50" s="7" t="s">
        <v>605</v>
      </c>
      <c r="G50" s="7" t="s">
        <v>13</v>
      </c>
      <c r="H50" s="8">
        <v>46</v>
      </c>
      <c r="I50" s="8" t="str">
        <f>IF(Table2[[#This Row],[Age]] &lt; 19, "Teenagers", IF(Table2[[#This Row],[Age]] &lt;= 34, "Young Adults", IF(Table2[[#This Row],[Age]] &lt;= 45, "Adults", IF(Table2[[#This Row],[Age]] &lt;= 55, "Seniors", "Elderly")) ))</f>
        <v>Seniors</v>
      </c>
      <c r="J50" s="7" t="s">
        <v>11</v>
      </c>
      <c r="K50" s="8">
        <v>4</v>
      </c>
      <c r="L50" s="8" t="str">
        <f>IF(Table2[[#This Row],[Quantity]]=1, "Single Order", IF(Table2[[#This Row],[Quantity]]=2, "Small Order", IF(Table2[[#This Row],[Quantity]]=3, "Medium Order", "Bulk Order")))</f>
        <v>Bulk Order</v>
      </c>
      <c r="M50" s="10">
        <v>500</v>
      </c>
      <c r="N50" s="10">
        <v>2000</v>
      </c>
    </row>
    <row r="51" spans="1:14" x14ac:dyDescent="0.2">
      <c r="A51">
        <v>610</v>
      </c>
      <c r="B51" s="5">
        <v>44929</v>
      </c>
      <c r="C51" s="5" t="str">
        <f>TEXT(Table2[[#This Row],[Date]], "MMM")</f>
        <v>Jan</v>
      </c>
      <c r="D51" s="8">
        <f>MONTH(Table2[[#This Row],[Date]])</f>
        <v>1</v>
      </c>
      <c r="E51" s="8">
        <f>YEAR(Table2[[#This Row],[Date]])</f>
        <v>2023</v>
      </c>
      <c r="F51" s="7" t="s">
        <v>623</v>
      </c>
      <c r="G51" s="7" t="s">
        <v>13</v>
      </c>
      <c r="H51" s="8">
        <v>26</v>
      </c>
      <c r="I51" s="8" t="str">
        <f>IF(Table2[[#This Row],[Age]] &lt; 19, "Teenagers", IF(Table2[[#This Row],[Age]] &lt;= 34, "Young Adults", IF(Table2[[#This Row],[Age]] &lt;= 45, "Adults", IF(Table2[[#This Row],[Age]] &lt;= 55, "Seniors", "Elderly")) ))</f>
        <v>Young Adults</v>
      </c>
      <c r="J51" s="7" t="s">
        <v>11</v>
      </c>
      <c r="K51" s="8">
        <v>2</v>
      </c>
      <c r="L51" s="8" t="str">
        <f>IF(Table2[[#This Row],[Quantity]]=1, "Single Order", IF(Table2[[#This Row],[Quantity]]=2, "Small Order", IF(Table2[[#This Row],[Quantity]]=3, "Medium Order", "Bulk Order")))</f>
        <v>Small Order</v>
      </c>
      <c r="M51" s="10">
        <v>300</v>
      </c>
      <c r="N51" s="10">
        <v>600</v>
      </c>
    </row>
    <row r="52" spans="1:14" x14ac:dyDescent="0.2">
      <c r="A52">
        <v>618</v>
      </c>
      <c r="B52" s="5">
        <v>44952</v>
      </c>
      <c r="C52" s="5" t="str">
        <f>TEXT(Table2[[#This Row],[Date]], "MMM")</f>
        <v>Jan</v>
      </c>
      <c r="D52" s="8">
        <f>MONTH(Table2[[#This Row],[Date]])</f>
        <v>1</v>
      </c>
      <c r="E52" s="8">
        <f>YEAR(Table2[[#This Row],[Date]])</f>
        <v>2023</v>
      </c>
      <c r="F52" s="7" t="s">
        <v>631</v>
      </c>
      <c r="G52" s="7" t="s">
        <v>13</v>
      </c>
      <c r="H52" s="8">
        <v>27</v>
      </c>
      <c r="I52" s="8" t="str">
        <f>IF(Table2[[#This Row],[Age]] &lt; 19, "Teenagers", IF(Table2[[#This Row],[Age]] &lt;= 34, "Young Adults", IF(Table2[[#This Row],[Age]] &lt;= 45, "Adults", IF(Table2[[#This Row],[Age]] &lt;= 55, "Seniors", "Elderly")) ))</f>
        <v>Young Adults</v>
      </c>
      <c r="J52" s="7" t="s">
        <v>11</v>
      </c>
      <c r="K52" s="8">
        <v>1</v>
      </c>
      <c r="L52" s="8" t="str">
        <f>IF(Table2[[#This Row],[Quantity]]=1, "Single Order", IF(Table2[[#This Row],[Quantity]]=2, "Small Order", IF(Table2[[#This Row],[Quantity]]=3, "Medium Order", "Bulk Order")))</f>
        <v>Single Order</v>
      </c>
      <c r="M52" s="10">
        <v>50</v>
      </c>
      <c r="N52" s="10">
        <v>50</v>
      </c>
    </row>
    <row r="53" spans="1:14" x14ac:dyDescent="0.2">
      <c r="A53">
        <v>650</v>
      </c>
      <c r="B53" s="5">
        <v>45292</v>
      </c>
      <c r="C53" s="5" t="str">
        <f>TEXT(Table2[[#This Row],[Date]], "MMM")</f>
        <v>Jan</v>
      </c>
      <c r="D53" s="8">
        <f>MONTH(Table2[[#This Row],[Date]])</f>
        <v>1</v>
      </c>
      <c r="E53" s="8">
        <f>YEAR(Table2[[#This Row],[Date]])</f>
        <v>2024</v>
      </c>
      <c r="F53" s="7" t="s">
        <v>663</v>
      </c>
      <c r="G53" s="7" t="s">
        <v>10</v>
      </c>
      <c r="H53" s="8">
        <v>55</v>
      </c>
      <c r="I53" s="8" t="str">
        <f>IF(Table2[[#This Row],[Age]] &lt; 19, "Teenagers", IF(Table2[[#This Row],[Age]] &lt;= 34, "Young Adults", IF(Table2[[#This Row],[Age]] &lt;= 45, "Adults", IF(Table2[[#This Row],[Age]] &lt;= 55, "Seniors", "Elderly")) ))</f>
        <v>Seniors</v>
      </c>
      <c r="J53" s="7" t="s">
        <v>16</v>
      </c>
      <c r="K53" s="8">
        <v>1</v>
      </c>
      <c r="L53" s="8" t="str">
        <f>IF(Table2[[#This Row],[Quantity]]=1, "Single Order", IF(Table2[[#This Row],[Quantity]]=2, "Small Order", IF(Table2[[#This Row],[Quantity]]=3, "Medium Order", "Bulk Order")))</f>
        <v>Single Order</v>
      </c>
      <c r="M53" s="10">
        <v>30</v>
      </c>
      <c r="N53" s="10">
        <v>30</v>
      </c>
    </row>
    <row r="54" spans="1:14" x14ac:dyDescent="0.2">
      <c r="A54">
        <v>679</v>
      </c>
      <c r="B54" s="5">
        <v>44937</v>
      </c>
      <c r="C54" s="5" t="str">
        <f>TEXT(Table2[[#This Row],[Date]], "MMM")</f>
        <v>Jan</v>
      </c>
      <c r="D54" s="8">
        <f>MONTH(Table2[[#This Row],[Date]])</f>
        <v>1</v>
      </c>
      <c r="E54" s="8">
        <f>YEAR(Table2[[#This Row],[Date]])</f>
        <v>2023</v>
      </c>
      <c r="F54" s="7" t="s">
        <v>692</v>
      </c>
      <c r="G54" s="7" t="s">
        <v>13</v>
      </c>
      <c r="H54" s="8">
        <v>18</v>
      </c>
      <c r="I54" s="8" t="str">
        <f>IF(Table2[[#This Row],[Age]] &lt; 19, "Teenagers", IF(Table2[[#This Row],[Age]] &lt;= 34, "Young Adults", IF(Table2[[#This Row],[Age]] &lt;= 45, "Adults", IF(Table2[[#This Row],[Age]] &lt;= 55, "Seniors", "Elderly")) ))</f>
        <v>Teenagers</v>
      </c>
      <c r="J54" s="7" t="s">
        <v>11</v>
      </c>
      <c r="K54" s="8">
        <v>3</v>
      </c>
      <c r="L54" s="8" t="str">
        <f>IF(Table2[[#This Row],[Quantity]]=1, "Single Order", IF(Table2[[#This Row],[Quantity]]=2, "Small Order", IF(Table2[[#This Row],[Quantity]]=3, "Medium Order", "Bulk Order")))</f>
        <v>Medium Order</v>
      </c>
      <c r="M54" s="10">
        <v>30</v>
      </c>
      <c r="N54" s="10">
        <v>90</v>
      </c>
    </row>
    <row r="55" spans="1:14" x14ac:dyDescent="0.2">
      <c r="A55">
        <v>683</v>
      </c>
      <c r="B55" s="5">
        <v>44930</v>
      </c>
      <c r="C55" s="5" t="str">
        <f>TEXT(Table2[[#This Row],[Date]], "MMM")</f>
        <v>Jan</v>
      </c>
      <c r="D55" s="8">
        <f>MONTH(Table2[[#This Row],[Date]])</f>
        <v>1</v>
      </c>
      <c r="E55" s="8">
        <f>YEAR(Table2[[#This Row],[Date]])</f>
        <v>2023</v>
      </c>
      <c r="F55" s="7" t="s">
        <v>696</v>
      </c>
      <c r="G55" s="7" t="s">
        <v>10</v>
      </c>
      <c r="H55" s="8">
        <v>38</v>
      </c>
      <c r="I55" s="8" t="str">
        <f>IF(Table2[[#This Row],[Age]] &lt; 19, "Teenagers", IF(Table2[[#This Row],[Age]] &lt;= 34, "Young Adults", IF(Table2[[#This Row],[Age]] &lt;= 45, "Adults", IF(Table2[[#This Row],[Age]] &lt;= 55, "Seniors", "Elderly")) ))</f>
        <v>Adults</v>
      </c>
      <c r="J55" s="7" t="s">
        <v>11</v>
      </c>
      <c r="K55" s="8">
        <v>2</v>
      </c>
      <c r="L55" s="8" t="str">
        <f>IF(Table2[[#This Row],[Quantity]]=1, "Single Order", IF(Table2[[#This Row],[Quantity]]=2, "Small Order", IF(Table2[[#This Row],[Quantity]]=3, "Medium Order", "Bulk Order")))</f>
        <v>Small Order</v>
      </c>
      <c r="M55" s="10">
        <v>500</v>
      </c>
      <c r="N55" s="10">
        <v>1000</v>
      </c>
    </row>
    <row r="56" spans="1:14" x14ac:dyDescent="0.2">
      <c r="A56">
        <v>697</v>
      </c>
      <c r="B56" s="5">
        <v>44941</v>
      </c>
      <c r="C56" s="5" t="str">
        <f>TEXT(Table2[[#This Row],[Date]], "MMM")</f>
        <v>Jan</v>
      </c>
      <c r="D56" s="8">
        <f>MONTH(Table2[[#This Row],[Date]])</f>
        <v>1</v>
      </c>
      <c r="E56" s="8">
        <f>YEAR(Table2[[#This Row],[Date]])</f>
        <v>2023</v>
      </c>
      <c r="F56" s="7" t="s">
        <v>710</v>
      </c>
      <c r="G56" s="7" t="s">
        <v>10</v>
      </c>
      <c r="H56" s="8">
        <v>53</v>
      </c>
      <c r="I56" s="8" t="str">
        <f>IF(Table2[[#This Row],[Age]] &lt; 19, "Teenagers", IF(Table2[[#This Row],[Age]] &lt;= 34, "Young Adults", IF(Table2[[#This Row],[Age]] &lt;= 45, "Adults", IF(Table2[[#This Row],[Age]] &lt;= 55, "Seniors", "Elderly")) ))</f>
        <v>Seniors</v>
      </c>
      <c r="J56" s="7" t="s">
        <v>14</v>
      </c>
      <c r="K56" s="8">
        <v>1</v>
      </c>
      <c r="L56" s="8" t="str">
        <f>IF(Table2[[#This Row],[Quantity]]=1, "Single Order", IF(Table2[[#This Row],[Quantity]]=2, "Small Order", IF(Table2[[#This Row],[Quantity]]=3, "Medium Order", "Bulk Order")))</f>
        <v>Single Order</v>
      </c>
      <c r="M56" s="10">
        <v>500</v>
      </c>
      <c r="N56" s="10">
        <v>500</v>
      </c>
    </row>
    <row r="57" spans="1:14" x14ac:dyDescent="0.2">
      <c r="A57">
        <v>708</v>
      </c>
      <c r="B57" s="5">
        <v>44940</v>
      </c>
      <c r="C57" s="5" t="str">
        <f>TEXT(Table2[[#This Row],[Date]], "MMM")</f>
        <v>Jan</v>
      </c>
      <c r="D57" s="8">
        <f>MONTH(Table2[[#This Row],[Date]])</f>
        <v>1</v>
      </c>
      <c r="E57" s="8">
        <f>YEAR(Table2[[#This Row],[Date]])</f>
        <v>2023</v>
      </c>
      <c r="F57" s="7" t="s">
        <v>721</v>
      </c>
      <c r="G57" s="7" t="s">
        <v>13</v>
      </c>
      <c r="H57" s="8">
        <v>43</v>
      </c>
      <c r="I57" s="8" t="str">
        <f>IF(Table2[[#This Row],[Age]] &lt; 19, "Teenagers", IF(Table2[[#This Row],[Age]] &lt;= 34, "Young Adults", IF(Table2[[#This Row],[Age]] &lt;= 45, "Adults", IF(Table2[[#This Row],[Age]] &lt;= 55, "Seniors", "Elderly")) ))</f>
        <v>Adults</v>
      </c>
      <c r="J57" s="7" t="s">
        <v>11</v>
      </c>
      <c r="K57" s="8">
        <v>3</v>
      </c>
      <c r="L57" s="8" t="str">
        <f>IF(Table2[[#This Row],[Quantity]]=1, "Single Order", IF(Table2[[#This Row],[Quantity]]=2, "Small Order", IF(Table2[[#This Row],[Quantity]]=3, "Medium Order", "Bulk Order")))</f>
        <v>Medium Order</v>
      </c>
      <c r="M57" s="10">
        <v>300</v>
      </c>
      <c r="N57" s="10">
        <v>900</v>
      </c>
    </row>
    <row r="58" spans="1:14" x14ac:dyDescent="0.2">
      <c r="A58">
        <v>713</v>
      </c>
      <c r="B58" s="5">
        <v>44940</v>
      </c>
      <c r="C58" s="5" t="str">
        <f>TEXT(Table2[[#This Row],[Date]], "MMM")</f>
        <v>Jan</v>
      </c>
      <c r="D58" s="8">
        <f>MONTH(Table2[[#This Row],[Date]])</f>
        <v>1</v>
      </c>
      <c r="E58" s="8">
        <f>YEAR(Table2[[#This Row],[Date]])</f>
        <v>2023</v>
      </c>
      <c r="F58" s="7" t="s">
        <v>726</v>
      </c>
      <c r="G58" s="7" t="s">
        <v>10</v>
      </c>
      <c r="H58" s="8">
        <v>34</v>
      </c>
      <c r="I58" s="8" t="str">
        <f>IF(Table2[[#This Row],[Age]] &lt; 19, "Teenagers", IF(Table2[[#This Row],[Age]] &lt;= 34, "Young Adults", IF(Table2[[#This Row],[Age]] &lt;= 45, "Adults", IF(Table2[[#This Row],[Age]] &lt;= 55, "Seniors", "Elderly")) ))</f>
        <v>Young Adults</v>
      </c>
      <c r="J58" s="7" t="s">
        <v>11</v>
      </c>
      <c r="K58" s="8">
        <v>3</v>
      </c>
      <c r="L58" s="8" t="str">
        <f>IF(Table2[[#This Row],[Quantity]]=1, "Single Order", IF(Table2[[#This Row],[Quantity]]=2, "Small Order", IF(Table2[[#This Row],[Quantity]]=3, "Medium Order", "Bulk Order")))</f>
        <v>Medium Order</v>
      </c>
      <c r="M58" s="10">
        <v>25</v>
      </c>
      <c r="N58" s="10">
        <v>75</v>
      </c>
    </row>
    <row r="59" spans="1:14" x14ac:dyDescent="0.2">
      <c r="A59">
        <v>720</v>
      </c>
      <c r="B59" s="5">
        <v>44952</v>
      </c>
      <c r="C59" s="5" t="str">
        <f>TEXT(Table2[[#This Row],[Date]], "MMM")</f>
        <v>Jan</v>
      </c>
      <c r="D59" s="8">
        <f>MONTH(Table2[[#This Row],[Date]])</f>
        <v>1</v>
      </c>
      <c r="E59" s="8">
        <f>YEAR(Table2[[#This Row],[Date]])</f>
        <v>2023</v>
      </c>
      <c r="F59" s="7" t="s">
        <v>733</v>
      </c>
      <c r="G59" s="7" t="s">
        <v>13</v>
      </c>
      <c r="H59" s="8">
        <v>56</v>
      </c>
      <c r="I59" s="8" t="str">
        <f>IF(Table2[[#This Row],[Age]] &lt; 19, "Teenagers", IF(Table2[[#This Row],[Age]] &lt;= 34, "Young Adults", IF(Table2[[#This Row],[Age]] &lt;= 45, "Adults", IF(Table2[[#This Row],[Age]] &lt;= 55, "Seniors", "Elderly")) ))</f>
        <v>Elderly</v>
      </c>
      <c r="J59" s="7" t="s">
        <v>11</v>
      </c>
      <c r="K59" s="8">
        <v>3</v>
      </c>
      <c r="L59" s="8" t="str">
        <f>IF(Table2[[#This Row],[Quantity]]=1, "Single Order", IF(Table2[[#This Row],[Quantity]]=2, "Small Order", IF(Table2[[#This Row],[Quantity]]=3, "Medium Order", "Bulk Order")))</f>
        <v>Medium Order</v>
      </c>
      <c r="M59" s="10">
        <v>500</v>
      </c>
      <c r="N59" s="10">
        <v>1500</v>
      </c>
    </row>
    <row r="60" spans="1:14" x14ac:dyDescent="0.2">
      <c r="A60">
        <v>734</v>
      </c>
      <c r="B60" s="5">
        <v>44936</v>
      </c>
      <c r="C60" s="5" t="str">
        <f>TEXT(Table2[[#This Row],[Date]], "MMM")</f>
        <v>Jan</v>
      </c>
      <c r="D60" s="8">
        <f>MONTH(Table2[[#This Row],[Date]])</f>
        <v>1</v>
      </c>
      <c r="E60" s="8">
        <f>YEAR(Table2[[#This Row],[Date]])</f>
        <v>2023</v>
      </c>
      <c r="F60" s="7" t="s">
        <v>747</v>
      </c>
      <c r="G60" s="7" t="s">
        <v>13</v>
      </c>
      <c r="H60" s="8">
        <v>27</v>
      </c>
      <c r="I60" s="8" t="str">
        <f>IF(Table2[[#This Row],[Age]] &lt; 19, "Teenagers", IF(Table2[[#This Row],[Age]] &lt;= 34, "Young Adults", IF(Table2[[#This Row],[Age]] &lt;= 45, "Adults", IF(Table2[[#This Row],[Age]] &lt;= 55, "Seniors", "Elderly")) ))</f>
        <v>Young Adults</v>
      </c>
      <c r="J60" s="7" t="s">
        <v>14</v>
      </c>
      <c r="K60" s="8">
        <v>1</v>
      </c>
      <c r="L60" s="8" t="str">
        <f>IF(Table2[[#This Row],[Quantity]]=1, "Single Order", IF(Table2[[#This Row],[Quantity]]=2, "Small Order", IF(Table2[[#This Row],[Quantity]]=3, "Medium Order", "Bulk Order")))</f>
        <v>Single Order</v>
      </c>
      <c r="M60" s="10">
        <v>30</v>
      </c>
      <c r="N60" s="10">
        <v>30</v>
      </c>
    </row>
    <row r="61" spans="1:14" x14ac:dyDescent="0.2">
      <c r="A61">
        <v>736</v>
      </c>
      <c r="B61" s="5">
        <v>44953</v>
      </c>
      <c r="C61" s="5" t="str">
        <f>TEXT(Table2[[#This Row],[Date]], "MMM")</f>
        <v>Jan</v>
      </c>
      <c r="D61" s="8">
        <f>MONTH(Table2[[#This Row],[Date]])</f>
        <v>1</v>
      </c>
      <c r="E61" s="8">
        <f>YEAR(Table2[[#This Row],[Date]])</f>
        <v>2023</v>
      </c>
      <c r="F61" s="7" t="s">
        <v>749</v>
      </c>
      <c r="G61" s="7" t="s">
        <v>10</v>
      </c>
      <c r="H61" s="8">
        <v>29</v>
      </c>
      <c r="I61" s="8" t="str">
        <f>IF(Table2[[#This Row],[Age]] &lt; 19, "Teenagers", IF(Table2[[#This Row],[Age]] &lt;= 34, "Young Adults", IF(Table2[[#This Row],[Age]] &lt;= 45, "Adults", IF(Table2[[#This Row],[Age]] &lt;= 55, "Seniors", "Elderly")) ))</f>
        <v>Young Adults</v>
      </c>
      <c r="J61" s="7" t="s">
        <v>14</v>
      </c>
      <c r="K61" s="8">
        <v>4</v>
      </c>
      <c r="L61" s="8" t="str">
        <f>IF(Table2[[#This Row],[Quantity]]=1, "Single Order", IF(Table2[[#This Row],[Quantity]]=2, "Small Order", IF(Table2[[#This Row],[Quantity]]=3, "Medium Order", "Bulk Order")))</f>
        <v>Bulk Order</v>
      </c>
      <c r="M61" s="10">
        <v>25</v>
      </c>
      <c r="N61" s="10">
        <v>100</v>
      </c>
    </row>
    <row r="62" spans="1:14" x14ac:dyDescent="0.2">
      <c r="A62">
        <v>742</v>
      </c>
      <c r="B62" s="5">
        <v>44947</v>
      </c>
      <c r="C62" s="5" t="str">
        <f>TEXT(Table2[[#This Row],[Date]], "MMM")</f>
        <v>Jan</v>
      </c>
      <c r="D62" s="8">
        <f>MONTH(Table2[[#This Row],[Date]])</f>
        <v>1</v>
      </c>
      <c r="E62" s="8">
        <f>YEAR(Table2[[#This Row],[Date]])</f>
        <v>2023</v>
      </c>
      <c r="F62" s="7" t="s">
        <v>755</v>
      </c>
      <c r="G62" s="7" t="s">
        <v>13</v>
      </c>
      <c r="H62" s="8">
        <v>38</v>
      </c>
      <c r="I62" s="8" t="str">
        <f>IF(Table2[[#This Row],[Age]] &lt; 19, "Teenagers", IF(Table2[[#This Row],[Age]] &lt;= 34, "Young Adults", IF(Table2[[#This Row],[Age]] &lt;= 45, "Adults", IF(Table2[[#This Row],[Age]] &lt;= 55, "Seniors", "Elderly")) ))</f>
        <v>Adults</v>
      </c>
      <c r="J62" s="7" t="s">
        <v>16</v>
      </c>
      <c r="K62" s="8">
        <v>4</v>
      </c>
      <c r="L62" s="8" t="str">
        <f>IF(Table2[[#This Row],[Quantity]]=1, "Single Order", IF(Table2[[#This Row],[Quantity]]=2, "Small Order", IF(Table2[[#This Row],[Quantity]]=3, "Medium Order", "Bulk Order")))</f>
        <v>Bulk Order</v>
      </c>
      <c r="M62" s="10">
        <v>500</v>
      </c>
      <c r="N62" s="10">
        <v>2000</v>
      </c>
    </row>
    <row r="63" spans="1:14" x14ac:dyDescent="0.2">
      <c r="A63">
        <v>743</v>
      </c>
      <c r="B63" s="5">
        <v>44942</v>
      </c>
      <c r="C63" s="5" t="str">
        <f>TEXT(Table2[[#This Row],[Date]], "MMM")</f>
        <v>Jan</v>
      </c>
      <c r="D63" s="8">
        <f>MONTH(Table2[[#This Row],[Date]])</f>
        <v>1</v>
      </c>
      <c r="E63" s="8">
        <f>YEAR(Table2[[#This Row],[Date]])</f>
        <v>2023</v>
      </c>
      <c r="F63" s="7" t="s">
        <v>756</v>
      </c>
      <c r="G63" s="7" t="s">
        <v>13</v>
      </c>
      <c r="H63" s="8">
        <v>34</v>
      </c>
      <c r="I63" s="8" t="str">
        <f>IF(Table2[[#This Row],[Age]] &lt; 19, "Teenagers", IF(Table2[[#This Row],[Age]] &lt;= 34, "Young Adults", IF(Table2[[#This Row],[Age]] &lt;= 45, "Adults", IF(Table2[[#This Row],[Age]] &lt;= 55, "Seniors", "Elderly")) ))</f>
        <v>Young Adults</v>
      </c>
      <c r="J63" s="7" t="s">
        <v>11</v>
      </c>
      <c r="K63" s="8">
        <v>4</v>
      </c>
      <c r="L63" s="8" t="str">
        <f>IF(Table2[[#This Row],[Quantity]]=1, "Single Order", IF(Table2[[#This Row],[Quantity]]=2, "Small Order", IF(Table2[[#This Row],[Quantity]]=3, "Medium Order", "Bulk Order")))</f>
        <v>Bulk Order</v>
      </c>
      <c r="M63" s="10">
        <v>500</v>
      </c>
      <c r="N63" s="10">
        <v>2000</v>
      </c>
    </row>
    <row r="64" spans="1:14" x14ac:dyDescent="0.2">
      <c r="A64">
        <v>746</v>
      </c>
      <c r="B64" s="5">
        <v>44937</v>
      </c>
      <c r="C64" s="5" t="str">
        <f>TEXT(Table2[[#This Row],[Date]], "MMM")</f>
        <v>Jan</v>
      </c>
      <c r="D64" s="8">
        <f>MONTH(Table2[[#This Row],[Date]])</f>
        <v>1</v>
      </c>
      <c r="E64" s="8">
        <f>YEAR(Table2[[#This Row],[Date]])</f>
        <v>2023</v>
      </c>
      <c r="F64" s="7" t="s">
        <v>759</v>
      </c>
      <c r="G64" s="7" t="s">
        <v>13</v>
      </c>
      <c r="H64" s="8">
        <v>33</v>
      </c>
      <c r="I64" s="8" t="str">
        <f>IF(Table2[[#This Row],[Age]] &lt; 19, "Teenagers", IF(Table2[[#This Row],[Age]] &lt;= 34, "Young Adults", IF(Table2[[#This Row],[Age]] &lt;= 45, "Adults", IF(Table2[[#This Row],[Age]] &lt;= 55, "Seniors", "Elderly")) ))</f>
        <v>Young Adults</v>
      </c>
      <c r="J64" s="7" t="s">
        <v>14</v>
      </c>
      <c r="K64" s="8">
        <v>3</v>
      </c>
      <c r="L64" s="8" t="str">
        <f>IF(Table2[[#This Row],[Quantity]]=1, "Single Order", IF(Table2[[#This Row],[Quantity]]=2, "Small Order", IF(Table2[[#This Row],[Quantity]]=3, "Medium Order", "Bulk Order")))</f>
        <v>Medium Order</v>
      </c>
      <c r="M64" s="10">
        <v>30</v>
      </c>
      <c r="N64" s="10">
        <v>90</v>
      </c>
    </row>
    <row r="65" spans="1:14" x14ac:dyDescent="0.2">
      <c r="A65">
        <v>768</v>
      </c>
      <c r="B65" s="5">
        <v>44940</v>
      </c>
      <c r="C65" s="5" t="str">
        <f>TEXT(Table2[[#This Row],[Date]], "MMM")</f>
        <v>Jan</v>
      </c>
      <c r="D65" s="8">
        <f>MONTH(Table2[[#This Row],[Date]])</f>
        <v>1</v>
      </c>
      <c r="E65" s="8">
        <f>YEAR(Table2[[#This Row],[Date]])</f>
        <v>2023</v>
      </c>
      <c r="F65" s="7" t="s">
        <v>781</v>
      </c>
      <c r="G65" s="7" t="s">
        <v>13</v>
      </c>
      <c r="H65" s="8">
        <v>24</v>
      </c>
      <c r="I65" s="8" t="str">
        <f>IF(Table2[[#This Row],[Age]] &lt; 19, "Teenagers", IF(Table2[[#This Row],[Age]] &lt;= 34, "Young Adults", IF(Table2[[#This Row],[Age]] &lt;= 45, "Adults", IF(Table2[[#This Row],[Age]] &lt;= 55, "Seniors", "Elderly")) ))</f>
        <v>Young Adults</v>
      </c>
      <c r="J65" s="7" t="s">
        <v>11</v>
      </c>
      <c r="K65" s="8">
        <v>3</v>
      </c>
      <c r="L65" s="8" t="str">
        <f>IF(Table2[[#This Row],[Quantity]]=1, "Single Order", IF(Table2[[#This Row],[Quantity]]=2, "Small Order", IF(Table2[[#This Row],[Quantity]]=3, "Medium Order", "Bulk Order")))</f>
        <v>Medium Order</v>
      </c>
      <c r="M65" s="10">
        <v>25</v>
      </c>
      <c r="N65" s="10">
        <v>75</v>
      </c>
    </row>
    <row r="66" spans="1:14" x14ac:dyDescent="0.2">
      <c r="A66">
        <v>787</v>
      </c>
      <c r="B66" s="5">
        <v>44948</v>
      </c>
      <c r="C66" s="5" t="str">
        <f>TEXT(Table2[[#This Row],[Date]], "MMM")</f>
        <v>Jan</v>
      </c>
      <c r="D66" s="8">
        <f>MONTH(Table2[[#This Row],[Date]])</f>
        <v>1</v>
      </c>
      <c r="E66" s="8">
        <f>YEAR(Table2[[#This Row],[Date]])</f>
        <v>2023</v>
      </c>
      <c r="F66" s="7" t="s">
        <v>800</v>
      </c>
      <c r="G66" s="7" t="s">
        <v>10</v>
      </c>
      <c r="H66" s="8">
        <v>41</v>
      </c>
      <c r="I66" s="8" t="str">
        <f>IF(Table2[[#This Row],[Age]] &lt; 19, "Teenagers", IF(Table2[[#This Row],[Age]] &lt;= 34, "Young Adults", IF(Table2[[#This Row],[Age]] &lt;= 45, "Adults", IF(Table2[[#This Row],[Age]] &lt;= 55, "Seniors", "Elderly")) ))</f>
        <v>Adults</v>
      </c>
      <c r="J66" s="7" t="s">
        <v>16</v>
      </c>
      <c r="K66" s="8">
        <v>1</v>
      </c>
      <c r="L66" s="8" t="str">
        <f>IF(Table2[[#This Row],[Quantity]]=1, "Single Order", IF(Table2[[#This Row],[Quantity]]=2, "Small Order", IF(Table2[[#This Row],[Quantity]]=3, "Medium Order", "Bulk Order")))</f>
        <v>Single Order</v>
      </c>
      <c r="M66" s="10">
        <v>25</v>
      </c>
      <c r="N66" s="10">
        <v>25</v>
      </c>
    </row>
    <row r="67" spans="1:14" x14ac:dyDescent="0.2">
      <c r="A67">
        <v>797</v>
      </c>
      <c r="B67" s="5">
        <v>44933</v>
      </c>
      <c r="C67" s="5" t="str">
        <f>TEXT(Table2[[#This Row],[Date]], "MMM")</f>
        <v>Jan</v>
      </c>
      <c r="D67" s="8">
        <f>MONTH(Table2[[#This Row],[Date]])</f>
        <v>1</v>
      </c>
      <c r="E67" s="8">
        <f>YEAR(Table2[[#This Row],[Date]])</f>
        <v>2023</v>
      </c>
      <c r="F67" s="7" t="s">
        <v>810</v>
      </c>
      <c r="G67" s="7" t="s">
        <v>10</v>
      </c>
      <c r="H67" s="8">
        <v>40</v>
      </c>
      <c r="I67" s="8" t="str">
        <f>IF(Table2[[#This Row],[Age]] &lt; 19, "Teenagers", IF(Table2[[#This Row],[Age]] &lt;= 34, "Young Adults", IF(Table2[[#This Row],[Age]] &lt;= 45, "Adults", IF(Table2[[#This Row],[Age]] &lt;= 55, "Seniors", "Elderly")) ))</f>
        <v>Adults</v>
      </c>
      <c r="J67" s="7" t="s">
        <v>14</v>
      </c>
      <c r="K67" s="8">
        <v>3</v>
      </c>
      <c r="L67" s="8" t="str">
        <f>IF(Table2[[#This Row],[Quantity]]=1, "Single Order", IF(Table2[[#This Row],[Quantity]]=2, "Small Order", IF(Table2[[#This Row],[Quantity]]=3, "Medium Order", "Bulk Order")))</f>
        <v>Medium Order</v>
      </c>
      <c r="M67" s="10">
        <v>25</v>
      </c>
      <c r="N67" s="10">
        <v>75</v>
      </c>
    </row>
    <row r="68" spans="1:14" x14ac:dyDescent="0.2">
      <c r="A68">
        <v>831</v>
      </c>
      <c r="B68" s="5">
        <v>44941</v>
      </c>
      <c r="C68" s="5" t="str">
        <f>TEXT(Table2[[#This Row],[Date]], "MMM")</f>
        <v>Jan</v>
      </c>
      <c r="D68" s="8">
        <f>MONTH(Table2[[#This Row],[Date]])</f>
        <v>1</v>
      </c>
      <c r="E68" s="8">
        <f>YEAR(Table2[[#This Row],[Date]])</f>
        <v>2023</v>
      </c>
      <c r="F68" s="7" t="s">
        <v>844</v>
      </c>
      <c r="G68" s="7" t="s">
        <v>10</v>
      </c>
      <c r="H68" s="8">
        <v>27</v>
      </c>
      <c r="I68" s="8" t="str">
        <f>IF(Table2[[#This Row],[Age]] &lt; 19, "Teenagers", IF(Table2[[#This Row],[Age]] &lt;= 34, "Young Adults", IF(Table2[[#This Row],[Age]] &lt;= 45, "Adults", IF(Table2[[#This Row],[Age]] &lt;= 55, "Seniors", "Elderly")) ))</f>
        <v>Young Adults</v>
      </c>
      <c r="J68" s="7" t="s">
        <v>16</v>
      </c>
      <c r="K68" s="8">
        <v>4</v>
      </c>
      <c r="L68" s="8" t="str">
        <f>IF(Table2[[#This Row],[Quantity]]=1, "Single Order", IF(Table2[[#This Row],[Quantity]]=2, "Small Order", IF(Table2[[#This Row],[Quantity]]=3, "Medium Order", "Bulk Order")))</f>
        <v>Bulk Order</v>
      </c>
      <c r="M68" s="10">
        <v>25</v>
      </c>
      <c r="N68" s="10">
        <v>100</v>
      </c>
    </row>
    <row r="69" spans="1:14" x14ac:dyDescent="0.2">
      <c r="A69">
        <v>845</v>
      </c>
      <c r="B69" s="5">
        <v>44932</v>
      </c>
      <c r="C69" s="5" t="str">
        <f>TEXT(Table2[[#This Row],[Date]], "MMM")</f>
        <v>Jan</v>
      </c>
      <c r="D69" s="8">
        <f>MONTH(Table2[[#This Row],[Date]])</f>
        <v>1</v>
      </c>
      <c r="E69" s="8">
        <f>YEAR(Table2[[#This Row],[Date]])</f>
        <v>2023</v>
      </c>
      <c r="F69" s="7" t="s">
        <v>858</v>
      </c>
      <c r="G69" s="7" t="s">
        <v>10</v>
      </c>
      <c r="H69" s="8">
        <v>54</v>
      </c>
      <c r="I69" s="8" t="str">
        <f>IF(Table2[[#This Row],[Age]] &lt; 19, "Teenagers", IF(Table2[[#This Row],[Age]] &lt;= 34, "Young Adults", IF(Table2[[#This Row],[Age]] &lt;= 45, "Adults", IF(Table2[[#This Row],[Age]] &lt;= 55, "Seniors", "Elderly")) ))</f>
        <v>Seniors</v>
      </c>
      <c r="J69" s="7" t="s">
        <v>14</v>
      </c>
      <c r="K69" s="8">
        <v>1</v>
      </c>
      <c r="L69" s="8" t="str">
        <f>IF(Table2[[#This Row],[Quantity]]=1, "Single Order", IF(Table2[[#This Row],[Quantity]]=2, "Small Order", IF(Table2[[#This Row],[Quantity]]=3, "Medium Order", "Bulk Order")))</f>
        <v>Single Order</v>
      </c>
      <c r="M69" s="10">
        <v>500</v>
      </c>
      <c r="N69" s="10">
        <v>500</v>
      </c>
    </row>
    <row r="70" spans="1:14" x14ac:dyDescent="0.2">
      <c r="A70">
        <v>860</v>
      </c>
      <c r="B70" s="5">
        <v>44935</v>
      </c>
      <c r="C70" s="5" t="str">
        <f>TEXT(Table2[[#This Row],[Date]], "MMM")</f>
        <v>Jan</v>
      </c>
      <c r="D70" s="8">
        <f>MONTH(Table2[[#This Row],[Date]])</f>
        <v>1</v>
      </c>
      <c r="E70" s="8">
        <f>YEAR(Table2[[#This Row],[Date]])</f>
        <v>2023</v>
      </c>
      <c r="F70" s="7" t="s">
        <v>873</v>
      </c>
      <c r="G70" s="7" t="s">
        <v>10</v>
      </c>
      <c r="H70" s="8">
        <v>63</v>
      </c>
      <c r="I70" s="8" t="str">
        <f>IF(Table2[[#This Row],[Age]] &lt; 19, "Teenagers", IF(Table2[[#This Row],[Age]] &lt;= 34, "Young Adults", IF(Table2[[#This Row],[Age]] &lt;= 45, "Adults", IF(Table2[[#This Row],[Age]] &lt;= 55, "Seniors", "Elderly")) ))</f>
        <v>Elderly</v>
      </c>
      <c r="J70" s="7" t="s">
        <v>14</v>
      </c>
      <c r="K70" s="8">
        <v>4</v>
      </c>
      <c r="L70" s="8" t="str">
        <f>IF(Table2[[#This Row],[Quantity]]=1, "Single Order", IF(Table2[[#This Row],[Quantity]]=2, "Small Order", IF(Table2[[#This Row],[Quantity]]=3, "Medium Order", "Bulk Order")))</f>
        <v>Bulk Order</v>
      </c>
      <c r="M70" s="10">
        <v>50</v>
      </c>
      <c r="N70" s="10">
        <v>200</v>
      </c>
    </row>
    <row r="71" spans="1:14" x14ac:dyDescent="0.2">
      <c r="A71">
        <v>907</v>
      </c>
      <c r="B71" s="5">
        <v>44934</v>
      </c>
      <c r="C71" s="5" t="str">
        <f>TEXT(Table2[[#This Row],[Date]], "MMM")</f>
        <v>Jan</v>
      </c>
      <c r="D71" s="8">
        <f>MONTH(Table2[[#This Row],[Date]])</f>
        <v>1</v>
      </c>
      <c r="E71" s="8">
        <f>YEAR(Table2[[#This Row],[Date]])</f>
        <v>2023</v>
      </c>
      <c r="F71" s="7" t="s">
        <v>920</v>
      </c>
      <c r="G71" s="7" t="s">
        <v>13</v>
      </c>
      <c r="H71" s="8">
        <v>45</v>
      </c>
      <c r="I71" s="8" t="str">
        <f>IF(Table2[[#This Row],[Age]] &lt; 19, "Teenagers", IF(Table2[[#This Row],[Age]] &lt;= 34, "Young Adults", IF(Table2[[#This Row],[Age]] &lt;= 45, "Adults", IF(Table2[[#This Row],[Age]] &lt;= 55, "Seniors", "Elderly")) ))</f>
        <v>Adults</v>
      </c>
      <c r="J71" s="7" t="s">
        <v>16</v>
      </c>
      <c r="K71" s="8">
        <v>1</v>
      </c>
      <c r="L71" s="8" t="str">
        <f>IF(Table2[[#This Row],[Quantity]]=1, "Single Order", IF(Table2[[#This Row],[Quantity]]=2, "Small Order", IF(Table2[[#This Row],[Quantity]]=3, "Medium Order", "Bulk Order")))</f>
        <v>Single Order</v>
      </c>
      <c r="M71" s="10">
        <v>25</v>
      </c>
      <c r="N71" s="10">
        <v>25</v>
      </c>
    </row>
    <row r="72" spans="1:14" x14ac:dyDescent="0.2">
      <c r="A72">
        <v>912</v>
      </c>
      <c r="B72" s="5">
        <v>44950</v>
      </c>
      <c r="C72" s="5" t="str">
        <f>TEXT(Table2[[#This Row],[Date]], "MMM")</f>
        <v>Jan</v>
      </c>
      <c r="D72" s="8">
        <f>MONTH(Table2[[#This Row],[Date]])</f>
        <v>1</v>
      </c>
      <c r="E72" s="8">
        <f>YEAR(Table2[[#This Row],[Date]])</f>
        <v>2023</v>
      </c>
      <c r="F72" s="7" t="s">
        <v>925</v>
      </c>
      <c r="G72" s="7" t="s">
        <v>10</v>
      </c>
      <c r="H72" s="8">
        <v>51</v>
      </c>
      <c r="I72" s="8" t="str">
        <f>IF(Table2[[#This Row],[Age]] &lt; 19, "Teenagers", IF(Table2[[#This Row],[Age]] &lt;= 34, "Young Adults", IF(Table2[[#This Row],[Age]] &lt;= 45, "Adults", IF(Table2[[#This Row],[Age]] &lt;= 55, "Seniors", "Elderly")) ))</f>
        <v>Seniors</v>
      </c>
      <c r="J72" s="7" t="s">
        <v>11</v>
      </c>
      <c r="K72" s="8">
        <v>3</v>
      </c>
      <c r="L72" s="8" t="str">
        <f>IF(Table2[[#This Row],[Quantity]]=1, "Single Order", IF(Table2[[#This Row],[Quantity]]=2, "Small Order", IF(Table2[[#This Row],[Quantity]]=3, "Medium Order", "Bulk Order")))</f>
        <v>Medium Order</v>
      </c>
      <c r="M72" s="10">
        <v>50</v>
      </c>
      <c r="N72" s="10">
        <v>150</v>
      </c>
    </row>
    <row r="73" spans="1:14" x14ac:dyDescent="0.2">
      <c r="A73">
        <v>913</v>
      </c>
      <c r="B73" s="5">
        <v>44954</v>
      </c>
      <c r="C73" s="5" t="str">
        <f>TEXT(Table2[[#This Row],[Date]], "MMM")</f>
        <v>Jan</v>
      </c>
      <c r="D73" s="8">
        <f>MONTH(Table2[[#This Row],[Date]])</f>
        <v>1</v>
      </c>
      <c r="E73" s="8">
        <f>YEAR(Table2[[#This Row],[Date]])</f>
        <v>2023</v>
      </c>
      <c r="F73" s="7" t="s">
        <v>926</v>
      </c>
      <c r="G73" s="7" t="s">
        <v>10</v>
      </c>
      <c r="H73" s="8">
        <v>29</v>
      </c>
      <c r="I73" s="8" t="str">
        <f>IF(Table2[[#This Row],[Age]] &lt; 19, "Teenagers", IF(Table2[[#This Row],[Age]] &lt;= 34, "Young Adults", IF(Table2[[#This Row],[Age]] &lt;= 45, "Adults", IF(Table2[[#This Row],[Age]] &lt;= 55, "Seniors", "Elderly")) ))</f>
        <v>Young Adults</v>
      </c>
      <c r="J73" s="7" t="s">
        <v>16</v>
      </c>
      <c r="K73" s="8">
        <v>3</v>
      </c>
      <c r="L73" s="8" t="str">
        <f>IF(Table2[[#This Row],[Quantity]]=1, "Single Order", IF(Table2[[#This Row],[Quantity]]=2, "Small Order", IF(Table2[[#This Row],[Quantity]]=3, "Medium Order", "Bulk Order")))</f>
        <v>Medium Order</v>
      </c>
      <c r="M73" s="10">
        <v>30</v>
      </c>
      <c r="N73" s="10">
        <v>90</v>
      </c>
    </row>
    <row r="74" spans="1:14" x14ac:dyDescent="0.2">
      <c r="A74">
        <v>921</v>
      </c>
      <c r="B74" s="5">
        <v>44933</v>
      </c>
      <c r="C74" s="5" t="str">
        <f>TEXT(Table2[[#This Row],[Date]], "MMM")</f>
        <v>Jan</v>
      </c>
      <c r="D74" s="8">
        <f>MONTH(Table2[[#This Row],[Date]])</f>
        <v>1</v>
      </c>
      <c r="E74" s="8">
        <f>YEAR(Table2[[#This Row],[Date]])</f>
        <v>2023</v>
      </c>
      <c r="F74" s="7" t="s">
        <v>934</v>
      </c>
      <c r="G74" s="7" t="s">
        <v>10</v>
      </c>
      <c r="H74" s="8">
        <v>51</v>
      </c>
      <c r="I74" s="8" t="str">
        <f>IF(Table2[[#This Row],[Age]] &lt; 19, "Teenagers", IF(Table2[[#This Row],[Age]] &lt;= 34, "Young Adults", IF(Table2[[#This Row],[Age]] &lt;= 45, "Adults", IF(Table2[[#This Row],[Age]] &lt;= 55, "Seniors", "Elderly")) ))</f>
        <v>Seniors</v>
      </c>
      <c r="J74" s="7" t="s">
        <v>16</v>
      </c>
      <c r="K74" s="8">
        <v>3</v>
      </c>
      <c r="L74" s="8" t="str">
        <f>IF(Table2[[#This Row],[Quantity]]=1, "Single Order", IF(Table2[[#This Row],[Quantity]]=2, "Small Order", IF(Table2[[#This Row],[Quantity]]=3, "Medium Order", "Bulk Order")))</f>
        <v>Medium Order</v>
      </c>
      <c r="M74" s="10">
        <v>25</v>
      </c>
      <c r="N74" s="10">
        <v>75</v>
      </c>
    </row>
    <row r="75" spans="1:14" x14ac:dyDescent="0.2">
      <c r="A75">
        <v>929</v>
      </c>
      <c r="B75" s="5">
        <v>44953</v>
      </c>
      <c r="C75" s="5" t="str">
        <f>TEXT(Table2[[#This Row],[Date]], "MMM")</f>
        <v>Jan</v>
      </c>
      <c r="D75" s="8">
        <f>MONTH(Table2[[#This Row],[Date]])</f>
        <v>1</v>
      </c>
      <c r="E75" s="8">
        <f>YEAR(Table2[[#This Row],[Date]])</f>
        <v>2023</v>
      </c>
      <c r="F75" s="7" t="s">
        <v>942</v>
      </c>
      <c r="G75" s="7" t="s">
        <v>13</v>
      </c>
      <c r="H75" s="8">
        <v>23</v>
      </c>
      <c r="I75" s="8" t="str">
        <f>IF(Table2[[#This Row],[Age]] &lt; 19, "Teenagers", IF(Table2[[#This Row],[Age]] &lt;= 34, "Young Adults", IF(Table2[[#This Row],[Age]] &lt;= 45, "Adults", IF(Table2[[#This Row],[Age]] &lt;= 55, "Seniors", "Elderly")) ))</f>
        <v>Young Adults</v>
      </c>
      <c r="J75" s="7" t="s">
        <v>11</v>
      </c>
      <c r="K75" s="8">
        <v>3</v>
      </c>
      <c r="L75" s="8" t="str">
        <f>IF(Table2[[#This Row],[Quantity]]=1, "Single Order", IF(Table2[[#This Row],[Quantity]]=2, "Small Order", IF(Table2[[#This Row],[Quantity]]=3, "Medium Order", "Bulk Order")))</f>
        <v>Medium Order</v>
      </c>
      <c r="M75" s="10">
        <v>25</v>
      </c>
      <c r="N75" s="10">
        <v>75</v>
      </c>
    </row>
    <row r="76" spans="1:14" x14ac:dyDescent="0.2">
      <c r="A76">
        <v>940</v>
      </c>
      <c r="B76" s="5">
        <v>44954</v>
      </c>
      <c r="C76" s="5" t="str">
        <f>TEXT(Table2[[#This Row],[Date]], "MMM")</f>
        <v>Jan</v>
      </c>
      <c r="D76" s="8">
        <f>MONTH(Table2[[#This Row],[Date]])</f>
        <v>1</v>
      </c>
      <c r="E76" s="8">
        <f>YEAR(Table2[[#This Row],[Date]])</f>
        <v>2023</v>
      </c>
      <c r="F76" s="7" t="s">
        <v>953</v>
      </c>
      <c r="G76" s="7" t="s">
        <v>13</v>
      </c>
      <c r="H76" s="8">
        <v>20</v>
      </c>
      <c r="I76" s="8" t="str">
        <f>IF(Table2[[#This Row],[Age]] &lt; 19, "Teenagers", IF(Table2[[#This Row],[Age]] &lt;= 34, "Young Adults", IF(Table2[[#This Row],[Age]] &lt;= 45, "Adults", IF(Table2[[#This Row],[Age]] &lt;= 55, "Seniors", "Elderly")) ))</f>
        <v>Young Adults</v>
      </c>
      <c r="J76" s="7" t="s">
        <v>16</v>
      </c>
      <c r="K76" s="8">
        <v>1</v>
      </c>
      <c r="L76" s="8" t="str">
        <f>IF(Table2[[#This Row],[Quantity]]=1, "Single Order", IF(Table2[[#This Row],[Quantity]]=2, "Small Order", IF(Table2[[#This Row],[Quantity]]=3, "Medium Order", "Bulk Order")))</f>
        <v>Single Order</v>
      </c>
      <c r="M76" s="10">
        <v>30</v>
      </c>
      <c r="N76" s="10">
        <v>30</v>
      </c>
    </row>
    <row r="77" spans="1:14" x14ac:dyDescent="0.2">
      <c r="A77">
        <v>964</v>
      </c>
      <c r="B77" s="5">
        <v>44957</v>
      </c>
      <c r="C77" s="5" t="str">
        <f>TEXT(Table2[[#This Row],[Date]], "MMM")</f>
        <v>Jan</v>
      </c>
      <c r="D77" s="8">
        <f>MONTH(Table2[[#This Row],[Date]])</f>
        <v>1</v>
      </c>
      <c r="E77" s="8">
        <f>YEAR(Table2[[#This Row],[Date]])</f>
        <v>2023</v>
      </c>
      <c r="F77" s="7" t="s">
        <v>977</v>
      </c>
      <c r="G77" s="7" t="s">
        <v>10</v>
      </c>
      <c r="H77" s="8">
        <v>24</v>
      </c>
      <c r="I77" s="8" t="str">
        <f>IF(Table2[[#This Row],[Age]] &lt; 19, "Teenagers", IF(Table2[[#This Row],[Age]] &lt;= 34, "Young Adults", IF(Table2[[#This Row],[Age]] &lt;= 45, "Adults", IF(Table2[[#This Row],[Age]] &lt;= 55, "Seniors", "Elderly")) ))</f>
        <v>Young Adults</v>
      </c>
      <c r="J77" s="7" t="s">
        <v>14</v>
      </c>
      <c r="K77" s="8">
        <v>3</v>
      </c>
      <c r="L77" s="8" t="str">
        <f>IF(Table2[[#This Row],[Quantity]]=1, "Single Order", IF(Table2[[#This Row],[Quantity]]=2, "Small Order", IF(Table2[[#This Row],[Quantity]]=3, "Medium Order", "Bulk Order")))</f>
        <v>Medium Order</v>
      </c>
      <c r="M77" s="10">
        <v>300</v>
      </c>
      <c r="N77" s="10">
        <v>900</v>
      </c>
    </row>
    <row r="78" spans="1:14" x14ac:dyDescent="0.2">
      <c r="A78">
        <v>979</v>
      </c>
      <c r="B78" s="5">
        <v>44928</v>
      </c>
      <c r="C78" s="5" t="str">
        <f>TEXT(Table2[[#This Row],[Date]], "MMM")</f>
        <v>Jan</v>
      </c>
      <c r="D78" s="8">
        <f>MONTH(Table2[[#This Row],[Date]])</f>
        <v>1</v>
      </c>
      <c r="E78" s="8">
        <f>YEAR(Table2[[#This Row],[Date]])</f>
        <v>2023</v>
      </c>
      <c r="F78" s="7" t="s">
        <v>992</v>
      </c>
      <c r="G78" s="7" t="s">
        <v>13</v>
      </c>
      <c r="H78" s="8">
        <v>19</v>
      </c>
      <c r="I78" s="8" t="str">
        <f>IF(Table2[[#This Row],[Age]] &lt; 19, "Teenagers", IF(Table2[[#This Row],[Age]] &lt;= 34, "Young Adults", IF(Table2[[#This Row],[Age]] &lt;= 45, "Adults", IF(Table2[[#This Row],[Age]] &lt;= 55, "Seniors", "Elderly")) ))</f>
        <v>Young Adults</v>
      </c>
      <c r="J78" s="7" t="s">
        <v>11</v>
      </c>
      <c r="K78" s="8">
        <v>1</v>
      </c>
      <c r="L78" s="8" t="str">
        <f>IF(Table2[[#This Row],[Quantity]]=1, "Single Order", IF(Table2[[#This Row],[Quantity]]=2, "Small Order", IF(Table2[[#This Row],[Quantity]]=3, "Medium Order", "Bulk Order")))</f>
        <v>Single Order</v>
      </c>
      <c r="M78" s="10">
        <v>25</v>
      </c>
      <c r="N78" s="10">
        <v>25</v>
      </c>
    </row>
    <row r="79" spans="1:14" x14ac:dyDescent="0.2">
      <c r="A79">
        <v>986</v>
      </c>
      <c r="B79" s="5">
        <v>44943</v>
      </c>
      <c r="C79" s="5" t="str">
        <f>TEXT(Table2[[#This Row],[Date]], "MMM")</f>
        <v>Jan</v>
      </c>
      <c r="D79" s="8">
        <f>MONTH(Table2[[#This Row],[Date]])</f>
        <v>1</v>
      </c>
      <c r="E79" s="8">
        <f>YEAR(Table2[[#This Row],[Date]])</f>
        <v>2023</v>
      </c>
      <c r="F79" s="7" t="s">
        <v>999</v>
      </c>
      <c r="G79" s="7" t="s">
        <v>13</v>
      </c>
      <c r="H79" s="8">
        <v>49</v>
      </c>
      <c r="I79" s="8" t="str">
        <f>IF(Table2[[#This Row],[Age]] &lt; 19, "Teenagers", IF(Table2[[#This Row],[Age]] &lt;= 34, "Young Adults", IF(Table2[[#This Row],[Age]] &lt;= 45, "Adults", IF(Table2[[#This Row],[Age]] &lt;= 55, "Seniors", "Elderly")) ))</f>
        <v>Seniors</v>
      </c>
      <c r="J79" s="7" t="s">
        <v>14</v>
      </c>
      <c r="K79" s="8">
        <v>2</v>
      </c>
      <c r="L79" s="8" t="str">
        <f>IF(Table2[[#This Row],[Quantity]]=1, "Single Order", IF(Table2[[#This Row],[Quantity]]=2, "Small Order", IF(Table2[[#This Row],[Quantity]]=3, "Medium Order", "Bulk Order")))</f>
        <v>Small Order</v>
      </c>
      <c r="M79" s="10">
        <v>500</v>
      </c>
      <c r="N79" s="10">
        <v>1000</v>
      </c>
    </row>
    <row r="80" spans="1:14" x14ac:dyDescent="0.2">
      <c r="A80">
        <v>2</v>
      </c>
      <c r="B80" s="5">
        <v>44984</v>
      </c>
      <c r="C80" s="5" t="str">
        <f>TEXT(Table2[[#This Row],[Date]], "MMM")</f>
        <v>Feb</v>
      </c>
      <c r="D80" s="8">
        <f>MONTH(Table2[[#This Row],[Date]])</f>
        <v>2</v>
      </c>
      <c r="E80" s="8">
        <f>YEAR(Table2[[#This Row],[Date]])</f>
        <v>2023</v>
      </c>
      <c r="F80" s="7" t="s">
        <v>12</v>
      </c>
      <c r="G80" s="7" t="s">
        <v>13</v>
      </c>
      <c r="H80" s="8">
        <v>26</v>
      </c>
      <c r="I80" s="8" t="str">
        <f>IF(Table2[[#This Row],[Age]] &lt; 19, "Teenagers", IF(Table2[[#This Row],[Age]] &lt;= 34, "Young Adults", IF(Table2[[#This Row],[Age]] &lt;= 45, "Adults", IF(Table2[[#This Row],[Age]] &lt;= 55, "Seniors", "Elderly")) ))</f>
        <v>Young Adults</v>
      </c>
      <c r="J80" s="7" t="s">
        <v>14</v>
      </c>
      <c r="K80" s="8">
        <v>2</v>
      </c>
      <c r="L80" s="8" t="str">
        <f>IF(Table2[[#This Row],[Quantity]]=1, "Single Order", IF(Table2[[#This Row],[Quantity]]=2, "Small Order", IF(Table2[[#This Row],[Quantity]]=3, "Medium Order", "Bulk Order")))</f>
        <v>Small Order</v>
      </c>
      <c r="M80" s="10">
        <v>500</v>
      </c>
      <c r="N80" s="10">
        <v>1000</v>
      </c>
    </row>
    <row r="81" spans="1:14" x14ac:dyDescent="0.2">
      <c r="A81">
        <v>8</v>
      </c>
      <c r="B81" s="5">
        <v>44979</v>
      </c>
      <c r="C81" s="5" t="str">
        <f>TEXT(Table2[[#This Row],[Date]], "MMM")</f>
        <v>Feb</v>
      </c>
      <c r="D81" s="8">
        <f>MONTH(Table2[[#This Row],[Date]])</f>
        <v>2</v>
      </c>
      <c r="E81" s="8">
        <f>YEAR(Table2[[#This Row],[Date]])</f>
        <v>2023</v>
      </c>
      <c r="F81" s="7" t="s">
        <v>21</v>
      </c>
      <c r="G81" s="7" t="s">
        <v>10</v>
      </c>
      <c r="H81" s="8">
        <v>30</v>
      </c>
      <c r="I81" s="8" t="str">
        <f>IF(Table2[[#This Row],[Age]] &lt; 19, "Teenagers", IF(Table2[[#This Row],[Age]] &lt;= 34, "Young Adults", IF(Table2[[#This Row],[Age]] &lt;= 45, "Adults", IF(Table2[[#This Row],[Age]] &lt;= 55, "Seniors", "Elderly")) ))</f>
        <v>Young Adults</v>
      </c>
      <c r="J81" s="7" t="s">
        <v>16</v>
      </c>
      <c r="K81" s="8">
        <v>4</v>
      </c>
      <c r="L81" s="8" t="str">
        <f>IF(Table2[[#This Row],[Quantity]]=1, "Single Order", IF(Table2[[#This Row],[Quantity]]=2, "Small Order", IF(Table2[[#This Row],[Quantity]]=3, "Medium Order", "Bulk Order")))</f>
        <v>Bulk Order</v>
      </c>
      <c r="M81" s="10">
        <v>25</v>
      </c>
      <c r="N81" s="10">
        <v>100</v>
      </c>
    </row>
    <row r="82" spans="1:14" x14ac:dyDescent="0.2">
      <c r="A82">
        <v>11</v>
      </c>
      <c r="B82" s="5">
        <v>44971</v>
      </c>
      <c r="C82" s="5" t="str">
        <f>TEXT(Table2[[#This Row],[Date]], "MMM")</f>
        <v>Feb</v>
      </c>
      <c r="D82" s="8">
        <f>MONTH(Table2[[#This Row],[Date]])</f>
        <v>2</v>
      </c>
      <c r="E82" s="8">
        <f>YEAR(Table2[[#This Row],[Date]])</f>
        <v>2023</v>
      </c>
      <c r="F82" s="7" t="s">
        <v>24</v>
      </c>
      <c r="G82" s="7" t="s">
        <v>10</v>
      </c>
      <c r="H82" s="8">
        <v>23</v>
      </c>
      <c r="I82" s="8" t="str">
        <f>IF(Table2[[#This Row],[Age]] &lt; 19, "Teenagers", IF(Table2[[#This Row],[Age]] &lt;= 34, "Young Adults", IF(Table2[[#This Row],[Age]] &lt;= 45, "Adults", IF(Table2[[#This Row],[Age]] &lt;= 55, "Seniors", "Elderly")) ))</f>
        <v>Young Adults</v>
      </c>
      <c r="J82" s="7" t="s">
        <v>14</v>
      </c>
      <c r="K82" s="8">
        <v>2</v>
      </c>
      <c r="L82" s="8" t="str">
        <f>IF(Table2[[#This Row],[Quantity]]=1, "Single Order", IF(Table2[[#This Row],[Quantity]]=2, "Small Order", IF(Table2[[#This Row],[Quantity]]=3, "Medium Order", "Bulk Order")))</f>
        <v>Small Order</v>
      </c>
      <c r="M82" s="10">
        <v>50</v>
      </c>
      <c r="N82" s="10">
        <v>100</v>
      </c>
    </row>
    <row r="83" spans="1:14" x14ac:dyDescent="0.2">
      <c r="A83">
        <v>16</v>
      </c>
      <c r="B83" s="5">
        <v>44974</v>
      </c>
      <c r="C83" s="5" t="str">
        <f>TEXT(Table2[[#This Row],[Date]], "MMM")</f>
        <v>Feb</v>
      </c>
      <c r="D83" s="8">
        <f>MONTH(Table2[[#This Row],[Date]])</f>
        <v>2</v>
      </c>
      <c r="E83" s="8">
        <f>YEAR(Table2[[#This Row],[Date]])</f>
        <v>2023</v>
      </c>
      <c r="F83" s="7" t="s">
        <v>29</v>
      </c>
      <c r="G83" s="7" t="s">
        <v>10</v>
      </c>
      <c r="H83" s="8">
        <v>19</v>
      </c>
      <c r="I83" s="8" t="str">
        <f>IF(Table2[[#This Row],[Age]] &lt; 19, "Teenagers", IF(Table2[[#This Row],[Age]] &lt;= 34, "Young Adults", IF(Table2[[#This Row],[Age]] &lt;= 45, "Adults", IF(Table2[[#This Row],[Age]] &lt;= 55, "Seniors", "Elderly")) ))</f>
        <v>Young Adults</v>
      </c>
      <c r="J83" s="7" t="s">
        <v>14</v>
      </c>
      <c r="K83" s="8">
        <v>3</v>
      </c>
      <c r="L83" s="8" t="str">
        <f>IF(Table2[[#This Row],[Quantity]]=1, "Single Order", IF(Table2[[#This Row],[Quantity]]=2, "Small Order", IF(Table2[[#This Row],[Quantity]]=3, "Medium Order", "Bulk Order")))</f>
        <v>Medium Order</v>
      </c>
      <c r="M83" s="10">
        <v>500</v>
      </c>
      <c r="N83" s="10">
        <v>1500</v>
      </c>
    </row>
    <row r="84" spans="1:14" x14ac:dyDescent="0.2">
      <c r="A84">
        <v>41</v>
      </c>
      <c r="B84" s="5">
        <v>44979</v>
      </c>
      <c r="C84" s="5" t="str">
        <f>TEXT(Table2[[#This Row],[Date]], "MMM")</f>
        <v>Feb</v>
      </c>
      <c r="D84" s="8">
        <f>MONTH(Table2[[#This Row],[Date]])</f>
        <v>2</v>
      </c>
      <c r="E84" s="8">
        <f>YEAR(Table2[[#This Row],[Date]])</f>
        <v>2023</v>
      </c>
      <c r="F84" s="7" t="s">
        <v>54</v>
      </c>
      <c r="G84" s="7" t="s">
        <v>10</v>
      </c>
      <c r="H84" s="8">
        <v>34</v>
      </c>
      <c r="I84" s="8" t="str">
        <f>IF(Table2[[#This Row],[Age]] &lt; 19, "Teenagers", IF(Table2[[#This Row],[Age]] &lt;= 34, "Young Adults", IF(Table2[[#This Row],[Age]] &lt;= 45, "Adults", IF(Table2[[#This Row],[Age]] &lt;= 55, "Seniors", "Elderly")) ))</f>
        <v>Young Adults</v>
      </c>
      <c r="J84" s="7" t="s">
        <v>14</v>
      </c>
      <c r="K84" s="8">
        <v>2</v>
      </c>
      <c r="L84" s="8" t="str">
        <f>IF(Table2[[#This Row],[Quantity]]=1, "Single Order", IF(Table2[[#This Row],[Quantity]]=2, "Small Order", IF(Table2[[#This Row],[Quantity]]=3, "Medium Order", "Bulk Order")))</f>
        <v>Small Order</v>
      </c>
      <c r="M84" s="10">
        <v>25</v>
      </c>
      <c r="N84" s="10">
        <v>50</v>
      </c>
    </row>
    <row r="85" spans="1:14" x14ac:dyDescent="0.2">
      <c r="A85">
        <v>42</v>
      </c>
      <c r="B85" s="5">
        <v>44974</v>
      </c>
      <c r="C85" s="5" t="str">
        <f>TEXT(Table2[[#This Row],[Date]], "MMM")</f>
        <v>Feb</v>
      </c>
      <c r="D85" s="8">
        <f>MONTH(Table2[[#This Row],[Date]])</f>
        <v>2</v>
      </c>
      <c r="E85" s="8">
        <f>YEAR(Table2[[#This Row],[Date]])</f>
        <v>2023</v>
      </c>
      <c r="F85" s="7" t="s">
        <v>55</v>
      </c>
      <c r="G85" s="7" t="s">
        <v>10</v>
      </c>
      <c r="H85" s="8">
        <v>22</v>
      </c>
      <c r="I85" s="8" t="str">
        <f>IF(Table2[[#This Row],[Age]] &lt; 19, "Teenagers", IF(Table2[[#This Row],[Age]] &lt;= 34, "Young Adults", IF(Table2[[#This Row],[Age]] &lt;= 45, "Adults", IF(Table2[[#This Row],[Age]] &lt;= 55, "Seniors", "Elderly")) ))</f>
        <v>Young Adults</v>
      </c>
      <c r="J85" s="7" t="s">
        <v>14</v>
      </c>
      <c r="K85" s="8">
        <v>3</v>
      </c>
      <c r="L85" s="8" t="str">
        <f>IF(Table2[[#This Row],[Quantity]]=1, "Single Order", IF(Table2[[#This Row],[Quantity]]=2, "Small Order", IF(Table2[[#This Row],[Quantity]]=3, "Medium Order", "Bulk Order")))</f>
        <v>Medium Order</v>
      </c>
      <c r="M85" s="10">
        <v>300</v>
      </c>
      <c r="N85" s="10">
        <v>900</v>
      </c>
    </row>
    <row r="86" spans="1:14" x14ac:dyDescent="0.2">
      <c r="A86">
        <v>44</v>
      </c>
      <c r="B86" s="5">
        <v>44976</v>
      </c>
      <c r="C86" s="5" t="str">
        <f>TEXT(Table2[[#This Row],[Date]], "MMM")</f>
        <v>Feb</v>
      </c>
      <c r="D86" s="8">
        <f>MONTH(Table2[[#This Row],[Date]])</f>
        <v>2</v>
      </c>
      <c r="E86" s="8">
        <f>YEAR(Table2[[#This Row],[Date]])</f>
        <v>2023</v>
      </c>
      <c r="F86" s="7" t="s">
        <v>57</v>
      </c>
      <c r="G86" s="7" t="s">
        <v>13</v>
      </c>
      <c r="H86" s="8">
        <v>22</v>
      </c>
      <c r="I86" s="8" t="str">
        <f>IF(Table2[[#This Row],[Age]] &lt; 19, "Teenagers", IF(Table2[[#This Row],[Age]] &lt;= 34, "Young Adults", IF(Table2[[#This Row],[Age]] &lt;= 45, "Adults", IF(Table2[[#This Row],[Age]] &lt;= 55, "Seniors", "Elderly")) ))</f>
        <v>Young Adults</v>
      </c>
      <c r="J86" s="7" t="s">
        <v>14</v>
      </c>
      <c r="K86" s="8">
        <v>1</v>
      </c>
      <c r="L86" s="8" t="str">
        <f>IF(Table2[[#This Row],[Quantity]]=1, "Single Order", IF(Table2[[#This Row],[Quantity]]=2, "Small Order", IF(Table2[[#This Row],[Quantity]]=3, "Medium Order", "Bulk Order")))</f>
        <v>Single Order</v>
      </c>
      <c r="M86" s="10">
        <v>25</v>
      </c>
      <c r="N86" s="10">
        <v>25</v>
      </c>
    </row>
    <row r="87" spans="1:14" x14ac:dyDescent="0.2">
      <c r="A87">
        <v>54</v>
      </c>
      <c r="B87" s="5">
        <v>44967</v>
      </c>
      <c r="C87" s="5" t="str">
        <f>TEXT(Table2[[#This Row],[Date]], "MMM")</f>
        <v>Feb</v>
      </c>
      <c r="D87" s="8">
        <f>MONTH(Table2[[#This Row],[Date]])</f>
        <v>2</v>
      </c>
      <c r="E87" s="8">
        <f>YEAR(Table2[[#This Row],[Date]])</f>
        <v>2023</v>
      </c>
      <c r="F87" s="7" t="s">
        <v>67</v>
      </c>
      <c r="G87" s="7" t="s">
        <v>13</v>
      </c>
      <c r="H87" s="8">
        <v>38</v>
      </c>
      <c r="I87" s="8" t="str">
        <f>IF(Table2[[#This Row],[Age]] &lt; 19, "Teenagers", IF(Table2[[#This Row],[Age]] &lt;= 34, "Young Adults", IF(Table2[[#This Row],[Age]] &lt;= 45, "Adults", IF(Table2[[#This Row],[Age]] &lt;= 55, "Seniors", "Elderly")) ))</f>
        <v>Adults</v>
      </c>
      <c r="J87" s="7" t="s">
        <v>16</v>
      </c>
      <c r="K87" s="8">
        <v>3</v>
      </c>
      <c r="L87" s="8" t="str">
        <f>IF(Table2[[#This Row],[Quantity]]=1, "Single Order", IF(Table2[[#This Row],[Quantity]]=2, "Small Order", IF(Table2[[#This Row],[Quantity]]=3, "Medium Order", "Bulk Order")))</f>
        <v>Medium Order</v>
      </c>
      <c r="M87" s="10">
        <v>500</v>
      </c>
      <c r="N87" s="10">
        <v>1500</v>
      </c>
    </row>
    <row r="88" spans="1:14" x14ac:dyDescent="0.2">
      <c r="A88">
        <v>63</v>
      </c>
      <c r="B88" s="5">
        <v>44962</v>
      </c>
      <c r="C88" s="5" t="str">
        <f>TEXT(Table2[[#This Row],[Date]], "MMM")</f>
        <v>Feb</v>
      </c>
      <c r="D88" s="8">
        <f>MONTH(Table2[[#This Row],[Date]])</f>
        <v>2</v>
      </c>
      <c r="E88" s="8">
        <f>YEAR(Table2[[#This Row],[Date]])</f>
        <v>2023</v>
      </c>
      <c r="F88" s="7" t="s">
        <v>76</v>
      </c>
      <c r="G88" s="7" t="s">
        <v>10</v>
      </c>
      <c r="H88" s="8">
        <v>57</v>
      </c>
      <c r="I88" s="8" t="str">
        <f>IF(Table2[[#This Row],[Age]] &lt; 19, "Teenagers", IF(Table2[[#This Row],[Age]] &lt;= 34, "Young Adults", IF(Table2[[#This Row],[Age]] &lt;= 45, "Adults", IF(Table2[[#This Row],[Age]] &lt;= 55, "Seniors", "Elderly")) ))</f>
        <v>Elderly</v>
      </c>
      <c r="J88" s="7" t="s">
        <v>16</v>
      </c>
      <c r="K88" s="8">
        <v>2</v>
      </c>
      <c r="L88" s="8" t="str">
        <f>IF(Table2[[#This Row],[Quantity]]=1, "Single Order", IF(Table2[[#This Row],[Quantity]]=2, "Small Order", IF(Table2[[#This Row],[Quantity]]=3, "Medium Order", "Bulk Order")))</f>
        <v>Small Order</v>
      </c>
      <c r="M88" s="10">
        <v>25</v>
      </c>
      <c r="N88" s="10">
        <v>50</v>
      </c>
    </row>
    <row r="89" spans="1:14" x14ac:dyDescent="0.2">
      <c r="A89">
        <v>68</v>
      </c>
      <c r="B89" s="5">
        <v>44967</v>
      </c>
      <c r="C89" s="5" t="str">
        <f>TEXT(Table2[[#This Row],[Date]], "MMM")</f>
        <v>Feb</v>
      </c>
      <c r="D89" s="8">
        <f>MONTH(Table2[[#This Row],[Date]])</f>
        <v>2</v>
      </c>
      <c r="E89" s="8">
        <f>YEAR(Table2[[#This Row],[Date]])</f>
        <v>2023</v>
      </c>
      <c r="F89" s="7" t="s">
        <v>81</v>
      </c>
      <c r="G89" s="7" t="s">
        <v>10</v>
      </c>
      <c r="H89" s="8">
        <v>25</v>
      </c>
      <c r="I89" s="8" t="str">
        <f>IF(Table2[[#This Row],[Age]] &lt; 19, "Teenagers", IF(Table2[[#This Row],[Age]] &lt;= 34, "Young Adults", IF(Table2[[#This Row],[Age]] &lt;= 45, "Adults", IF(Table2[[#This Row],[Age]] &lt;= 55, "Seniors", "Elderly")) ))</f>
        <v>Young Adults</v>
      </c>
      <c r="J89" s="7" t="s">
        <v>16</v>
      </c>
      <c r="K89" s="8">
        <v>1</v>
      </c>
      <c r="L89" s="8" t="str">
        <f>IF(Table2[[#This Row],[Quantity]]=1, "Single Order", IF(Table2[[#This Row],[Quantity]]=2, "Small Order", IF(Table2[[#This Row],[Quantity]]=3, "Medium Order", "Bulk Order")))</f>
        <v>Single Order</v>
      </c>
      <c r="M89" s="10">
        <v>300</v>
      </c>
      <c r="N89" s="10">
        <v>300</v>
      </c>
    </row>
    <row r="90" spans="1:14" x14ac:dyDescent="0.2">
      <c r="A90">
        <v>70</v>
      </c>
      <c r="B90" s="5">
        <v>44978</v>
      </c>
      <c r="C90" s="5" t="str">
        <f>TEXT(Table2[[#This Row],[Date]], "MMM")</f>
        <v>Feb</v>
      </c>
      <c r="D90" s="8">
        <f>MONTH(Table2[[#This Row],[Date]])</f>
        <v>2</v>
      </c>
      <c r="E90" s="8">
        <f>YEAR(Table2[[#This Row],[Date]])</f>
        <v>2023</v>
      </c>
      <c r="F90" s="7" t="s">
        <v>83</v>
      </c>
      <c r="G90" s="7" t="s">
        <v>13</v>
      </c>
      <c r="H90" s="8">
        <v>43</v>
      </c>
      <c r="I90" s="8" t="str">
        <f>IF(Table2[[#This Row],[Age]] &lt; 19, "Teenagers", IF(Table2[[#This Row],[Age]] &lt;= 34, "Young Adults", IF(Table2[[#This Row],[Age]] &lt;= 45, "Adults", IF(Table2[[#This Row],[Age]] &lt;= 55, "Seniors", "Elderly")) ))</f>
        <v>Adults</v>
      </c>
      <c r="J90" s="7" t="s">
        <v>14</v>
      </c>
      <c r="K90" s="8">
        <v>1</v>
      </c>
      <c r="L90" s="8" t="str">
        <f>IF(Table2[[#This Row],[Quantity]]=1, "Single Order", IF(Table2[[#This Row],[Quantity]]=2, "Small Order", IF(Table2[[#This Row],[Quantity]]=3, "Medium Order", "Bulk Order")))</f>
        <v>Single Order</v>
      </c>
      <c r="M90" s="10">
        <v>300</v>
      </c>
      <c r="N90" s="10">
        <v>300</v>
      </c>
    </row>
    <row r="91" spans="1:14" x14ac:dyDescent="0.2">
      <c r="A91">
        <v>85</v>
      </c>
      <c r="B91" s="5">
        <v>44963</v>
      </c>
      <c r="C91" s="5" t="str">
        <f>TEXT(Table2[[#This Row],[Date]], "MMM")</f>
        <v>Feb</v>
      </c>
      <c r="D91" s="8">
        <f>MONTH(Table2[[#This Row],[Date]])</f>
        <v>2</v>
      </c>
      <c r="E91" s="8">
        <f>YEAR(Table2[[#This Row],[Date]])</f>
        <v>2023</v>
      </c>
      <c r="F91" s="7" t="s">
        <v>98</v>
      </c>
      <c r="G91" s="7" t="s">
        <v>10</v>
      </c>
      <c r="H91" s="8">
        <v>31</v>
      </c>
      <c r="I91" s="8" t="str">
        <f>IF(Table2[[#This Row],[Age]] &lt; 19, "Teenagers", IF(Table2[[#This Row],[Age]] &lt;= 34, "Young Adults", IF(Table2[[#This Row],[Age]] &lt;= 45, "Adults", IF(Table2[[#This Row],[Age]] &lt;= 55, "Seniors", "Elderly")) ))</f>
        <v>Young Adults</v>
      </c>
      <c r="J91" s="7" t="s">
        <v>14</v>
      </c>
      <c r="K91" s="8">
        <v>3</v>
      </c>
      <c r="L91" s="8" t="str">
        <f>IF(Table2[[#This Row],[Quantity]]=1, "Single Order", IF(Table2[[#This Row],[Quantity]]=2, "Small Order", IF(Table2[[#This Row],[Quantity]]=3, "Medium Order", "Bulk Order")))</f>
        <v>Medium Order</v>
      </c>
      <c r="M91" s="10">
        <v>50</v>
      </c>
      <c r="N91" s="10">
        <v>150</v>
      </c>
    </row>
    <row r="92" spans="1:14" x14ac:dyDescent="0.2">
      <c r="A92">
        <v>107</v>
      </c>
      <c r="B92" s="5">
        <v>44960</v>
      </c>
      <c r="C92" s="5" t="str">
        <f>TEXT(Table2[[#This Row],[Date]], "MMM")</f>
        <v>Feb</v>
      </c>
      <c r="D92" s="8">
        <f>MONTH(Table2[[#This Row],[Date]])</f>
        <v>2</v>
      </c>
      <c r="E92" s="8">
        <f>YEAR(Table2[[#This Row],[Date]])</f>
        <v>2023</v>
      </c>
      <c r="F92" s="7" t="s">
        <v>120</v>
      </c>
      <c r="G92" s="7" t="s">
        <v>13</v>
      </c>
      <c r="H92" s="8">
        <v>21</v>
      </c>
      <c r="I92" s="8" t="str">
        <f>IF(Table2[[#This Row],[Age]] &lt; 19, "Teenagers", IF(Table2[[#This Row],[Age]] &lt;= 34, "Young Adults", IF(Table2[[#This Row],[Age]] &lt;= 45, "Adults", IF(Table2[[#This Row],[Age]] &lt;= 55, "Seniors", "Elderly")) ))</f>
        <v>Young Adults</v>
      </c>
      <c r="J92" s="7" t="s">
        <v>14</v>
      </c>
      <c r="K92" s="8">
        <v>4</v>
      </c>
      <c r="L92" s="8" t="str">
        <f>IF(Table2[[#This Row],[Quantity]]=1, "Single Order", IF(Table2[[#This Row],[Quantity]]=2, "Small Order", IF(Table2[[#This Row],[Quantity]]=3, "Medium Order", "Bulk Order")))</f>
        <v>Bulk Order</v>
      </c>
      <c r="M92" s="10">
        <v>300</v>
      </c>
      <c r="N92" s="10">
        <v>1200</v>
      </c>
    </row>
    <row r="93" spans="1:14" x14ac:dyDescent="0.2">
      <c r="A93">
        <v>133</v>
      </c>
      <c r="B93" s="5">
        <v>44973</v>
      </c>
      <c r="C93" s="5" t="str">
        <f>TEXT(Table2[[#This Row],[Date]], "MMM")</f>
        <v>Feb</v>
      </c>
      <c r="D93" s="8">
        <f>MONTH(Table2[[#This Row],[Date]])</f>
        <v>2</v>
      </c>
      <c r="E93" s="8">
        <f>YEAR(Table2[[#This Row],[Date]])</f>
        <v>2023</v>
      </c>
      <c r="F93" s="7" t="s">
        <v>146</v>
      </c>
      <c r="G93" s="7" t="s">
        <v>10</v>
      </c>
      <c r="H93" s="8">
        <v>20</v>
      </c>
      <c r="I93" s="8" t="str">
        <f>IF(Table2[[#This Row],[Age]] &lt; 19, "Teenagers", IF(Table2[[#This Row],[Age]] &lt;= 34, "Young Adults", IF(Table2[[#This Row],[Age]] &lt;= 45, "Adults", IF(Table2[[#This Row],[Age]] &lt;= 55, "Seniors", "Elderly")) ))</f>
        <v>Young Adults</v>
      </c>
      <c r="J93" s="7" t="s">
        <v>16</v>
      </c>
      <c r="K93" s="8">
        <v>3</v>
      </c>
      <c r="L93" s="8" t="str">
        <f>IF(Table2[[#This Row],[Quantity]]=1, "Single Order", IF(Table2[[#This Row],[Quantity]]=2, "Small Order", IF(Table2[[#This Row],[Quantity]]=3, "Medium Order", "Bulk Order")))</f>
        <v>Medium Order</v>
      </c>
      <c r="M93" s="10">
        <v>300</v>
      </c>
      <c r="N93" s="10">
        <v>900</v>
      </c>
    </row>
    <row r="94" spans="1:14" x14ac:dyDescent="0.2">
      <c r="A94">
        <v>135</v>
      </c>
      <c r="B94" s="5">
        <v>44983</v>
      </c>
      <c r="C94" s="5" t="str">
        <f>TEXT(Table2[[#This Row],[Date]], "MMM")</f>
        <v>Feb</v>
      </c>
      <c r="D94" s="8">
        <f>MONTH(Table2[[#This Row],[Date]])</f>
        <v>2</v>
      </c>
      <c r="E94" s="8">
        <f>YEAR(Table2[[#This Row],[Date]])</f>
        <v>2023</v>
      </c>
      <c r="F94" s="7" t="s">
        <v>148</v>
      </c>
      <c r="G94" s="7" t="s">
        <v>10</v>
      </c>
      <c r="H94" s="8">
        <v>20</v>
      </c>
      <c r="I94" s="8" t="str">
        <f>IF(Table2[[#This Row],[Age]] &lt; 19, "Teenagers", IF(Table2[[#This Row],[Age]] &lt;= 34, "Young Adults", IF(Table2[[#This Row],[Age]] &lt;= 45, "Adults", IF(Table2[[#This Row],[Age]] &lt;= 55, "Seniors", "Elderly")) ))</f>
        <v>Young Adults</v>
      </c>
      <c r="J94" s="7" t="s">
        <v>14</v>
      </c>
      <c r="K94" s="8">
        <v>2</v>
      </c>
      <c r="L94" s="8" t="str">
        <f>IF(Table2[[#This Row],[Quantity]]=1, "Single Order", IF(Table2[[#This Row],[Quantity]]=2, "Small Order", IF(Table2[[#This Row],[Quantity]]=3, "Medium Order", "Bulk Order")))</f>
        <v>Small Order</v>
      </c>
      <c r="M94" s="10">
        <v>25</v>
      </c>
      <c r="N94" s="10">
        <v>50</v>
      </c>
    </row>
    <row r="95" spans="1:14" x14ac:dyDescent="0.2">
      <c r="A95">
        <v>142</v>
      </c>
      <c r="B95" s="5">
        <v>44959</v>
      </c>
      <c r="C95" s="5" t="str">
        <f>TEXT(Table2[[#This Row],[Date]], "MMM")</f>
        <v>Feb</v>
      </c>
      <c r="D95" s="8">
        <f>MONTH(Table2[[#This Row],[Date]])</f>
        <v>2</v>
      </c>
      <c r="E95" s="8">
        <f>YEAR(Table2[[#This Row],[Date]])</f>
        <v>2023</v>
      </c>
      <c r="F95" s="7" t="s">
        <v>155</v>
      </c>
      <c r="G95" s="7" t="s">
        <v>10</v>
      </c>
      <c r="H95" s="8">
        <v>35</v>
      </c>
      <c r="I95" s="8" t="str">
        <f>IF(Table2[[#This Row],[Age]] &lt; 19, "Teenagers", IF(Table2[[#This Row],[Age]] &lt;= 34, "Young Adults", IF(Table2[[#This Row],[Age]] &lt;= 45, "Adults", IF(Table2[[#This Row],[Age]] &lt;= 55, "Seniors", "Elderly")) ))</f>
        <v>Adults</v>
      </c>
      <c r="J95" s="7" t="s">
        <v>16</v>
      </c>
      <c r="K95" s="8">
        <v>4</v>
      </c>
      <c r="L95" s="8" t="str">
        <f>IF(Table2[[#This Row],[Quantity]]=1, "Single Order", IF(Table2[[#This Row],[Quantity]]=2, "Small Order", IF(Table2[[#This Row],[Quantity]]=3, "Medium Order", "Bulk Order")))</f>
        <v>Bulk Order</v>
      </c>
      <c r="M95" s="10">
        <v>300</v>
      </c>
      <c r="N95" s="10">
        <v>1200</v>
      </c>
    </row>
    <row r="96" spans="1:14" x14ac:dyDescent="0.2">
      <c r="A96">
        <v>152</v>
      </c>
      <c r="B96" s="5">
        <v>44985</v>
      </c>
      <c r="C96" s="5" t="str">
        <f>TEXT(Table2[[#This Row],[Date]], "MMM")</f>
        <v>Feb</v>
      </c>
      <c r="D96" s="8">
        <f>MONTH(Table2[[#This Row],[Date]])</f>
        <v>2</v>
      </c>
      <c r="E96" s="8">
        <f>YEAR(Table2[[#This Row],[Date]])</f>
        <v>2023</v>
      </c>
      <c r="F96" s="7" t="s">
        <v>165</v>
      </c>
      <c r="G96" s="7" t="s">
        <v>10</v>
      </c>
      <c r="H96" s="8">
        <v>43</v>
      </c>
      <c r="I96" s="8" t="str">
        <f>IF(Table2[[#This Row],[Age]] &lt; 19, "Teenagers", IF(Table2[[#This Row],[Age]] &lt;= 34, "Young Adults", IF(Table2[[#This Row],[Age]] &lt;= 45, "Adults", IF(Table2[[#This Row],[Age]] &lt;= 55, "Seniors", "Elderly")) ))</f>
        <v>Adults</v>
      </c>
      <c r="J96" s="7" t="s">
        <v>16</v>
      </c>
      <c r="K96" s="8">
        <v>4</v>
      </c>
      <c r="L96" s="8" t="str">
        <f>IF(Table2[[#This Row],[Quantity]]=1, "Single Order", IF(Table2[[#This Row],[Quantity]]=2, "Small Order", IF(Table2[[#This Row],[Quantity]]=3, "Medium Order", "Bulk Order")))</f>
        <v>Bulk Order</v>
      </c>
      <c r="M96" s="10">
        <v>500</v>
      </c>
      <c r="N96" s="10">
        <v>2000</v>
      </c>
    </row>
    <row r="97" spans="1:14" x14ac:dyDescent="0.2">
      <c r="A97">
        <v>158</v>
      </c>
      <c r="B97" s="5">
        <v>44984</v>
      </c>
      <c r="C97" s="5" t="str">
        <f>TEXT(Table2[[#This Row],[Date]], "MMM")</f>
        <v>Feb</v>
      </c>
      <c r="D97" s="8">
        <f>MONTH(Table2[[#This Row],[Date]])</f>
        <v>2</v>
      </c>
      <c r="E97" s="8">
        <f>YEAR(Table2[[#This Row],[Date]])</f>
        <v>2023</v>
      </c>
      <c r="F97" s="7" t="s">
        <v>171</v>
      </c>
      <c r="G97" s="7" t="s">
        <v>13</v>
      </c>
      <c r="H97" s="8">
        <v>44</v>
      </c>
      <c r="I97" s="8" t="str">
        <f>IF(Table2[[#This Row],[Age]] &lt; 19, "Teenagers", IF(Table2[[#This Row],[Age]] &lt;= 34, "Young Adults", IF(Table2[[#This Row],[Age]] &lt;= 45, "Adults", IF(Table2[[#This Row],[Age]] &lt;= 55, "Seniors", "Elderly")) ))</f>
        <v>Adults</v>
      </c>
      <c r="J97" s="7" t="s">
        <v>16</v>
      </c>
      <c r="K97" s="8">
        <v>2</v>
      </c>
      <c r="L97" s="8" t="str">
        <f>IF(Table2[[#This Row],[Quantity]]=1, "Single Order", IF(Table2[[#This Row],[Quantity]]=2, "Small Order", IF(Table2[[#This Row],[Quantity]]=3, "Medium Order", "Bulk Order")))</f>
        <v>Small Order</v>
      </c>
      <c r="M97" s="10">
        <v>300</v>
      </c>
      <c r="N97" s="10">
        <v>600</v>
      </c>
    </row>
    <row r="98" spans="1:14" x14ac:dyDescent="0.2">
      <c r="A98">
        <v>168</v>
      </c>
      <c r="B98" s="5">
        <v>44981</v>
      </c>
      <c r="C98" s="5" t="str">
        <f>TEXT(Table2[[#This Row],[Date]], "MMM")</f>
        <v>Feb</v>
      </c>
      <c r="D98" s="8">
        <f>MONTH(Table2[[#This Row],[Date]])</f>
        <v>2</v>
      </c>
      <c r="E98" s="8">
        <f>YEAR(Table2[[#This Row],[Date]])</f>
        <v>2023</v>
      </c>
      <c r="F98" s="7" t="s">
        <v>181</v>
      </c>
      <c r="G98" s="7" t="s">
        <v>10</v>
      </c>
      <c r="H98" s="8">
        <v>53</v>
      </c>
      <c r="I98" s="8" t="str">
        <f>IF(Table2[[#This Row],[Age]] &lt; 19, "Teenagers", IF(Table2[[#This Row],[Age]] &lt;= 34, "Young Adults", IF(Table2[[#This Row],[Age]] &lt;= 45, "Adults", IF(Table2[[#This Row],[Age]] &lt;= 55, "Seniors", "Elderly")) ))</f>
        <v>Seniors</v>
      </c>
      <c r="J98" s="7" t="s">
        <v>14</v>
      </c>
      <c r="K98" s="8">
        <v>1</v>
      </c>
      <c r="L98" s="8" t="str">
        <f>IF(Table2[[#This Row],[Quantity]]=1, "Single Order", IF(Table2[[#This Row],[Quantity]]=2, "Small Order", IF(Table2[[#This Row],[Quantity]]=3, "Medium Order", "Bulk Order")))</f>
        <v>Single Order</v>
      </c>
      <c r="M98" s="10">
        <v>300</v>
      </c>
      <c r="N98" s="10">
        <v>300</v>
      </c>
    </row>
    <row r="99" spans="1:14" x14ac:dyDescent="0.2">
      <c r="A99">
        <v>185</v>
      </c>
      <c r="B99" s="5">
        <v>44984</v>
      </c>
      <c r="C99" s="5" t="str">
        <f>TEXT(Table2[[#This Row],[Date]], "MMM")</f>
        <v>Feb</v>
      </c>
      <c r="D99" s="8">
        <f>MONTH(Table2[[#This Row],[Date]])</f>
        <v>2</v>
      </c>
      <c r="E99" s="8">
        <f>YEAR(Table2[[#This Row],[Date]])</f>
        <v>2023</v>
      </c>
      <c r="F99" s="7" t="s">
        <v>198</v>
      </c>
      <c r="G99" s="7" t="s">
        <v>10</v>
      </c>
      <c r="H99" s="8">
        <v>24</v>
      </c>
      <c r="I99" s="8" t="str">
        <f>IF(Table2[[#This Row],[Age]] &lt; 19, "Teenagers", IF(Table2[[#This Row],[Age]] &lt;= 34, "Young Adults", IF(Table2[[#This Row],[Age]] &lt;= 45, "Adults", IF(Table2[[#This Row],[Age]] &lt;= 55, "Seniors", "Elderly")) ))</f>
        <v>Young Adults</v>
      </c>
      <c r="J99" s="7" t="s">
        <v>14</v>
      </c>
      <c r="K99" s="8">
        <v>1</v>
      </c>
      <c r="L99" s="8" t="str">
        <f>IF(Table2[[#This Row],[Quantity]]=1, "Single Order", IF(Table2[[#This Row],[Quantity]]=2, "Small Order", IF(Table2[[#This Row],[Quantity]]=3, "Medium Order", "Bulk Order")))</f>
        <v>Single Order</v>
      </c>
      <c r="M99" s="10">
        <v>25</v>
      </c>
      <c r="N99" s="10">
        <v>25</v>
      </c>
    </row>
    <row r="100" spans="1:14" x14ac:dyDescent="0.2">
      <c r="A100">
        <v>192</v>
      </c>
      <c r="B100" s="5">
        <v>44967</v>
      </c>
      <c r="C100" s="5" t="str">
        <f>TEXT(Table2[[#This Row],[Date]], "MMM")</f>
        <v>Feb</v>
      </c>
      <c r="D100" s="8">
        <f>MONTH(Table2[[#This Row],[Date]])</f>
        <v>2</v>
      </c>
      <c r="E100" s="8">
        <f>YEAR(Table2[[#This Row],[Date]])</f>
        <v>2023</v>
      </c>
      <c r="F100" s="7" t="s">
        <v>205</v>
      </c>
      <c r="G100" s="7" t="s">
        <v>10</v>
      </c>
      <c r="H100" s="8">
        <v>62</v>
      </c>
      <c r="I100" s="8" t="str">
        <f>IF(Table2[[#This Row],[Age]] &lt; 19, "Teenagers", IF(Table2[[#This Row],[Age]] &lt;= 34, "Young Adults", IF(Table2[[#This Row],[Age]] &lt;= 45, "Adults", IF(Table2[[#This Row],[Age]] &lt;= 55, "Seniors", "Elderly")) ))</f>
        <v>Elderly</v>
      </c>
      <c r="J100" s="7" t="s">
        <v>11</v>
      </c>
      <c r="K100" s="8">
        <v>2</v>
      </c>
      <c r="L100" s="8" t="str">
        <f>IF(Table2[[#This Row],[Quantity]]=1, "Single Order", IF(Table2[[#This Row],[Quantity]]=2, "Small Order", IF(Table2[[#This Row],[Quantity]]=3, "Medium Order", "Bulk Order")))</f>
        <v>Small Order</v>
      </c>
      <c r="M100" s="10">
        <v>50</v>
      </c>
      <c r="N100" s="10">
        <v>100</v>
      </c>
    </row>
    <row r="101" spans="1:14" x14ac:dyDescent="0.2">
      <c r="A101">
        <v>193</v>
      </c>
      <c r="B101" s="5">
        <v>44970</v>
      </c>
      <c r="C101" s="5" t="str">
        <f>TEXT(Table2[[#This Row],[Date]], "MMM")</f>
        <v>Feb</v>
      </c>
      <c r="D101" s="8">
        <f>MONTH(Table2[[#This Row],[Date]])</f>
        <v>2</v>
      </c>
      <c r="E101" s="8">
        <f>YEAR(Table2[[#This Row],[Date]])</f>
        <v>2023</v>
      </c>
      <c r="F101" s="7" t="s">
        <v>206</v>
      </c>
      <c r="G101" s="7" t="s">
        <v>10</v>
      </c>
      <c r="H101" s="8">
        <v>35</v>
      </c>
      <c r="I101" s="8" t="str">
        <f>IF(Table2[[#This Row],[Age]] &lt; 19, "Teenagers", IF(Table2[[#This Row],[Age]] &lt;= 34, "Young Adults", IF(Table2[[#This Row],[Age]] &lt;= 45, "Adults", IF(Table2[[#This Row],[Age]] &lt;= 55, "Seniors", "Elderly")) ))</f>
        <v>Adults</v>
      </c>
      <c r="J101" s="7" t="s">
        <v>11</v>
      </c>
      <c r="K101" s="8">
        <v>3</v>
      </c>
      <c r="L101" s="8" t="str">
        <f>IF(Table2[[#This Row],[Quantity]]=1, "Single Order", IF(Table2[[#This Row],[Quantity]]=2, "Small Order", IF(Table2[[#This Row],[Quantity]]=3, "Medium Order", "Bulk Order")))</f>
        <v>Medium Order</v>
      </c>
      <c r="M101" s="10">
        <v>500</v>
      </c>
      <c r="N101" s="10">
        <v>1500</v>
      </c>
    </row>
    <row r="102" spans="1:14" x14ac:dyDescent="0.2">
      <c r="A102">
        <v>195</v>
      </c>
      <c r="B102" s="5">
        <v>44962</v>
      </c>
      <c r="C102" s="5" t="str">
        <f>TEXT(Table2[[#This Row],[Date]], "MMM")</f>
        <v>Feb</v>
      </c>
      <c r="D102" s="8">
        <f>MONTH(Table2[[#This Row],[Date]])</f>
        <v>2</v>
      </c>
      <c r="E102" s="8">
        <f>YEAR(Table2[[#This Row],[Date]])</f>
        <v>2023</v>
      </c>
      <c r="F102" s="7" t="s">
        <v>208</v>
      </c>
      <c r="G102" s="7" t="s">
        <v>10</v>
      </c>
      <c r="H102" s="8">
        <v>52</v>
      </c>
      <c r="I102" s="8" t="str">
        <f>IF(Table2[[#This Row],[Age]] &lt; 19, "Teenagers", IF(Table2[[#This Row],[Age]] &lt;= 34, "Young Adults", IF(Table2[[#This Row],[Age]] &lt;= 45, "Adults", IF(Table2[[#This Row],[Age]] &lt;= 55, "Seniors", "Elderly")) ))</f>
        <v>Seniors</v>
      </c>
      <c r="J102" s="7" t="s">
        <v>14</v>
      </c>
      <c r="K102" s="8">
        <v>1</v>
      </c>
      <c r="L102" s="8" t="str">
        <f>IF(Table2[[#This Row],[Quantity]]=1, "Single Order", IF(Table2[[#This Row],[Quantity]]=2, "Small Order", IF(Table2[[#This Row],[Quantity]]=3, "Medium Order", "Bulk Order")))</f>
        <v>Single Order</v>
      </c>
      <c r="M102" s="10">
        <v>30</v>
      </c>
      <c r="N102" s="10">
        <v>30</v>
      </c>
    </row>
    <row r="103" spans="1:14" x14ac:dyDescent="0.2">
      <c r="A103">
        <v>223</v>
      </c>
      <c r="B103" s="5">
        <v>44959</v>
      </c>
      <c r="C103" s="5" t="str">
        <f>TEXT(Table2[[#This Row],[Date]], "MMM")</f>
        <v>Feb</v>
      </c>
      <c r="D103" s="8">
        <f>MONTH(Table2[[#This Row],[Date]])</f>
        <v>2</v>
      </c>
      <c r="E103" s="8">
        <f>YEAR(Table2[[#This Row],[Date]])</f>
        <v>2023</v>
      </c>
      <c r="F103" s="7" t="s">
        <v>236</v>
      </c>
      <c r="G103" s="7" t="s">
        <v>13</v>
      </c>
      <c r="H103" s="8">
        <v>64</v>
      </c>
      <c r="I103" s="8" t="str">
        <f>IF(Table2[[#This Row],[Age]] &lt; 19, "Teenagers", IF(Table2[[#This Row],[Age]] &lt;= 34, "Young Adults", IF(Table2[[#This Row],[Age]] &lt;= 45, "Adults", IF(Table2[[#This Row],[Age]] &lt;= 55, "Seniors", "Elderly")) ))</f>
        <v>Elderly</v>
      </c>
      <c r="J103" s="7" t="s">
        <v>14</v>
      </c>
      <c r="K103" s="8">
        <v>1</v>
      </c>
      <c r="L103" s="8" t="str">
        <f>IF(Table2[[#This Row],[Quantity]]=1, "Single Order", IF(Table2[[#This Row],[Quantity]]=2, "Small Order", IF(Table2[[#This Row],[Quantity]]=3, "Medium Order", "Bulk Order")))</f>
        <v>Single Order</v>
      </c>
      <c r="M103" s="10">
        <v>25</v>
      </c>
      <c r="N103" s="10">
        <v>25</v>
      </c>
    </row>
    <row r="104" spans="1:14" x14ac:dyDescent="0.2">
      <c r="A104">
        <v>232</v>
      </c>
      <c r="B104" s="5">
        <v>44963</v>
      </c>
      <c r="C104" s="5" t="str">
        <f>TEXT(Table2[[#This Row],[Date]], "MMM")</f>
        <v>Feb</v>
      </c>
      <c r="D104" s="8">
        <f>MONTH(Table2[[#This Row],[Date]])</f>
        <v>2</v>
      </c>
      <c r="E104" s="8">
        <f>YEAR(Table2[[#This Row],[Date]])</f>
        <v>2023</v>
      </c>
      <c r="F104" s="7" t="s">
        <v>245</v>
      </c>
      <c r="G104" s="7" t="s">
        <v>13</v>
      </c>
      <c r="H104" s="8">
        <v>43</v>
      </c>
      <c r="I104" s="8" t="str">
        <f>IF(Table2[[#This Row],[Age]] &lt; 19, "Teenagers", IF(Table2[[#This Row],[Age]] &lt;= 34, "Young Adults", IF(Table2[[#This Row],[Age]] &lt;= 45, "Adults", IF(Table2[[#This Row],[Age]] &lt;= 55, "Seniors", "Elderly")) ))</f>
        <v>Adults</v>
      </c>
      <c r="J104" s="7" t="s">
        <v>11</v>
      </c>
      <c r="K104" s="8">
        <v>1</v>
      </c>
      <c r="L104" s="8" t="str">
        <f>IF(Table2[[#This Row],[Quantity]]=1, "Single Order", IF(Table2[[#This Row],[Quantity]]=2, "Small Order", IF(Table2[[#This Row],[Quantity]]=3, "Medium Order", "Bulk Order")))</f>
        <v>Single Order</v>
      </c>
      <c r="M104" s="10">
        <v>25</v>
      </c>
      <c r="N104" s="10">
        <v>25</v>
      </c>
    </row>
    <row r="105" spans="1:14" x14ac:dyDescent="0.2">
      <c r="A105">
        <v>237</v>
      </c>
      <c r="B105" s="5">
        <v>44961</v>
      </c>
      <c r="C105" s="5" t="str">
        <f>TEXT(Table2[[#This Row],[Date]], "MMM")</f>
        <v>Feb</v>
      </c>
      <c r="D105" s="8">
        <f>MONTH(Table2[[#This Row],[Date]])</f>
        <v>2</v>
      </c>
      <c r="E105" s="8">
        <f>YEAR(Table2[[#This Row],[Date]])</f>
        <v>2023</v>
      </c>
      <c r="F105" s="7" t="s">
        <v>250</v>
      </c>
      <c r="G105" s="7" t="s">
        <v>13</v>
      </c>
      <c r="H105" s="8">
        <v>50</v>
      </c>
      <c r="I105" s="8" t="str">
        <f>IF(Table2[[#This Row],[Age]] &lt; 19, "Teenagers", IF(Table2[[#This Row],[Age]] &lt;= 34, "Young Adults", IF(Table2[[#This Row],[Age]] &lt;= 45, "Adults", IF(Table2[[#This Row],[Age]] &lt;= 55, "Seniors", "Elderly")) ))</f>
        <v>Seniors</v>
      </c>
      <c r="J105" s="7" t="s">
        <v>11</v>
      </c>
      <c r="K105" s="8">
        <v>2</v>
      </c>
      <c r="L105" s="8" t="str">
        <f>IF(Table2[[#This Row],[Quantity]]=1, "Single Order", IF(Table2[[#This Row],[Quantity]]=2, "Small Order", IF(Table2[[#This Row],[Quantity]]=3, "Medium Order", "Bulk Order")))</f>
        <v>Small Order</v>
      </c>
      <c r="M105" s="10">
        <v>500</v>
      </c>
      <c r="N105" s="10">
        <v>1000</v>
      </c>
    </row>
    <row r="106" spans="1:14" x14ac:dyDescent="0.2">
      <c r="A106">
        <v>240</v>
      </c>
      <c r="B106" s="5">
        <v>44963</v>
      </c>
      <c r="C106" s="5" t="str">
        <f>TEXT(Table2[[#This Row],[Date]], "MMM")</f>
        <v>Feb</v>
      </c>
      <c r="D106" s="8">
        <f>MONTH(Table2[[#This Row],[Date]])</f>
        <v>2</v>
      </c>
      <c r="E106" s="8">
        <f>YEAR(Table2[[#This Row],[Date]])</f>
        <v>2023</v>
      </c>
      <c r="F106" s="7" t="s">
        <v>253</v>
      </c>
      <c r="G106" s="7" t="s">
        <v>13</v>
      </c>
      <c r="H106" s="8">
        <v>23</v>
      </c>
      <c r="I106" s="8" t="str">
        <f>IF(Table2[[#This Row],[Age]] &lt; 19, "Teenagers", IF(Table2[[#This Row],[Age]] &lt;= 34, "Young Adults", IF(Table2[[#This Row],[Age]] &lt;= 45, "Adults", IF(Table2[[#This Row],[Age]] &lt;= 55, "Seniors", "Elderly")) ))</f>
        <v>Young Adults</v>
      </c>
      <c r="J106" s="7" t="s">
        <v>11</v>
      </c>
      <c r="K106" s="8">
        <v>1</v>
      </c>
      <c r="L106" s="8" t="str">
        <f>IF(Table2[[#This Row],[Quantity]]=1, "Single Order", IF(Table2[[#This Row],[Quantity]]=2, "Small Order", IF(Table2[[#This Row],[Quantity]]=3, "Medium Order", "Bulk Order")))</f>
        <v>Single Order</v>
      </c>
      <c r="M106" s="10">
        <v>300</v>
      </c>
      <c r="N106" s="10">
        <v>300</v>
      </c>
    </row>
    <row r="107" spans="1:14" x14ac:dyDescent="0.2">
      <c r="A107">
        <v>256</v>
      </c>
      <c r="B107" s="5">
        <v>44975</v>
      </c>
      <c r="C107" s="5" t="str">
        <f>TEXT(Table2[[#This Row],[Date]], "MMM")</f>
        <v>Feb</v>
      </c>
      <c r="D107" s="8">
        <f>MONTH(Table2[[#This Row],[Date]])</f>
        <v>2</v>
      </c>
      <c r="E107" s="8">
        <f>YEAR(Table2[[#This Row],[Date]])</f>
        <v>2023</v>
      </c>
      <c r="F107" s="7" t="s">
        <v>269</v>
      </c>
      <c r="G107" s="7" t="s">
        <v>10</v>
      </c>
      <c r="H107" s="8">
        <v>23</v>
      </c>
      <c r="I107" s="8" t="str">
        <f>IF(Table2[[#This Row],[Age]] &lt; 19, "Teenagers", IF(Table2[[#This Row],[Age]] &lt;= 34, "Young Adults", IF(Table2[[#This Row],[Age]] &lt;= 45, "Adults", IF(Table2[[#This Row],[Age]] &lt;= 55, "Seniors", "Elderly")) ))</f>
        <v>Young Adults</v>
      </c>
      <c r="J107" s="7" t="s">
        <v>14</v>
      </c>
      <c r="K107" s="8">
        <v>2</v>
      </c>
      <c r="L107" s="8" t="str">
        <f>IF(Table2[[#This Row],[Quantity]]=1, "Single Order", IF(Table2[[#This Row],[Quantity]]=2, "Small Order", IF(Table2[[#This Row],[Quantity]]=3, "Medium Order", "Bulk Order")))</f>
        <v>Small Order</v>
      </c>
      <c r="M107" s="10">
        <v>500</v>
      </c>
      <c r="N107" s="10">
        <v>1000</v>
      </c>
    </row>
    <row r="108" spans="1:14" x14ac:dyDescent="0.2">
      <c r="A108">
        <v>257</v>
      </c>
      <c r="B108" s="5">
        <v>44976</v>
      </c>
      <c r="C108" s="5" t="str">
        <f>TEXT(Table2[[#This Row],[Date]], "MMM")</f>
        <v>Feb</v>
      </c>
      <c r="D108" s="8">
        <f>MONTH(Table2[[#This Row],[Date]])</f>
        <v>2</v>
      </c>
      <c r="E108" s="8">
        <f>YEAR(Table2[[#This Row],[Date]])</f>
        <v>2023</v>
      </c>
      <c r="F108" s="7" t="s">
        <v>270</v>
      </c>
      <c r="G108" s="7" t="s">
        <v>10</v>
      </c>
      <c r="H108" s="8">
        <v>19</v>
      </c>
      <c r="I108" s="8" t="str">
        <f>IF(Table2[[#This Row],[Age]] &lt; 19, "Teenagers", IF(Table2[[#This Row],[Age]] &lt;= 34, "Young Adults", IF(Table2[[#This Row],[Age]] &lt;= 45, "Adults", IF(Table2[[#This Row],[Age]] &lt;= 55, "Seniors", "Elderly")) ))</f>
        <v>Young Adults</v>
      </c>
      <c r="J108" s="7" t="s">
        <v>11</v>
      </c>
      <c r="K108" s="8">
        <v>4</v>
      </c>
      <c r="L108" s="8" t="str">
        <f>IF(Table2[[#This Row],[Quantity]]=1, "Single Order", IF(Table2[[#This Row],[Quantity]]=2, "Small Order", IF(Table2[[#This Row],[Quantity]]=3, "Medium Order", "Bulk Order")))</f>
        <v>Bulk Order</v>
      </c>
      <c r="M108" s="10">
        <v>500</v>
      </c>
      <c r="N108" s="10">
        <v>2000</v>
      </c>
    </row>
    <row r="109" spans="1:14" x14ac:dyDescent="0.2">
      <c r="A109">
        <v>268</v>
      </c>
      <c r="B109" s="5">
        <v>44977</v>
      </c>
      <c r="C109" s="5" t="str">
        <f>TEXT(Table2[[#This Row],[Date]], "MMM")</f>
        <v>Feb</v>
      </c>
      <c r="D109" s="8">
        <f>MONTH(Table2[[#This Row],[Date]])</f>
        <v>2</v>
      </c>
      <c r="E109" s="8">
        <f>YEAR(Table2[[#This Row],[Date]])</f>
        <v>2023</v>
      </c>
      <c r="F109" s="7" t="s">
        <v>281</v>
      </c>
      <c r="G109" s="7" t="s">
        <v>13</v>
      </c>
      <c r="H109" s="8">
        <v>28</v>
      </c>
      <c r="I109" s="8" t="str">
        <f>IF(Table2[[#This Row],[Age]] &lt; 19, "Teenagers", IF(Table2[[#This Row],[Age]] &lt;= 34, "Young Adults", IF(Table2[[#This Row],[Age]] &lt;= 45, "Adults", IF(Table2[[#This Row],[Age]] &lt;= 55, "Seniors", "Elderly")) ))</f>
        <v>Young Adults</v>
      </c>
      <c r="J109" s="7" t="s">
        <v>16</v>
      </c>
      <c r="K109" s="8">
        <v>1</v>
      </c>
      <c r="L109" s="8" t="str">
        <f>IF(Table2[[#This Row],[Quantity]]=1, "Single Order", IF(Table2[[#This Row],[Quantity]]=2, "Small Order", IF(Table2[[#This Row],[Quantity]]=3, "Medium Order", "Bulk Order")))</f>
        <v>Single Order</v>
      </c>
      <c r="M109" s="10">
        <v>30</v>
      </c>
      <c r="N109" s="10">
        <v>30</v>
      </c>
    </row>
    <row r="110" spans="1:14" x14ac:dyDescent="0.2">
      <c r="A110">
        <v>269</v>
      </c>
      <c r="B110" s="5">
        <v>44958</v>
      </c>
      <c r="C110" s="5" t="str">
        <f>TEXT(Table2[[#This Row],[Date]], "MMM")</f>
        <v>Feb</v>
      </c>
      <c r="D110" s="8">
        <f>MONTH(Table2[[#This Row],[Date]])</f>
        <v>2</v>
      </c>
      <c r="E110" s="8">
        <f>YEAR(Table2[[#This Row],[Date]])</f>
        <v>2023</v>
      </c>
      <c r="F110" s="7" t="s">
        <v>282</v>
      </c>
      <c r="G110" s="7" t="s">
        <v>10</v>
      </c>
      <c r="H110" s="8">
        <v>25</v>
      </c>
      <c r="I110" s="8" t="str">
        <f>IF(Table2[[#This Row],[Age]] &lt; 19, "Teenagers", IF(Table2[[#This Row],[Age]] &lt;= 34, "Young Adults", IF(Table2[[#This Row],[Age]] &lt;= 45, "Adults", IF(Table2[[#This Row],[Age]] &lt;= 55, "Seniors", "Elderly")) ))</f>
        <v>Young Adults</v>
      </c>
      <c r="J110" s="7" t="s">
        <v>14</v>
      </c>
      <c r="K110" s="8">
        <v>4</v>
      </c>
      <c r="L110" s="8" t="str">
        <f>IF(Table2[[#This Row],[Quantity]]=1, "Single Order", IF(Table2[[#This Row],[Quantity]]=2, "Small Order", IF(Table2[[#This Row],[Quantity]]=3, "Medium Order", "Bulk Order")))</f>
        <v>Bulk Order</v>
      </c>
      <c r="M110" s="10">
        <v>500</v>
      </c>
      <c r="N110" s="10">
        <v>2000</v>
      </c>
    </row>
    <row r="111" spans="1:14" x14ac:dyDescent="0.2">
      <c r="A111">
        <v>272</v>
      </c>
      <c r="B111" s="5">
        <v>44982</v>
      </c>
      <c r="C111" s="5" t="str">
        <f>TEXT(Table2[[#This Row],[Date]], "MMM")</f>
        <v>Feb</v>
      </c>
      <c r="D111" s="8">
        <f>MONTH(Table2[[#This Row],[Date]])</f>
        <v>2</v>
      </c>
      <c r="E111" s="8">
        <f>YEAR(Table2[[#This Row],[Date]])</f>
        <v>2023</v>
      </c>
      <c r="F111" s="7" t="s">
        <v>285</v>
      </c>
      <c r="G111" s="7" t="s">
        <v>13</v>
      </c>
      <c r="H111" s="8">
        <v>61</v>
      </c>
      <c r="I111" s="8" t="str">
        <f>IF(Table2[[#This Row],[Age]] &lt; 19, "Teenagers", IF(Table2[[#This Row],[Age]] &lt;= 34, "Young Adults", IF(Table2[[#This Row],[Age]] &lt;= 45, "Adults", IF(Table2[[#This Row],[Age]] &lt;= 55, "Seniors", "Elderly")) ))</f>
        <v>Elderly</v>
      </c>
      <c r="J111" s="7" t="s">
        <v>16</v>
      </c>
      <c r="K111" s="8">
        <v>2</v>
      </c>
      <c r="L111" s="8" t="str">
        <f>IF(Table2[[#This Row],[Quantity]]=1, "Single Order", IF(Table2[[#This Row],[Quantity]]=2, "Small Order", IF(Table2[[#This Row],[Quantity]]=3, "Medium Order", "Bulk Order")))</f>
        <v>Small Order</v>
      </c>
      <c r="M111" s="10">
        <v>50</v>
      </c>
      <c r="N111" s="10">
        <v>100</v>
      </c>
    </row>
    <row r="112" spans="1:14" x14ac:dyDescent="0.2">
      <c r="A112">
        <v>284</v>
      </c>
      <c r="B112" s="5">
        <v>44965</v>
      </c>
      <c r="C112" s="5" t="str">
        <f>TEXT(Table2[[#This Row],[Date]], "MMM")</f>
        <v>Feb</v>
      </c>
      <c r="D112" s="8">
        <f>MONTH(Table2[[#This Row],[Date]])</f>
        <v>2</v>
      </c>
      <c r="E112" s="8">
        <f>YEAR(Table2[[#This Row],[Date]])</f>
        <v>2023</v>
      </c>
      <c r="F112" s="7" t="s">
        <v>297</v>
      </c>
      <c r="G112" s="7" t="s">
        <v>10</v>
      </c>
      <c r="H112" s="8">
        <v>43</v>
      </c>
      <c r="I112" s="8" t="str">
        <f>IF(Table2[[#This Row],[Age]] &lt; 19, "Teenagers", IF(Table2[[#This Row],[Age]] &lt;= 34, "Young Adults", IF(Table2[[#This Row],[Age]] &lt;= 45, "Adults", IF(Table2[[#This Row],[Age]] &lt;= 55, "Seniors", "Elderly")) ))</f>
        <v>Adults</v>
      </c>
      <c r="J112" s="7" t="s">
        <v>14</v>
      </c>
      <c r="K112" s="8">
        <v>4</v>
      </c>
      <c r="L112" s="8" t="str">
        <f>IF(Table2[[#This Row],[Quantity]]=1, "Single Order", IF(Table2[[#This Row],[Quantity]]=2, "Small Order", IF(Table2[[#This Row],[Quantity]]=3, "Medium Order", "Bulk Order")))</f>
        <v>Bulk Order</v>
      </c>
      <c r="M112" s="10">
        <v>50</v>
      </c>
      <c r="N112" s="10">
        <v>200</v>
      </c>
    </row>
    <row r="113" spans="1:14" x14ac:dyDescent="0.2">
      <c r="A113">
        <v>287</v>
      </c>
      <c r="B113" s="5">
        <v>44977</v>
      </c>
      <c r="C113" s="5" t="str">
        <f>TEXT(Table2[[#This Row],[Date]], "MMM")</f>
        <v>Feb</v>
      </c>
      <c r="D113" s="8">
        <f>MONTH(Table2[[#This Row],[Date]])</f>
        <v>2</v>
      </c>
      <c r="E113" s="8">
        <f>YEAR(Table2[[#This Row],[Date]])</f>
        <v>2023</v>
      </c>
      <c r="F113" s="7" t="s">
        <v>300</v>
      </c>
      <c r="G113" s="7" t="s">
        <v>10</v>
      </c>
      <c r="H113" s="8">
        <v>54</v>
      </c>
      <c r="I113" s="8" t="str">
        <f>IF(Table2[[#This Row],[Age]] &lt; 19, "Teenagers", IF(Table2[[#This Row],[Age]] &lt;= 34, "Young Adults", IF(Table2[[#This Row],[Age]] &lt;= 45, "Adults", IF(Table2[[#This Row],[Age]] &lt;= 55, "Seniors", "Elderly")) ))</f>
        <v>Seniors</v>
      </c>
      <c r="J113" s="7" t="s">
        <v>14</v>
      </c>
      <c r="K113" s="8">
        <v>4</v>
      </c>
      <c r="L113" s="8" t="str">
        <f>IF(Table2[[#This Row],[Quantity]]=1, "Single Order", IF(Table2[[#This Row],[Quantity]]=2, "Small Order", IF(Table2[[#This Row],[Quantity]]=3, "Medium Order", "Bulk Order")))</f>
        <v>Bulk Order</v>
      </c>
      <c r="M113" s="10">
        <v>25</v>
      </c>
      <c r="N113" s="10">
        <v>100</v>
      </c>
    </row>
    <row r="114" spans="1:14" x14ac:dyDescent="0.2">
      <c r="A114">
        <v>292</v>
      </c>
      <c r="B114" s="5">
        <v>44974</v>
      </c>
      <c r="C114" s="5" t="str">
        <f>TEXT(Table2[[#This Row],[Date]], "MMM")</f>
        <v>Feb</v>
      </c>
      <c r="D114" s="8">
        <f>MONTH(Table2[[#This Row],[Date]])</f>
        <v>2</v>
      </c>
      <c r="E114" s="8">
        <f>YEAR(Table2[[#This Row],[Date]])</f>
        <v>2023</v>
      </c>
      <c r="F114" s="7" t="s">
        <v>305</v>
      </c>
      <c r="G114" s="7" t="s">
        <v>10</v>
      </c>
      <c r="H114" s="8">
        <v>20</v>
      </c>
      <c r="I114" s="8" t="str">
        <f>IF(Table2[[#This Row],[Age]] &lt; 19, "Teenagers", IF(Table2[[#This Row],[Age]] &lt;= 34, "Young Adults", IF(Table2[[#This Row],[Age]] &lt;= 45, "Adults", IF(Table2[[#This Row],[Age]] &lt;= 55, "Seniors", "Elderly")) ))</f>
        <v>Young Adults</v>
      </c>
      <c r="J114" s="7" t="s">
        <v>11</v>
      </c>
      <c r="K114" s="8">
        <v>4</v>
      </c>
      <c r="L114" s="8" t="str">
        <f>IF(Table2[[#This Row],[Quantity]]=1, "Single Order", IF(Table2[[#This Row],[Quantity]]=2, "Small Order", IF(Table2[[#This Row],[Quantity]]=3, "Medium Order", "Bulk Order")))</f>
        <v>Bulk Order</v>
      </c>
      <c r="M114" s="10">
        <v>300</v>
      </c>
      <c r="N114" s="10">
        <v>1200</v>
      </c>
    </row>
    <row r="115" spans="1:14" x14ac:dyDescent="0.2">
      <c r="A115">
        <v>320</v>
      </c>
      <c r="B115" s="5">
        <v>44958</v>
      </c>
      <c r="C115" s="5" t="str">
        <f>TEXT(Table2[[#This Row],[Date]], "MMM")</f>
        <v>Feb</v>
      </c>
      <c r="D115" s="8">
        <f>MONTH(Table2[[#This Row],[Date]])</f>
        <v>2</v>
      </c>
      <c r="E115" s="8">
        <f>YEAR(Table2[[#This Row],[Date]])</f>
        <v>2023</v>
      </c>
      <c r="F115" s="7" t="s">
        <v>333</v>
      </c>
      <c r="G115" s="7" t="s">
        <v>13</v>
      </c>
      <c r="H115" s="8">
        <v>28</v>
      </c>
      <c r="I115" s="8" t="str">
        <f>IF(Table2[[#This Row],[Age]] &lt; 19, "Teenagers", IF(Table2[[#This Row],[Age]] &lt;= 34, "Young Adults", IF(Table2[[#This Row],[Age]] &lt;= 45, "Adults", IF(Table2[[#This Row],[Age]] &lt;= 55, "Seniors", "Elderly")) ))</f>
        <v>Young Adults</v>
      </c>
      <c r="J115" s="7" t="s">
        <v>16</v>
      </c>
      <c r="K115" s="8">
        <v>4</v>
      </c>
      <c r="L115" s="8" t="str">
        <f>IF(Table2[[#This Row],[Quantity]]=1, "Single Order", IF(Table2[[#This Row],[Quantity]]=2, "Small Order", IF(Table2[[#This Row],[Quantity]]=3, "Medium Order", "Bulk Order")))</f>
        <v>Bulk Order</v>
      </c>
      <c r="M115" s="10">
        <v>300</v>
      </c>
      <c r="N115" s="10">
        <v>1200</v>
      </c>
    </row>
    <row r="116" spans="1:14" x14ac:dyDescent="0.2">
      <c r="A116">
        <v>331</v>
      </c>
      <c r="B116" s="5">
        <v>44968</v>
      </c>
      <c r="C116" s="5" t="str">
        <f>TEXT(Table2[[#This Row],[Date]], "MMM")</f>
        <v>Feb</v>
      </c>
      <c r="D116" s="8">
        <f>MONTH(Table2[[#This Row],[Date]])</f>
        <v>2</v>
      </c>
      <c r="E116" s="8">
        <f>YEAR(Table2[[#This Row],[Date]])</f>
        <v>2023</v>
      </c>
      <c r="F116" s="7" t="s">
        <v>344</v>
      </c>
      <c r="G116" s="7" t="s">
        <v>10</v>
      </c>
      <c r="H116" s="8">
        <v>28</v>
      </c>
      <c r="I116" s="8" t="str">
        <f>IF(Table2[[#This Row],[Age]] &lt; 19, "Teenagers", IF(Table2[[#This Row],[Age]] &lt;= 34, "Young Adults", IF(Table2[[#This Row],[Age]] &lt;= 45, "Adults", IF(Table2[[#This Row],[Age]] &lt;= 55, "Seniors", "Elderly")) ))</f>
        <v>Young Adults</v>
      </c>
      <c r="J116" s="7" t="s">
        <v>16</v>
      </c>
      <c r="K116" s="8">
        <v>3</v>
      </c>
      <c r="L116" s="8" t="str">
        <f>IF(Table2[[#This Row],[Quantity]]=1, "Single Order", IF(Table2[[#This Row],[Quantity]]=2, "Small Order", IF(Table2[[#This Row],[Quantity]]=3, "Medium Order", "Bulk Order")))</f>
        <v>Medium Order</v>
      </c>
      <c r="M116" s="10">
        <v>30</v>
      </c>
      <c r="N116" s="10">
        <v>90</v>
      </c>
    </row>
    <row r="117" spans="1:14" x14ac:dyDescent="0.2">
      <c r="A117">
        <v>333</v>
      </c>
      <c r="B117" s="5">
        <v>44962</v>
      </c>
      <c r="C117" s="5" t="str">
        <f>TEXT(Table2[[#This Row],[Date]], "MMM")</f>
        <v>Feb</v>
      </c>
      <c r="D117" s="8">
        <f>MONTH(Table2[[#This Row],[Date]])</f>
        <v>2</v>
      </c>
      <c r="E117" s="8">
        <f>YEAR(Table2[[#This Row],[Date]])</f>
        <v>2023</v>
      </c>
      <c r="F117" s="7" t="s">
        <v>346</v>
      </c>
      <c r="G117" s="7" t="s">
        <v>13</v>
      </c>
      <c r="H117" s="8">
        <v>54</v>
      </c>
      <c r="I117" s="8" t="str">
        <f>IF(Table2[[#This Row],[Age]] &lt; 19, "Teenagers", IF(Table2[[#This Row],[Age]] &lt;= 34, "Young Adults", IF(Table2[[#This Row],[Age]] &lt;= 45, "Adults", IF(Table2[[#This Row],[Age]] &lt;= 55, "Seniors", "Elderly")) ))</f>
        <v>Seniors</v>
      </c>
      <c r="J117" s="7" t="s">
        <v>16</v>
      </c>
      <c r="K117" s="8">
        <v>4</v>
      </c>
      <c r="L117" s="8" t="str">
        <f>IF(Table2[[#This Row],[Quantity]]=1, "Single Order", IF(Table2[[#This Row],[Quantity]]=2, "Small Order", IF(Table2[[#This Row],[Quantity]]=3, "Medium Order", "Bulk Order")))</f>
        <v>Bulk Order</v>
      </c>
      <c r="M117" s="10">
        <v>300</v>
      </c>
      <c r="N117" s="10">
        <v>1200</v>
      </c>
    </row>
    <row r="118" spans="1:14" x14ac:dyDescent="0.2">
      <c r="A118">
        <v>335</v>
      </c>
      <c r="B118" s="5">
        <v>44961</v>
      </c>
      <c r="C118" s="5" t="str">
        <f>TEXT(Table2[[#This Row],[Date]], "MMM")</f>
        <v>Feb</v>
      </c>
      <c r="D118" s="8">
        <f>MONTH(Table2[[#This Row],[Date]])</f>
        <v>2</v>
      </c>
      <c r="E118" s="8">
        <f>YEAR(Table2[[#This Row],[Date]])</f>
        <v>2023</v>
      </c>
      <c r="F118" s="7" t="s">
        <v>348</v>
      </c>
      <c r="G118" s="7" t="s">
        <v>13</v>
      </c>
      <c r="H118" s="8">
        <v>47</v>
      </c>
      <c r="I118" s="8" t="str">
        <f>IF(Table2[[#This Row],[Age]] &lt; 19, "Teenagers", IF(Table2[[#This Row],[Age]] &lt;= 34, "Young Adults", IF(Table2[[#This Row],[Age]] &lt;= 45, "Adults", IF(Table2[[#This Row],[Age]] &lt;= 55, "Seniors", "Elderly")) ))</f>
        <v>Seniors</v>
      </c>
      <c r="J118" s="7" t="s">
        <v>11</v>
      </c>
      <c r="K118" s="8">
        <v>4</v>
      </c>
      <c r="L118" s="8" t="str">
        <f>IF(Table2[[#This Row],[Quantity]]=1, "Single Order", IF(Table2[[#This Row],[Quantity]]=2, "Small Order", IF(Table2[[#This Row],[Quantity]]=3, "Medium Order", "Bulk Order")))</f>
        <v>Bulk Order</v>
      </c>
      <c r="M118" s="10">
        <v>30</v>
      </c>
      <c r="N118" s="10">
        <v>120</v>
      </c>
    </row>
    <row r="119" spans="1:14" x14ac:dyDescent="0.2">
      <c r="A119">
        <v>346</v>
      </c>
      <c r="B119" s="5">
        <v>44968</v>
      </c>
      <c r="C119" s="5" t="str">
        <f>TEXT(Table2[[#This Row],[Date]], "MMM")</f>
        <v>Feb</v>
      </c>
      <c r="D119" s="8">
        <f>MONTH(Table2[[#This Row],[Date]])</f>
        <v>2</v>
      </c>
      <c r="E119" s="8">
        <f>YEAR(Table2[[#This Row],[Date]])</f>
        <v>2023</v>
      </c>
      <c r="F119" s="7" t="s">
        <v>359</v>
      </c>
      <c r="G119" s="7" t="s">
        <v>10</v>
      </c>
      <c r="H119" s="8">
        <v>59</v>
      </c>
      <c r="I119" s="8" t="str">
        <f>IF(Table2[[#This Row],[Age]] &lt; 19, "Teenagers", IF(Table2[[#This Row],[Age]] &lt;= 34, "Young Adults", IF(Table2[[#This Row],[Age]] &lt;= 45, "Adults", IF(Table2[[#This Row],[Age]] &lt;= 55, "Seniors", "Elderly")) ))</f>
        <v>Elderly</v>
      </c>
      <c r="J119" s="7" t="s">
        <v>14</v>
      </c>
      <c r="K119" s="8">
        <v>2</v>
      </c>
      <c r="L119" s="8" t="str">
        <f>IF(Table2[[#This Row],[Quantity]]=1, "Single Order", IF(Table2[[#This Row],[Quantity]]=2, "Small Order", IF(Table2[[#This Row],[Quantity]]=3, "Medium Order", "Bulk Order")))</f>
        <v>Small Order</v>
      </c>
      <c r="M119" s="10">
        <v>500</v>
      </c>
      <c r="N119" s="10">
        <v>1000</v>
      </c>
    </row>
    <row r="120" spans="1:14" x14ac:dyDescent="0.2">
      <c r="A120">
        <v>366</v>
      </c>
      <c r="B120" s="5">
        <v>44964</v>
      </c>
      <c r="C120" s="5" t="str">
        <f>TEXT(Table2[[#This Row],[Date]], "MMM")</f>
        <v>Feb</v>
      </c>
      <c r="D120" s="8">
        <f>MONTH(Table2[[#This Row],[Date]])</f>
        <v>2</v>
      </c>
      <c r="E120" s="8">
        <f>YEAR(Table2[[#This Row],[Date]])</f>
        <v>2023</v>
      </c>
      <c r="F120" s="7" t="s">
        <v>379</v>
      </c>
      <c r="G120" s="7" t="s">
        <v>10</v>
      </c>
      <c r="H120" s="8">
        <v>57</v>
      </c>
      <c r="I120" s="8" t="str">
        <f>IF(Table2[[#This Row],[Age]] &lt; 19, "Teenagers", IF(Table2[[#This Row],[Age]] &lt;= 34, "Young Adults", IF(Table2[[#This Row],[Age]] &lt;= 45, "Adults", IF(Table2[[#This Row],[Age]] &lt;= 55, "Seniors", "Elderly")) ))</f>
        <v>Elderly</v>
      </c>
      <c r="J120" s="7" t="s">
        <v>14</v>
      </c>
      <c r="K120" s="8">
        <v>2</v>
      </c>
      <c r="L120" s="8" t="str">
        <f>IF(Table2[[#This Row],[Quantity]]=1, "Single Order", IF(Table2[[#This Row],[Quantity]]=2, "Small Order", IF(Table2[[#This Row],[Quantity]]=3, "Medium Order", "Bulk Order")))</f>
        <v>Small Order</v>
      </c>
      <c r="M120" s="10">
        <v>50</v>
      </c>
      <c r="N120" s="10">
        <v>100</v>
      </c>
    </row>
    <row r="121" spans="1:14" x14ac:dyDescent="0.2">
      <c r="A121">
        <v>371</v>
      </c>
      <c r="B121" s="5">
        <v>44978</v>
      </c>
      <c r="C121" s="5" t="str">
        <f>TEXT(Table2[[#This Row],[Date]], "MMM")</f>
        <v>Feb</v>
      </c>
      <c r="D121" s="8">
        <f>MONTH(Table2[[#This Row],[Date]])</f>
        <v>2</v>
      </c>
      <c r="E121" s="8">
        <f>YEAR(Table2[[#This Row],[Date]])</f>
        <v>2023</v>
      </c>
      <c r="F121" s="7" t="s">
        <v>384</v>
      </c>
      <c r="G121" s="7" t="s">
        <v>13</v>
      </c>
      <c r="H121" s="8">
        <v>20</v>
      </c>
      <c r="I121" s="8" t="str">
        <f>IF(Table2[[#This Row],[Age]] &lt; 19, "Teenagers", IF(Table2[[#This Row],[Age]] &lt;= 34, "Young Adults", IF(Table2[[#This Row],[Age]] &lt;= 45, "Adults", IF(Table2[[#This Row],[Age]] &lt;= 55, "Seniors", "Elderly")) ))</f>
        <v>Young Adults</v>
      </c>
      <c r="J121" s="7" t="s">
        <v>11</v>
      </c>
      <c r="K121" s="8">
        <v>1</v>
      </c>
      <c r="L121" s="8" t="str">
        <f>IF(Table2[[#This Row],[Quantity]]=1, "Single Order", IF(Table2[[#This Row],[Quantity]]=2, "Small Order", IF(Table2[[#This Row],[Quantity]]=3, "Medium Order", "Bulk Order")))</f>
        <v>Single Order</v>
      </c>
      <c r="M121" s="10">
        <v>25</v>
      </c>
      <c r="N121" s="10">
        <v>25</v>
      </c>
    </row>
    <row r="122" spans="1:14" x14ac:dyDescent="0.2">
      <c r="A122">
        <v>372</v>
      </c>
      <c r="B122" s="5">
        <v>44964</v>
      </c>
      <c r="C122" s="5" t="str">
        <f>TEXT(Table2[[#This Row],[Date]], "MMM")</f>
        <v>Feb</v>
      </c>
      <c r="D122" s="8">
        <f>MONTH(Table2[[#This Row],[Date]])</f>
        <v>2</v>
      </c>
      <c r="E122" s="8">
        <f>YEAR(Table2[[#This Row],[Date]])</f>
        <v>2023</v>
      </c>
      <c r="F122" s="7" t="s">
        <v>385</v>
      </c>
      <c r="G122" s="7" t="s">
        <v>13</v>
      </c>
      <c r="H122" s="8">
        <v>24</v>
      </c>
      <c r="I122" s="8" t="str">
        <f>IF(Table2[[#This Row],[Age]] &lt; 19, "Teenagers", IF(Table2[[#This Row],[Age]] &lt;= 34, "Young Adults", IF(Table2[[#This Row],[Age]] &lt;= 45, "Adults", IF(Table2[[#This Row],[Age]] &lt;= 55, "Seniors", "Elderly")) ))</f>
        <v>Young Adults</v>
      </c>
      <c r="J122" s="7" t="s">
        <v>11</v>
      </c>
      <c r="K122" s="8">
        <v>3</v>
      </c>
      <c r="L122" s="8" t="str">
        <f>IF(Table2[[#This Row],[Quantity]]=1, "Single Order", IF(Table2[[#This Row],[Quantity]]=2, "Small Order", IF(Table2[[#This Row],[Quantity]]=3, "Medium Order", "Bulk Order")))</f>
        <v>Medium Order</v>
      </c>
      <c r="M122" s="10">
        <v>500</v>
      </c>
      <c r="N122" s="10">
        <v>1500</v>
      </c>
    </row>
    <row r="123" spans="1:14" x14ac:dyDescent="0.2">
      <c r="A123">
        <v>379</v>
      </c>
      <c r="B123" s="5">
        <v>44962</v>
      </c>
      <c r="C123" s="5" t="str">
        <f>TEXT(Table2[[#This Row],[Date]], "MMM")</f>
        <v>Feb</v>
      </c>
      <c r="D123" s="8">
        <f>MONTH(Table2[[#This Row],[Date]])</f>
        <v>2</v>
      </c>
      <c r="E123" s="8">
        <f>YEAR(Table2[[#This Row],[Date]])</f>
        <v>2023</v>
      </c>
      <c r="F123" s="7" t="s">
        <v>392</v>
      </c>
      <c r="G123" s="7" t="s">
        <v>13</v>
      </c>
      <c r="H123" s="8">
        <v>47</v>
      </c>
      <c r="I123" s="8" t="str">
        <f>IF(Table2[[#This Row],[Age]] &lt; 19, "Teenagers", IF(Table2[[#This Row],[Age]] &lt;= 34, "Young Adults", IF(Table2[[#This Row],[Age]] &lt;= 45, "Adults", IF(Table2[[#This Row],[Age]] &lt;= 55, "Seniors", "Elderly")) ))</f>
        <v>Seniors</v>
      </c>
      <c r="J123" s="7" t="s">
        <v>14</v>
      </c>
      <c r="K123" s="8">
        <v>1</v>
      </c>
      <c r="L123" s="8" t="str">
        <f>IF(Table2[[#This Row],[Quantity]]=1, "Single Order", IF(Table2[[#This Row],[Quantity]]=2, "Small Order", IF(Table2[[#This Row],[Quantity]]=3, "Medium Order", "Bulk Order")))</f>
        <v>Single Order</v>
      </c>
      <c r="M123" s="10">
        <v>25</v>
      </c>
      <c r="N123" s="10">
        <v>25</v>
      </c>
    </row>
    <row r="124" spans="1:14" x14ac:dyDescent="0.2">
      <c r="A124">
        <v>396</v>
      </c>
      <c r="B124" s="5">
        <v>44980</v>
      </c>
      <c r="C124" s="5" t="str">
        <f>TEXT(Table2[[#This Row],[Date]], "MMM")</f>
        <v>Feb</v>
      </c>
      <c r="D124" s="8">
        <f>MONTH(Table2[[#This Row],[Date]])</f>
        <v>2</v>
      </c>
      <c r="E124" s="8">
        <f>YEAR(Table2[[#This Row],[Date]])</f>
        <v>2023</v>
      </c>
      <c r="F124" s="7" t="s">
        <v>409</v>
      </c>
      <c r="G124" s="7" t="s">
        <v>13</v>
      </c>
      <c r="H124" s="8">
        <v>55</v>
      </c>
      <c r="I124" s="8" t="str">
        <f>IF(Table2[[#This Row],[Age]] &lt; 19, "Teenagers", IF(Table2[[#This Row],[Age]] &lt;= 34, "Young Adults", IF(Table2[[#This Row],[Age]] &lt;= 45, "Adults", IF(Table2[[#This Row],[Age]] &lt;= 55, "Seniors", "Elderly")) ))</f>
        <v>Seniors</v>
      </c>
      <c r="J124" s="7" t="s">
        <v>11</v>
      </c>
      <c r="K124" s="8">
        <v>1</v>
      </c>
      <c r="L124" s="8" t="str">
        <f>IF(Table2[[#This Row],[Quantity]]=1, "Single Order", IF(Table2[[#This Row],[Quantity]]=2, "Small Order", IF(Table2[[#This Row],[Quantity]]=3, "Medium Order", "Bulk Order")))</f>
        <v>Single Order</v>
      </c>
      <c r="M124" s="10">
        <v>30</v>
      </c>
      <c r="N124" s="10">
        <v>30</v>
      </c>
    </row>
    <row r="125" spans="1:14" x14ac:dyDescent="0.2">
      <c r="A125">
        <v>400</v>
      </c>
      <c r="B125" s="5">
        <v>44981</v>
      </c>
      <c r="C125" s="5" t="str">
        <f>TEXT(Table2[[#This Row],[Date]], "MMM")</f>
        <v>Feb</v>
      </c>
      <c r="D125" s="8">
        <f>MONTH(Table2[[#This Row],[Date]])</f>
        <v>2</v>
      </c>
      <c r="E125" s="8">
        <f>YEAR(Table2[[#This Row],[Date]])</f>
        <v>2023</v>
      </c>
      <c r="F125" s="7" t="s">
        <v>413</v>
      </c>
      <c r="G125" s="7" t="s">
        <v>10</v>
      </c>
      <c r="H125" s="8">
        <v>53</v>
      </c>
      <c r="I125" s="8" t="str">
        <f>IF(Table2[[#This Row],[Age]] &lt; 19, "Teenagers", IF(Table2[[#This Row],[Age]] &lt;= 34, "Young Adults", IF(Table2[[#This Row],[Age]] &lt;= 45, "Adults", IF(Table2[[#This Row],[Age]] &lt;= 55, "Seniors", "Elderly")) ))</f>
        <v>Seniors</v>
      </c>
      <c r="J125" s="7" t="s">
        <v>14</v>
      </c>
      <c r="K125" s="8">
        <v>4</v>
      </c>
      <c r="L125" s="8" t="str">
        <f>IF(Table2[[#This Row],[Quantity]]=1, "Single Order", IF(Table2[[#This Row],[Quantity]]=2, "Small Order", IF(Table2[[#This Row],[Quantity]]=3, "Medium Order", "Bulk Order")))</f>
        <v>Bulk Order</v>
      </c>
      <c r="M125" s="10">
        <v>50</v>
      </c>
      <c r="N125" s="10">
        <v>200</v>
      </c>
    </row>
    <row r="126" spans="1:14" x14ac:dyDescent="0.2">
      <c r="A126">
        <v>416</v>
      </c>
      <c r="B126" s="5">
        <v>44974</v>
      </c>
      <c r="C126" s="5" t="str">
        <f>TEXT(Table2[[#This Row],[Date]], "MMM")</f>
        <v>Feb</v>
      </c>
      <c r="D126" s="8">
        <f>MONTH(Table2[[#This Row],[Date]])</f>
        <v>2</v>
      </c>
      <c r="E126" s="8">
        <f>YEAR(Table2[[#This Row],[Date]])</f>
        <v>2023</v>
      </c>
      <c r="F126" s="7" t="s">
        <v>429</v>
      </c>
      <c r="G126" s="7" t="s">
        <v>10</v>
      </c>
      <c r="H126" s="8">
        <v>53</v>
      </c>
      <c r="I126" s="8" t="str">
        <f>IF(Table2[[#This Row],[Age]] &lt; 19, "Teenagers", IF(Table2[[#This Row],[Age]] &lt;= 34, "Young Adults", IF(Table2[[#This Row],[Age]] &lt;= 45, "Adults", IF(Table2[[#This Row],[Age]] &lt;= 55, "Seniors", "Elderly")) ))</f>
        <v>Seniors</v>
      </c>
      <c r="J126" s="7" t="s">
        <v>16</v>
      </c>
      <c r="K126" s="8">
        <v>4</v>
      </c>
      <c r="L126" s="8" t="str">
        <f>IF(Table2[[#This Row],[Quantity]]=1, "Single Order", IF(Table2[[#This Row],[Quantity]]=2, "Small Order", IF(Table2[[#This Row],[Quantity]]=3, "Medium Order", "Bulk Order")))</f>
        <v>Bulk Order</v>
      </c>
      <c r="M126" s="10">
        <v>500</v>
      </c>
      <c r="N126" s="10">
        <v>2000</v>
      </c>
    </row>
    <row r="127" spans="1:14" x14ac:dyDescent="0.2">
      <c r="A127">
        <v>433</v>
      </c>
      <c r="B127" s="5">
        <v>44984</v>
      </c>
      <c r="C127" s="5" t="str">
        <f>TEXT(Table2[[#This Row],[Date]], "MMM")</f>
        <v>Feb</v>
      </c>
      <c r="D127" s="8">
        <f>MONTH(Table2[[#This Row],[Date]])</f>
        <v>2</v>
      </c>
      <c r="E127" s="8">
        <f>YEAR(Table2[[#This Row],[Date]])</f>
        <v>2023</v>
      </c>
      <c r="F127" s="7" t="s">
        <v>446</v>
      </c>
      <c r="G127" s="7" t="s">
        <v>10</v>
      </c>
      <c r="H127" s="8">
        <v>29</v>
      </c>
      <c r="I127" s="8" t="str">
        <f>IF(Table2[[#This Row],[Age]] &lt; 19, "Teenagers", IF(Table2[[#This Row],[Age]] &lt;= 34, "Young Adults", IF(Table2[[#This Row],[Age]] &lt;= 45, "Adults", IF(Table2[[#This Row],[Age]] &lt;= 55, "Seniors", "Elderly")) ))</f>
        <v>Young Adults</v>
      </c>
      <c r="J127" s="7" t="s">
        <v>11</v>
      </c>
      <c r="K127" s="8">
        <v>4</v>
      </c>
      <c r="L127" s="8" t="str">
        <f>IF(Table2[[#This Row],[Quantity]]=1, "Single Order", IF(Table2[[#This Row],[Quantity]]=2, "Small Order", IF(Table2[[#This Row],[Quantity]]=3, "Medium Order", "Bulk Order")))</f>
        <v>Bulk Order</v>
      </c>
      <c r="M127" s="10">
        <v>50</v>
      </c>
      <c r="N127" s="10">
        <v>200</v>
      </c>
    </row>
    <row r="128" spans="1:14" x14ac:dyDescent="0.2">
      <c r="A128">
        <v>434</v>
      </c>
      <c r="B128" s="5">
        <v>44965</v>
      </c>
      <c r="C128" s="5" t="str">
        <f>TEXT(Table2[[#This Row],[Date]], "MMM")</f>
        <v>Feb</v>
      </c>
      <c r="D128" s="8">
        <f>MONTH(Table2[[#This Row],[Date]])</f>
        <v>2</v>
      </c>
      <c r="E128" s="8">
        <f>YEAR(Table2[[#This Row],[Date]])</f>
        <v>2023</v>
      </c>
      <c r="F128" s="7" t="s">
        <v>447</v>
      </c>
      <c r="G128" s="7" t="s">
        <v>13</v>
      </c>
      <c r="H128" s="8">
        <v>43</v>
      </c>
      <c r="I128" s="8" t="str">
        <f>IF(Table2[[#This Row],[Age]] &lt; 19, "Teenagers", IF(Table2[[#This Row],[Age]] &lt;= 34, "Young Adults", IF(Table2[[#This Row],[Age]] &lt;= 45, "Adults", IF(Table2[[#This Row],[Age]] &lt;= 55, "Seniors", "Elderly")) ))</f>
        <v>Adults</v>
      </c>
      <c r="J128" s="7" t="s">
        <v>16</v>
      </c>
      <c r="K128" s="8">
        <v>2</v>
      </c>
      <c r="L128" s="8" t="str">
        <f>IF(Table2[[#This Row],[Quantity]]=1, "Single Order", IF(Table2[[#This Row],[Quantity]]=2, "Small Order", IF(Table2[[#This Row],[Quantity]]=3, "Medium Order", "Bulk Order")))</f>
        <v>Small Order</v>
      </c>
      <c r="M128" s="10">
        <v>25</v>
      </c>
      <c r="N128" s="10">
        <v>50</v>
      </c>
    </row>
    <row r="129" spans="1:14" x14ac:dyDescent="0.2">
      <c r="A129">
        <v>454</v>
      </c>
      <c r="B129" s="5">
        <v>44979</v>
      </c>
      <c r="C129" s="5" t="str">
        <f>TEXT(Table2[[#This Row],[Date]], "MMM")</f>
        <v>Feb</v>
      </c>
      <c r="D129" s="8">
        <f>MONTH(Table2[[#This Row],[Date]])</f>
        <v>2</v>
      </c>
      <c r="E129" s="8">
        <f>YEAR(Table2[[#This Row],[Date]])</f>
        <v>2023</v>
      </c>
      <c r="F129" s="7" t="s">
        <v>467</v>
      </c>
      <c r="G129" s="7" t="s">
        <v>13</v>
      </c>
      <c r="H129" s="8">
        <v>46</v>
      </c>
      <c r="I129" s="8" t="str">
        <f>IF(Table2[[#This Row],[Age]] &lt; 19, "Teenagers", IF(Table2[[#This Row],[Age]] &lt;= 34, "Young Adults", IF(Table2[[#This Row],[Age]] &lt;= 45, "Adults", IF(Table2[[#This Row],[Age]] &lt;= 55, "Seniors", "Elderly")) ))</f>
        <v>Seniors</v>
      </c>
      <c r="J129" s="7" t="s">
        <v>11</v>
      </c>
      <c r="K129" s="8">
        <v>1</v>
      </c>
      <c r="L129" s="8" t="str">
        <f>IF(Table2[[#This Row],[Quantity]]=1, "Single Order", IF(Table2[[#This Row],[Quantity]]=2, "Small Order", IF(Table2[[#This Row],[Quantity]]=3, "Medium Order", "Bulk Order")))</f>
        <v>Single Order</v>
      </c>
      <c r="M129" s="10">
        <v>25</v>
      </c>
      <c r="N129" s="10">
        <v>25</v>
      </c>
    </row>
    <row r="130" spans="1:14" x14ac:dyDescent="0.2">
      <c r="A130">
        <v>473</v>
      </c>
      <c r="B130" s="5">
        <v>44982</v>
      </c>
      <c r="C130" s="5" t="str">
        <f>TEXT(Table2[[#This Row],[Date]], "MMM")</f>
        <v>Feb</v>
      </c>
      <c r="D130" s="8">
        <f>MONTH(Table2[[#This Row],[Date]])</f>
        <v>2</v>
      </c>
      <c r="E130" s="8">
        <f>YEAR(Table2[[#This Row],[Date]])</f>
        <v>2023</v>
      </c>
      <c r="F130" s="7" t="s">
        <v>486</v>
      </c>
      <c r="G130" s="7" t="s">
        <v>10</v>
      </c>
      <c r="H130" s="8">
        <v>64</v>
      </c>
      <c r="I130" s="8" t="str">
        <f>IF(Table2[[#This Row],[Age]] &lt; 19, "Teenagers", IF(Table2[[#This Row],[Age]] &lt;= 34, "Young Adults", IF(Table2[[#This Row],[Age]] &lt;= 45, "Adults", IF(Table2[[#This Row],[Age]] &lt;= 55, "Seniors", "Elderly")) ))</f>
        <v>Elderly</v>
      </c>
      <c r="J130" s="7" t="s">
        <v>11</v>
      </c>
      <c r="K130" s="8">
        <v>1</v>
      </c>
      <c r="L130" s="8" t="str">
        <f>IF(Table2[[#This Row],[Quantity]]=1, "Single Order", IF(Table2[[#This Row],[Quantity]]=2, "Small Order", IF(Table2[[#This Row],[Quantity]]=3, "Medium Order", "Bulk Order")))</f>
        <v>Single Order</v>
      </c>
      <c r="M130" s="10">
        <v>50</v>
      </c>
      <c r="N130" s="10">
        <v>50</v>
      </c>
    </row>
    <row r="131" spans="1:14" x14ac:dyDescent="0.2">
      <c r="A131">
        <v>490</v>
      </c>
      <c r="B131" s="5">
        <v>44962</v>
      </c>
      <c r="C131" s="5" t="str">
        <f>TEXT(Table2[[#This Row],[Date]], "MMM")</f>
        <v>Feb</v>
      </c>
      <c r="D131" s="8">
        <f>MONTH(Table2[[#This Row],[Date]])</f>
        <v>2</v>
      </c>
      <c r="E131" s="8">
        <f>YEAR(Table2[[#This Row],[Date]])</f>
        <v>2023</v>
      </c>
      <c r="F131" s="7" t="s">
        <v>503</v>
      </c>
      <c r="G131" s="7" t="s">
        <v>10</v>
      </c>
      <c r="H131" s="8">
        <v>34</v>
      </c>
      <c r="I131" s="8" t="str">
        <f>IF(Table2[[#This Row],[Age]] &lt; 19, "Teenagers", IF(Table2[[#This Row],[Age]] &lt;= 34, "Young Adults", IF(Table2[[#This Row],[Age]] &lt;= 45, "Adults", IF(Table2[[#This Row],[Age]] &lt;= 55, "Seniors", "Elderly")) ))</f>
        <v>Young Adults</v>
      </c>
      <c r="J131" s="7" t="s">
        <v>14</v>
      </c>
      <c r="K131" s="8">
        <v>3</v>
      </c>
      <c r="L131" s="8" t="str">
        <f>IF(Table2[[#This Row],[Quantity]]=1, "Single Order", IF(Table2[[#This Row],[Quantity]]=2, "Small Order", IF(Table2[[#This Row],[Quantity]]=3, "Medium Order", "Bulk Order")))</f>
        <v>Medium Order</v>
      </c>
      <c r="M131" s="10">
        <v>50</v>
      </c>
      <c r="N131" s="10">
        <v>150</v>
      </c>
    </row>
    <row r="132" spans="1:14" x14ac:dyDescent="0.2">
      <c r="A132">
        <v>506</v>
      </c>
      <c r="B132" s="5">
        <v>44982</v>
      </c>
      <c r="C132" s="5" t="str">
        <f>TEXT(Table2[[#This Row],[Date]], "MMM")</f>
        <v>Feb</v>
      </c>
      <c r="D132" s="8">
        <f>MONTH(Table2[[#This Row],[Date]])</f>
        <v>2</v>
      </c>
      <c r="E132" s="8">
        <f>YEAR(Table2[[#This Row],[Date]])</f>
        <v>2023</v>
      </c>
      <c r="F132" s="7" t="s">
        <v>519</v>
      </c>
      <c r="G132" s="7" t="s">
        <v>10</v>
      </c>
      <c r="H132" s="8">
        <v>34</v>
      </c>
      <c r="I132" s="8" t="str">
        <f>IF(Table2[[#This Row],[Age]] &lt; 19, "Teenagers", IF(Table2[[#This Row],[Age]] &lt;= 34, "Young Adults", IF(Table2[[#This Row],[Age]] &lt;= 45, "Adults", IF(Table2[[#This Row],[Age]] &lt;= 55, "Seniors", "Elderly")) ))</f>
        <v>Young Adults</v>
      </c>
      <c r="J132" s="7" t="s">
        <v>11</v>
      </c>
      <c r="K132" s="8">
        <v>3</v>
      </c>
      <c r="L132" s="8" t="str">
        <f>IF(Table2[[#This Row],[Quantity]]=1, "Single Order", IF(Table2[[#This Row],[Quantity]]=2, "Small Order", IF(Table2[[#This Row],[Quantity]]=3, "Medium Order", "Bulk Order")))</f>
        <v>Medium Order</v>
      </c>
      <c r="M132" s="10">
        <v>500</v>
      </c>
      <c r="N132" s="10">
        <v>1500</v>
      </c>
    </row>
    <row r="133" spans="1:14" x14ac:dyDescent="0.2">
      <c r="A133">
        <v>530</v>
      </c>
      <c r="B133" s="5">
        <v>44962</v>
      </c>
      <c r="C133" s="5" t="str">
        <f>TEXT(Table2[[#This Row],[Date]], "MMM")</f>
        <v>Feb</v>
      </c>
      <c r="D133" s="8">
        <f>MONTH(Table2[[#This Row],[Date]])</f>
        <v>2</v>
      </c>
      <c r="E133" s="8">
        <f>YEAR(Table2[[#This Row],[Date]])</f>
        <v>2023</v>
      </c>
      <c r="F133" s="7" t="s">
        <v>543</v>
      </c>
      <c r="G133" s="7" t="s">
        <v>13</v>
      </c>
      <c r="H133" s="8">
        <v>18</v>
      </c>
      <c r="I133" s="8" t="str">
        <f>IF(Table2[[#This Row],[Age]] &lt; 19, "Teenagers", IF(Table2[[#This Row],[Age]] &lt;= 34, "Young Adults", IF(Table2[[#This Row],[Age]] &lt;= 45, "Adults", IF(Table2[[#This Row],[Age]] &lt;= 55, "Seniors", "Elderly")) ))</f>
        <v>Teenagers</v>
      </c>
      <c r="J133" s="7" t="s">
        <v>16</v>
      </c>
      <c r="K133" s="8">
        <v>4</v>
      </c>
      <c r="L133" s="8" t="str">
        <f>IF(Table2[[#This Row],[Quantity]]=1, "Single Order", IF(Table2[[#This Row],[Quantity]]=2, "Small Order", IF(Table2[[#This Row],[Quantity]]=3, "Medium Order", "Bulk Order")))</f>
        <v>Bulk Order</v>
      </c>
      <c r="M133" s="10">
        <v>30</v>
      </c>
      <c r="N133" s="10">
        <v>120</v>
      </c>
    </row>
    <row r="134" spans="1:14" x14ac:dyDescent="0.2">
      <c r="A134">
        <v>577</v>
      </c>
      <c r="B134" s="5">
        <v>44970</v>
      </c>
      <c r="C134" s="5" t="str">
        <f>TEXT(Table2[[#This Row],[Date]], "MMM")</f>
        <v>Feb</v>
      </c>
      <c r="D134" s="8">
        <f>MONTH(Table2[[#This Row],[Date]])</f>
        <v>2</v>
      </c>
      <c r="E134" s="8">
        <f>YEAR(Table2[[#This Row],[Date]])</f>
        <v>2023</v>
      </c>
      <c r="F134" s="7" t="s">
        <v>590</v>
      </c>
      <c r="G134" s="7" t="s">
        <v>10</v>
      </c>
      <c r="H134" s="8">
        <v>21</v>
      </c>
      <c r="I134" s="8" t="str">
        <f>IF(Table2[[#This Row],[Age]] &lt; 19, "Teenagers", IF(Table2[[#This Row],[Age]] &lt;= 34, "Young Adults", IF(Table2[[#This Row],[Age]] &lt;= 45, "Adults", IF(Table2[[#This Row],[Age]] &lt;= 55, "Seniors", "Elderly")) ))</f>
        <v>Young Adults</v>
      </c>
      <c r="J134" s="7" t="s">
        <v>11</v>
      </c>
      <c r="K134" s="8">
        <v>4</v>
      </c>
      <c r="L134" s="8" t="str">
        <f>IF(Table2[[#This Row],[Quantity]]=1, "Single Order", IF(Table2[[#This Row],[Quantity]]=2, "Small Order", IF(Table2[[#This Row],[Quantity]]=3, "Medium Order", "Bulk Order")))</f>
        <v>Bulk Order</v>
      </c>
      <c r="M134" s="10">
        <v>500</v>
      </c>
      <c r="N134" s="10">
        <v>2000</v>
      </c>
    </row>
    <row r="135" spans="1:14" x14ac:dyDescent="0.2">
      <c r="A135">
        <v>584</v>
      </c>
      <c r="B135" s="5">
        <v>44974</v>
      </c>
      <c r="C135" s="5" t="str">
        <f>TEXT(Table2[[#This Row],[Date]], "MMM")</f>
        <v>Feb</v>
      </c>
      <c r="D135" s="8">
        <f>MONTH(Table2[[#This Row],[Date]])</f>
        <v>2</v>
      </c>
      <c r="E135" s="8">
        <f>YEAR(Table2[[#This Row],[Date]])</f>
        <v>2023</v>
      </c>
      <c r="F135" s="7" t="s">
        <v>597</v>
      </c>
      <c r="G135" s="7" t="s">
        <v>13</v>
      </c>
      <c r="H135" s="8">
        <v>27</v>
      </c>
      <c r="I135" s="8" t="str">
        <f>IF(Table2[[#This Row],[Age]] &lt; 19, "Teenagers", IF(Table2[[#This Row],[Age]] &lt;= 34, "Young Adults", IF(Table2[[#This Row],[Age]] &lt;= 45, "Adults", IF(Table2[[#This Row],[Age]] &lt;= 55, "Seniors", "Elderly")) ))</f>
        <v>Young Adults</v>
      </c>
      <c r="J135" s="7" t="s">
        <v>11</v>
      </c>
      <c r="K135" s="8">
        <v>4</v>
      </c>
      <c r="L135" s="8" t="str">
        <f>IF(Table2[[#This Row],[Quantity]]=1, "Single Order", IF(Table2[[#This Row],[Quantity]]=2, "Small Order", IF(Table2[[#This Row],[Quantity]]=3, "Medium Order", "Bulk Order")))</f>
        <v>Bulk Order</v>
      </c>
      <c r="M135" s="10">
        <v>50</v>
      </c>
      <c r="N135" s="10">
        <v>200</v>
      </c>
    </row>
    <row r="136" spans="1:14" x14ac:dyDescent="0.2">
      <c r="A136">
        <v>596</v>
      </c>
      <c r="B136" s="5">
        <v>44964</v>
      </c>
      <c r="C136" s="5" t="str">
        <f>TEXT(Table2[[#This Row],[Date]], "MMM")</f>
        <v>Feb</v>
      </c>
      <c r="D136" s="8">
        <f>MONTH(Table2[[#This Row],[Date]])</f>
        <v>2</v>
      </c>
      <c r="E136" s="8">
        <f>YEAR(Table2[[#This Row],[Date]])</f>
        <v>2023</v>
      </c>
      <c r="F136" s="7" t="s">
        <v>609</v>
      </c>
      <c r="G136" s="7" t="s">
        <v>13</v>
      </c>
      <c r="H136" s="8">
        <v>64</v>
      </c>
      <c r="I136" s="8" t="str">
        <f>IF(Table2[[#This Row],[Age]] &lt; 19, "Teenagers", IF(Table2[[#This Row],[Age]] &lt;= 34, "Young Adults", IF(Table2[[#This Row],[Age]] &lt;= 45, "Adults", IF(Table2[[#This Row],[Age]] &lt;= 55, "Seniors", "Elderly")) ))</f>
        <v>Elderly</v>
      </c>
      <c r="J136" s="7" t="s">
        <v>16</v>
      </c>
      <c r="K136" s="8">
        <v>1</v>
      </c>
      <c r="L136" s="8" t="str">
        <f>IF(Table2[[#This Row],[Quantity]]=1, "Single Order", IF(Table2[[#This Row],[Quantity]]=2, "Small Order", IF(Table2[[#This Row],[Quantity]]=3, "Medium Order", "Bulk Order")))</f>
        <v>Single Order</v>
      </c>
      <c r="M136" s="10">
        <v>300</v>
      </c>
      <c r="N136" s="10">
        <v>300</v>
      </c>
    </row>
    <row r="137" spans="1:14" x14ac:dyDescent="0.2">
      <c r="A137">
        <v>611</v>
      </c>
      <c r="B137" s="5">
        <v>44981</v>
      </c>
      <c r="C137" s="5" t="str">
        <f>TEXT(Table2[[#This Row],[Date]], "MMM")</f>
        <v>Feb</v>
      </c>
      <c r="D137" s="8">
        <f>MONTH(Table2[[#This Row],[Date]])</f>
        <v>2</v>
      </c>
      <c r="E137" s="8">
        <f>YEAR(Table2[[#This Row],[Date]])</f>
        <v>2023</v>
      </c>
      <c r="F137" s="7" t="s">
        <v>624</v>
      </c>
      <c r="G137" s="7" t="s">
        <v>10</v>
      </c>
      <c r="H137" s="8">
        <v>51</v>
      </c>
      <c r="I137" s="8" t="str">
        <f>IF(Table2[[#This Row],[Age]] &lt; 19, "Teenagers", IF(Table2[[#This Row],[Age]] &lt;= 34, "Young Adults", IF(Table2[[#This Row],[Age]] &lt;= 45, "Adults", IF(Table2[[#This Row],[Age]] &lt;= 55, "Seniors", "Elderly")) ))</f>
        <v>Seniors</v>
      </c>
      <c r="J137" s="7" t="s">
        <v>11</v>
      </c>
      <c r="K137" s="8">
        <v>3</v>
      </c>
      <c r="L137" s="8" t="str">
        <f>IF(Table2[[#This Row],[Quantity]]=1, "Single Order", IF(Table2[[#This Row],[Quantity]]=2, "Small Order", IF(Table2[[#This Row],[Quantity]]=3, "Medium Order", "Bulk Order")))</f>
        <v>Medium Order</v>
      </c>
      <c r="M137" s="10">
        <v>500</v>
      </c>
      <c r="N137" s="10">
        <v>1500</v>
      </c>
    </row>
    <row r="138" spans="1:14" x14ac:dyDescent="0.2">
      <c r="A138">
        <v>649</v>
      </c>
      <c r="B138" s="5">
        <v>44966</v>
      </c>
      <c r="C138" s="5" t="str">
        <f>TEXT(Table2[[#This Row],[Date]], "MMM")</f>
        <v>Feb</v>
      </c>
      <c r="D138" s="8">
        <f>MONTH(Table2[[#This Row],[Date]])</f>
        <v>2</v>
      </c>
      <c r="E138" s="8">
        <f>YEAR(Table2[[#This Row],[Date]])</f>
        <v>2023</v>
      </c>
      <c r="F138" s="7" t="s">
        <v>662</v>
      </c>
      <c r="G138" s="7" t="s">
        <v>13</v>
      </c>
      <c r="H138" s="8">
        <v>58</v>
      </c>
      <c r="I138" s="8" t="str">
        <f>IF(Table2[[#This Row],[Age]] &lt; 19, "Teenagers", IF(Table2[[#This Row],[Age]] &lt;= 34, "Young Adults", IF(Table2[[#This Row],[Age]] &lt;= 45, "Adults", IF(Table2[[#This Row],[Age]] &lt;= 55, "Seniors", "Elderly")) ))</f>
        <v>Elderly</v>
      </c>
      <c r="J138" s="7" t="s">
        <v>14</v>
      </c>
      <c r="K138" s="8">
        <v>2</v>
      </c>
      <c r="L138" s="8" t="str">
        <f>IF(Table2[[#This Row],[Quantity]]=1, "Single Order", IF(Table2[[#This Row],[Quantity]]=2, "Small Order", IF(Table2[[#This Row],[Quantity]]=3, "Medium Order", "Bulk Order")))</f>
        <v>Small Order</v>
      </c>
      <c r="M138" s="10">
        <v>300</v>
      </c>
      <c r="N138" s="10">
        <v>600</v>
      </c>
    </row>
    <row r="139" spans="1:14" x14ac:dyDescent="0.2">
      <c r="A139">
        <v>657</v>
      </c>
      <c r="B139" s="5">
        <v>44968</v>
      </c>
      <c r="C139" s="5" t="str">
        <f>TEXT(Table2[[#This Row],[Date]], "MMM")</f>
        <v>Feb</v>
      </c>
      <c r="D139" s="8">
        <f>MONTH(Table2[[#This Row],[Date]])</f>
        <v>2</v>
      </c>
      <c r="E139" s="8">
        <f>YEAR(Table2[[#This Row],[Date]])</f>
        <v>2023</v>
      </c>
      <c r="F139" s="7" t="s">
        <v>670</v>
      </c>
      <c r="G139" s="7" t="s">
        <v>10</v>
      </c>
      <c r="H139" s="8">
        <v>40</v>
      </c>
      <c r="I139" s="8" t="str">
        <f>IF(Table2[[#This Row],[Age]] &lt; 19, "Teenagers", IF(Table2[[#This Row],[Age]] &lt;= 34, "Young Adults", IF(Table2[[#This Row],[Age]] &lt;= 45, "Adults", IF(Table2[[#This Row],[Age]] &lt;= 55, "Seniors", "Elderly")) ))</f>
        <v>Adults</v>
      </c>
      <c r="J139" s="7" t="s">
        <v>14</v>
      </c>
      <c r="K139" s="8">
        <v>1</v>
      </c>
      <c r="L139" s="8" t="str">
        <f>IF(Table2[[#This Row],[Quantity]]=1, "Single Order", IF(Table2[[#This Row],[Quantity]]=2, "Small Order", IF(Table2[[#This Row],[Quantity]]=3, "Medium Order", "Bulk Order")))</f>
        <v>Single Order</v>
      </c>
      <c r="M139" s="10">
        <v>25</v>
      </c>
      <c r="N139" s="10">
        <v>25</v>
      </c>
    </row>
    <row r="140" spans="1:14" x14ac:dyDescent="0.2">
      <c r="A140">
        <v>666</v>
      </c>
      <c r="B140" s="5">
        <v>44959</v>
      </c>
      <c r="C140" s="5" t="str">
        <f>TEXT(Table2[[#This Row],[Date]], "MMM")</f>
        <v>Feb</v>
      </c>
      <c r="D140" s="8">
        <f>MONTH(Table2[[#This Row],[Date]])</f>
        <v>2</v>
      </c>
      <c r="E140" s="8">
        <f>YEAR(Table2[[#This Row],[Date]])</f>
        <v>2023</v>
      </c>
      <c r="F140" s="7" t="s">
        <v>679</v>
      </c>
      <c r="G140" s="7" t="s">
        <v>10</v>
      </c>
      <c r="H140" s="8">
        <v>51</v>
      </c>
      <c r="I140" s="8" t="str">
        <f>IF(Table2[[#This Row],[Age]] &lt; 19, "Teenagers", IF(Table2[[#This Row],[Age]] &lt;= 34, "Young Adults", IF(Table2[[#This Row],[Age]] &lt;= 45, "Adults", IF(Table2[[#This Row],[Age]] &lt;= 55, "Seniors", "Elderly")) ))</f>
        <v>Seniors</v>
      </c>
      <c r="J140" s="7" t="s">
        <v>16</v>
      </c>
      <c r="K140" s="8">
        <v>3</v>
      </c>
      <c r="L140" s="8" t="str">
        <f>IF(Table2[[#This Row],[Quantity]]=1, "Single Order", IF(Table2[[#This Row],[Quantity]]=2, "Small Order", IF(Table2[[#This Row],[Quantity]]=3, "Medium Order", "Bulk Order")))</f>
        <v>Medium Order</v>
      </c>
      <c r="M140" s="10">
        <v>50</v>
      </c>
      <c r="N140" s="10">
        <v>150</v>
      </c>
    </row>
    <row r="141" spans="1:14" x14ac:dyDescent="0.2">
      <c r="A141">
        <v>673</v>
      </c>
      <c r="B141" s="5">
        <v>44958</v>
      </c>
      <c r="C141" s="5" t="str">
        <f>TEXT(Table2[[#This Row],[Date]], "MMM")</f>
        <v>Feb</v>
      </c>
      <c r="D141" s="8">
        <f>MONTH(Table2[[#This Row],[Date]])</f>
        <v>2</v>
      </c>
      <c r="E141" s="8">
        <f>YEAR(Table2[[#This Row],[Date]])</f>
        <v>2023</v>
      </c>
      <c r="F141" s="7" t="s">
        <v>686</v>
      </c>
      <c r="G141" s="7" t="s">
        <v>13</v>
      </c>
      <c r="H141" s="8">
        <v>43</v>
      </c>
      <c r="I141" s="8" t="str">
        <f>IF(Table2[[#This Row],[Age]] &lt; 19, "Teenagers", IF(Table2[[#This Row],[Age]] &lt;= 34, "Young Adults", IF(Table2[[#This Row],[Age]] &lt;= 45, "Adults", IF(Table2[[#This Row],[Age]] &lt;= 55, "Seniors", "Elderly")) ))</f>
        <v>Adults</v>
      </c>
      <c r="J141" s="7" t="s">
        <v>14</v>
      </c>
      <c r="K141" s="8">
        <v>3</v>
      </c>
      <c r="L141" s="8" t="str">
        <f>IF(Table2[[#This Row],[Quantity]]=1, "Single Order", IF(Table2[[#This Row],[Quantity]]=2, "Small Order", IF(Table2[[#This Row],[Quantity]]=3, "Medium Order", "Bulk Order")))</f>
        <v>Medium Order</v>
      </c>
      <c r="M141" s="10">
        <v>500</v>
      </c>
      <c r="N141" s="10">
        <v>1500</v>
      </c>
    </row>
    <row r="142" spans="1:14" x14ac:dyDescent="0.2">
      <c r="A142">
        <v>714</v>
      </c>
      <c r="B142" s="5">
        <v>44969</v>
      </c>
      <c r="C142" s="5" t="str">
        <f>TEXT(Table2[[#This Row],[Date]], "MMM")</f>
        <v>Feb</v>
      </c>
      <c r="D142" s="8">
        <f>MONTH(Table2[[#This Row],[Date]])</f>
        <v>2</v>
      </c>
      <c r="E142" s="8">
        <f>YEAR(Table2[[#This Row],[Date]])</f>
        <v>2023</v>
      </c>
      <c r="F142" s="7" t="s">
        <v>727</v>
      </c>
      <c r="G142" s="7" t="s">
        <v>13</v>
      </c>
      <c r="H142" s="8">
        <v>18</v>
      </c>
      <c r="I142" s="8" t="str">
        <f>IF(Table2[[#This Row],[Age]] &lt; 19, "Teenagers", IF(Table2[[#This Row],[Age]] &lt;= 34, "Young Adults", IF(Table2[[#This Row],[Age]] &lt;= 45, "Adults", IF(Table2[[#This Row],[Age]] &lt;= 55, "Seniors", "Elderly")) ))</f>
        <v>Teenagers</v>
      </c>
      <c r="J142" s="7" t="s">
        <v>14</v>
      </c>
      <c r="K142" s="8">
        <v>1</v>
      </c>
      <c r="L142" s="8" t="str">
        <f>IF(Table2[[#This Row],[Quantity]]=1, "Single Order", IF(Table2[[#This Row],[Quantity]]=2, "Small Order", IF(Table2[[#This Row],[Quantity]]=3, "Medium Order", "Bulk Order")))</f>
        <v>Single Order</v>
      </c>
      <c r="M142" s="10">
        <v>500</v>
      </c>
      <c r="N142" s="10">
        <v>500</v>
      </c>
    </row>
    <row r="143" spans="1:14" x14ac:dyDescent="0.2">
      <c r="A143">
        <v>732</v>
      </c>
      <c r="B143" s="5">
        <v>44968</v>
      </c>
      <c r="C143" s="5" t="str">
        <f>TEXT(Table2[[#This Row],[Date]], "MMM")</f>
        <v>Feb</v>
      </c>
      <c r="D143" s="8">
        <f>MONTH(Table2[[#This Row],[Date]])</f>
        <v>2</v>
      </c>
      <c r="E143" s="8">
        <f>YEAR(Table2[[#This Row],[Date]])</f>
        <v>2023</v>
      </c>
      <c r="F143" s="7" t="s">
        <v>745</v>
      </c>
      <c r="G143" s="7" t="s">
        <v>10</v>
      </c>
      <c r="H143" s="8">
        <v>61</v>
      </c>
      <c r="I143" s="8" t="str">
        <f>IF(Table2[[#This Row],[Age]] &lt; 19, "Teenagers", IF(Table2[[#This Row],[Age]] &lt;= 34, "Young Adults", IF(Table2[[#This Row],[Age]] &lt;= 45, "Adults", IF(Table2[[#This Row],[Age]] &lt;= 55, "Seniors", "Elderly")) ))</f>
        <v>Elderly</v>
      </c>
      <c r="J143" s="7" t="s">
        <v>16</v>
      </c>
      <c r="K143" s="8">
        <v>2</v>
      </c>
      <c r="L143" s="8" t="str">
        <f>IF(Table2[[#This Row],[Quantity]]=1, "Single Order", IF(Table2[[#This Row],[Quantity]]=2, "Small Order", IF(Table2[[#This Row],[Quantity]]=3, "Medium Order", "Bulk Order")))</f>
        <v>Small Order</v>
      </c>
      <c r="M143" s="10">
        <v>500</v>
      </c>
      <c r="N143" s="10">
        <v>1000</v>
      </c>
    </row>
    <row r="144" spans="1:14" x14ac:dyDescent="0.2">
      <c r="A144">
        <v>740</v>
      </c>
      <c r="B144" s="5">
        <v>44962</v>
      </c>
      <c r="C144" s="5" t="str">
        <f>TEXT(Table2[[#This Row],[Date]], "MMM")</f>
        <v>Feb</v>
      </c>
      <c r="D144" s="8">
        <f>MONTH(Table2[[#This Row],[Date]])</f>
        <v>2</v>
      </c>
      <c r="E144" s="8">
        <f>YEAR(Table2[[#This Row],[Date]])</f>
        <v>2023</v>
      </c>
      <c r="F144" s="7" t="s">
        <v>753</v>
      </c>
      <c r="G144" s="7" t="s">
        <v>13</v>
      </c>
      <c r="H144" s="8">
        <v>25</v>
      </c>
      <c r="I144" s="8" t="str">
        <f>IF(Table2[[#This Row],[Age]] &lt; 19, "Teenagers", IF(Table2[[#This Row],[Age]] &lt;= 34, "Young Adults", IF(Table2[[#This Row],[Age]] &lt;= 45, "Adults", IF(Table2[[#This Row],[Age]] &lt;= 55, "Seniors", "Elderly")) ))</f>
        <v>Young Adults</v>
      </c>
      <c r="J144" s="7" t="s">
        <v>11</v>
      </c>
      <c r="K144" s="8">
        <v>4</v>
      </c>
      <c r="L144" s="8" t="str">
        <f>IF(Table2[[#This Row],[Quantity]]=1, "Single Order", IF(Table2[[#This Row],[Quantity]]=2, "Small Order", IF(Table2[[#This Row],[Quantity]]=3, "Medium Order", "Bulk Order")))</f>
        <v>Bulk Order</v>
      </c>
      <c r="M144" s="10">
        <v>50</v>
      </c>
      <c r="N144" s="10">
        <v>200</v>
      </c>
    </row>
    <row r="145" spans="1:14" x14ac:dyDescent="0.2">
      <c r="A145">
        <v>753</v>
      </c>
      <c r="B145" s="5">
        <v>44985</v>
      </c>
      <c r="C145" s="5" t="str">
        <f>TEXT(Table2[[#This Row],[Date]], "MMM")</f>
        <v>Feb</v>
      </c>
      <c r="D145" s="8">
        <f>MONTH(Table2[[#This Row],[Date]])</f>
        <v>2</v>
      </c>
      <c r="E145" s="8">
        <f>YEAR(Table2[[#This Row],[Date]])</f>
        <v>2023</v>
      </c>
      <c r="F145" s="7" t="s">
        <v>766</v>
      </c>
      <c r="G145" s="7" t="s">
        <v>13</v>
      </c>
      <c r="H145" s="8">
        <v>32</v>
      </c>
      <c r="I145" s="8" t="str">
        <f>IF(Table2[[#This Row],[Age]] &lt; 19, "Teenagers", IF(Table2[[#This Row],[Age]] &lt;= 34, "Young Adults", IF(Table2[[#This Row],[Age]] &lt;= 45, "Adults", IF(Table2[[#This Row],[Age]] &lt;= 55, "Seniors", "Elderly")) ))</f>
        <v>Young Adults</v>
      </c>
      <c r="J145" s="7" t="s">
        <v>14</v>
      </c>
      <c r="K145" s="8">
        <v>1</v>
      </c>
      <c r="L145" s="8" t="str">
        <f>IF(Table2[[#This Row],[Quantity]]=1, "Single Order", IF(Table2[[#This Row],[Quantity]]=2, "Small Order", IF(Table2[[#This Row],[Quantity]]=3, "Medium Order", "Bulk Order")))</f>
        <v>Single Order</v>
      </c>
      <c r="M145" s="10">
        <v>30</v>
      </c>
      <c r="N145" s="10">
        <v>30</v>
      </c>
    </row>
    <row r="146" spans="1:14" x14ac:dyDescent="0.2">
      <c r="A146">
        <v>763</v>
      </c>
      <c r="B146" s="5">
        <v>44985</v>
      </c>
      <c r="C146" s="5" t="str">
        <f>TEXT(Table2[[#This Row],[Date]], "MMM")</f>
        <v>Feb</v>
      </c>
      <c r="D146" s="8">
        <f>MONTH(Table2[[#This Row],[Date]])</f>
        <v>2</v>
      </c>
      <c r="E146" s="8">
        <f>YEAR(Table2[[#This Row],[Date]])</f>
        <v>2023</v>
      </c>
      <c r="F146" s="7" t="s">
        <v>776</v>
      </c>
      <c r="G146" s="7" t="s">
        <v>10</v>
      </c>
      <c r="H146" s="8">
        <v>34</v>
      </c>
      <c r="I146" s="8" t="str">
        <f>IF(Table2[[#This Row],[Age]] &lt; 19, "Teenagers", IF(Table2[[#This Row],[Age]] &lt;= 34, "Young Adults", IF(Table2[[#This Row],[Age]] &lt;= 45, "Adults", IF(Table2[[#This Row],[Age]] &lt;= 55, "Seniors", "Elderly")) ))</f>
        <v>Young Adults</v>
      </c>
      <c r="J146" s="7" t="s">
        <v>14</v>
      </c>
      <c r="K146" s="8">
        <v>2</v>
      </c>
      <c r="L146" s="8" t="str">
        <f>IF(Table2[[#This Row],[Quantity]]=1, "Single Order", IF(Table2[[#This Row],[Quantity]]=2, "Small Order", IF(Table2[[#This Row],[Quantity]]=3, "Medium Order", "Bulk Order")))</f>
        <v>Small Order</v>
      </c>
      <c r="M146" s="10">
        <v>25</v>
      </c>
      <c r="N146" s="10">
        <v>50</v>
      </c>
    </row>
    <row r="147" spans="1:14" x14ac:dyDescent="0.2">
      <c r="A147">
        <v>766</v>
      </c>
      <c r="B147" s="5">
        <v>44982</v>
      </c>
      <c r="C147" s="5" t="str">
        <f>TEXT(Table2[[#This Row],[Date]], "MMM")</f>
        <v>Feb</v>
      </c>
      <c r="D147" s="8">
        <f>MONTH(Table2[[#This Row],[Date]])</f>
        <v>2</v>
      </c>
      <c r="E147" s="8">
        <f>YEAR(Table2[[#This Row],[Date]])</f>
        <v>2023</v>
      </c>
      <c r="F147" s="7" t="s">
        <v>779</v>
      </c>
      <c r="G147" s="7" t="s">
        <v>10</v>
      </c>
      <c r="H147" s="8">
        <v>38</v>
      </c>
      <c r="I147" s="8" t="str">
        <f>IF(Table2[[#This Row],[Age]] &lt; 19, "Teenagers", IF(Table2[[#This Row],[Age]] &lt;= 34, "Young Adults", IF(Table2[[#This Row],[Age]] &lt;= 45, "Adults", IF(Table2[[#This Row],[Age]] &lt;= 55, "Seniors", "Elderly")) ))</f>
        <v>Adults</v>
      </c>
      <c r="J147" s="7" t="s">
        <v>16</v>
      </c>
      <c r="K147" s="8">
        <v>3</v>
      </c>
      <c r="L147" s="8" t="str">
        <f>IF(Table2[[#This Row],[Quantity]]=1, "Single Order", IF(Table2[[#This Row],[Quantity]]=2, "Small Order", IF(Table2[[#This Row],[Quantity]]=3, "Medium Order", "Bulk Order")))</f>
        <v>Medium Order</v>
      </c>
      <c r="M147" s="10">
        <v>300</v>
      </c>
      <c r="N147" s="10">
        <v>900</v>
      </c>
    </row>
    <row r="148" spans="1:14" x14ac:dyDescent="0.2">
      <c r="A148">
        <v>775</v>
      </c>
      <c r="B148" s="5">
        <v>44965</v>
      </c>
      <c r="C148" s="5" t="str">
        <f>TEXT(Table2[[#This Row],[Date]], "MMM")</f>
        <v>Feb</v>
      </c>
      <c r="D148" s="8">
        <f>MONTH(Table2[[#This Row],[Date]])</f>
        <v>2</v>
      </c>
      <c r="E148" s="8">
        <f>YEAR(Table2[[#This Row],[Date]])</f>
        <v>2023</v>
      </c>
      <c r="F148" s="7" t="s">
        <v>788</v>
      </c>
      <c r="G148" s="7" t="s">
        <v>13</v>
      </c>
      <c r="H148" s="8">
        <v>46</v>
      </c>
      <c r="I148" s="8" t="str">
        <f>IF(Table2[[#This Row],[Age]] &lt; 19, "Teenagers", IF(Table2[[#This Row],[Age]] &lt;= 34, "Young Adults", IF(Table2[[#This Row],[Age]] &lt;= 45, "Adults", IF(Table2[[#This Row],[Age]] &lt;= 55, "Seniors", "Elderly")) ))</f>
        <v>Seniors</v>
      </c>
      <c r="J148" s="7" t="s">
        <v>16</v>
      </c>
      <c r="K148" s="8">
        <v>4</v>
      </c>
      <c r="L148" s="8" t="str">
        <f>IF(Table2[[#This Row],[Quantity]]=1, "Single Order", IF(Table2[[#This Row],[Quantity]]=2, "Small Order", IF(Table2[[#This Row],[Quantity]]=3, "Medium Order", "Bulk Order")))</f>
        <v>Bulk Order</v>
      </c>
      <c r="M148" s="10">
        <v>25</v>
      </c>
      <c r="N148" s="10">
        <v>100</v>
      </c>
    </row>
    <row r="149" spans="1:14" x14ac:dyDescent="0.2">
      <c r="A149">
        <v>780</v>
      </c>
      <c r="B149" s="5">
        <v>44979</v>
      </c>
      <c r="C149" s="5" t="str">
        <f>TEXT(Table2[[#This Row],[Date]], "MMM")</f>
        <v>Feb</v>
      </c>
      <c r="D149" s="8">
        <f>MONTH(Table2[[#This Row],[Date]])</f>
        <v>2</v>
      </c>
      <c r="E149" s="8">
        <f>YEAR(Table2[[#This Row],[Date]])</f>
        <v>2023</v>
      </c>
      <c r="F149" s="7" t="s">
        <v>793</v>
      </c>
      <c r="G149" s="7" t="s">
        <v>10</v>
      </c>
      <c r="H149" s="8">
        <v>52</v>
      </c>
      <c r="I149" s="8" t="str">
        <f>IF(Table2[[#This Row],[Age]] &lt; 19, "Teenagers", IF(Table2[[#This Row],[Age]] &lt;= 34, "Young Adults", IF(Table2[[#This Row],[Age]] &lt;= 45, "Adults", IF(Table2[[#This Row],[Age]] &lt;= 55, "Seniors", "Elderly")) ))</f>
        <v>Seniors</v>
      </c>
      <c r="J149" s="7" t="s">
        <v>16</v>
      </c>
      <c r="K149" s="8">
        <v>2</v>
      </c>
      <c r="L149" s="8" t="str">
        <f>IF(Table2[[#This Row],[Quantity]]=1, "Single Order", IF(Table2[[#This Row],[Quantity]]=2, "Small Order", IF(Table2[[#This Row],[Quantity]]=3, "Medium Order", "Bulk Order")))</f>
        <v>Small Order</v>
      </c>
      <c r="M149" s="10">
        <v>25</v>
      </c>
      <c r="N149" s="10">
        <v>50</v>
      </c>
    </row>
    <row r="150" spans="1:14" x14ac:dyDescent="0.2">
      <c r="A150">
        <v>793</v>
      </c>
      <c r="B150" s="5">
        <v>44962</v>
      </c>
      <c r="C150" s="5" t="str">
        <f>TEXT(Table2[[#This Row],[Date]], "MMM")</f>
        <v>Feb</v>
      </c>
      <c r="D150" s="8">
        <f>MONTH(Table2[[#This Row],[Date]])</f>
        <v>2</v>
      </c>
      <c r="E150" s="8">
        <f>YEAR(Table2[[#This Row],[Date]])</f>
        <v>2023</v>
      </c>
      <c r="F150" s="7" t="s">
        <v>806</v>
      </c>
      <c r="G150" s="7" t="s">
        <v>10</v>
      </c>
      <c r="H150" s="8">
        <v>54</v>
      </c>
      <c r="I150" s="8" t="str">
        <f>IF(Table2[[#This Row],[Age]] &lt; 19, "Teenagers", IF(Table2[[#This Row],[Age]] &lt;= 34, "Young Adults", IF(Table2[[#This Row],[Age]] &lt;= 45, "Adults", IF(Table2[[#This Row],[Age]] &lt;= 55, "Seniors", "Elderly")) ))</f>
        <v>Seniors</v>
      </c>
      <c r="J150" s="7" t="s">
        <v>11</v>
      </c>
      <c r="K150" s="8">
        <v>1</v>
      </c>
      <c r="L150" s="8" t="str">
        <f>IF(Table2[[#This Row],[Quantity]]=1, "Single Order", IF(Table2[[#This Row],[Quantity]]=2, "Small Order", IF(Table2[[#This Row],[Quantity]]=3, "Medium Order", "Bulk Order")))</f>
        <v>Single Order</v>
      </c>
      <c r="M150" s="10">
        <v>30</v>
      </c>
      <c r="N150" s="10">
        <v>30</v>
      </c>
    </row>
    <row r="151" spans="1:14" x14ac:dyDescent="0.2">
      <c r="A151">
        <v>800</v>
      </c>
      <c r="B151" s="5">
        <v>44981</v>
      </c>
      <c r="C151" s="5" t="str">
        <f>TEXT(Table2[[#This Row],[Date]], "MMM")</f>
        <v>Feb</v>
      </c>
      <c r="D151" s="8">
        <f>MONTH(Table2[[#This Row],[Date]])</f>
        <v>2</v>
      </c>
      <c r="E151" s="8">
        <f>YEAR(Table2[[#This Row],[Date]])</f>
        <v>2023</v>
      </c>
      <c r="F151" s="7" t="s">
        <v>813</v>
      </c>
      <c r="G151" s="7" t="s">
        <v>10</v>
      </c>
      <c r="H151" s="8">
        <v>32</v>
      </c>
      <c r="I151" s="8" t="str">
        <f>IF(Table2[[#This Row],[Age]] &lt; 19, "Teenagers", IF(Table2[[#This Row],[Age]] &lt;= 34, "Young Adults", IF(Table2[[#This Row],[Age]] &lt;= 45, "Adults", IF(Table2[[#This Row],[Age]] &lt;= 55, "Seniors", "Elderly")) ))</f>
        <v>Young Adults</v>
      </c>
      <c r="J151" s="7" t="s">
        <v>14</v>
      </c>
      <c r="K151" s="8">
        <v>4</v>
      </c>
      <c r="L151" s="8" t="str">
        <f>IF(Table2[[#This Row],[Quantity]]=1, "Single Order", IF(Table2[[#This Row],[Quantity]]=2, "Small Order", IF(Table2[[#This Row],[Quantity]]=3, "Medium Order", "Bulk Order")))</f>
        <v>Bulk Order</v>
      </c>
      <c r="M151" s="10">
        <v>300</v>
      </c>
      <c r="N151" s="10">
        <v>1200</v>
      </c>
    </row>
    <row r="152" spans="1:14" x14ac:dyDescent="0.2">
      <c r="A152">
        <v>821</v>
      </c>
      <c r="B152" s="5">
        <v>44971</v>
      </c>
      <c r="C152" s="5" t="str">
        <f>TEXT(Table2[[#This Row],[Date]], "MMM")</f>
        <v>Feb</v>
      </c>
      <c r="D152" s="8">
        <f>MONTH(Table2[[#This Row],[Date]])</f>
        <v>2</v>
      </c>
      <c r="E152" s="8">
        <f>YEAR(Table2[[#This Row],[Date]])</f>
        <v>2023</v>
      </c>
      <c r="F152" s="7" t="s">
        <v>834</v>
      </c>
      <c r="G152" s="7" t="s">
        <v>10</v>
      </c>
      <c r="H152" s="8">
        <v>49</v>
      </c>
      <c r="I152" s="8" t="str">
        <f>IF(Table2[[#This Row],[Age]] &lt; 19, "Teenagers", IF(Table2[[#This Row],[Age]] &lt;= 34, "Young Adults", IF(Table2[[#This Row],[Age]] &lt;= 45, "Adults", IF(Table2[[#This Row],[Age]] &lt;= 55, "Seniors", "Elderly")) ))</f>
        <v>Seniors</v>
      </c>
      <c r="J152" s="7" t="s">
        <v>16</v>
      </c>
      <c r="K152" s="8">
        <v>1</v>
      </c>
      <c r="L152" s="8" t="str">
        <f>IF(Table2[[#This Row],[Quantity]]=1, "Single Order", IF(Table2[[#This Row],[Quantity]]=2, "Small Order", IF(Table2[[#This Row],[Quantity]]=3, "Medium Order", "Bulk Order")))</f>
        <v>Single Order</v>
      </c>
      <c r="M152" s="10">
        <v>300</v>
      </c>
      <c r="N152" s="10">
        <v>300</v>
      </c>
    </row>
    <row r="153" spans="1:14" x14ac:dyDescent="0.2">
      <c r="A153">
        <v>848</v>
      </c>
      <c r="B153" s="5">
        <v>44970</v>
      </c>
      <c r="C153" s="5" t="str">
        <f>TEXT(Table2[[#This Row],[Date]], "MMM")</f>
        <v>Feb</v>
      </c>
      <c r="D153" s="8">
        <f>MONTH(Table2[[#This Row],[Date]])</f>
        <v>2</v>
      </c>
      <c r="E153" s="8">
        <f>YEAR(Table2[[#This Row],[Date]])</f>
        <v>2023</v>
      </c>
      <c r="F153" s="7" t="s">
        <v>861</v>
      </c>
      <c r="G153" s="7" t="s">
        <v>13</v>
      </c>
      <c r="H153" s="8">
        <v>63</v>
      </c>
      <c r="I153" s="8" t="str">
        <f>IF(Table2[[#This Row],[Age]] &lt; 19, "Teenagers", IF(Table2[[#This Row],[Age]] &lt;= 34, "Young Adults", IF(Table2[[#This Row],[Age]] &lt;= 45, "Adults", IF(Table2[[#This Row],[Age]] &lt;= 55, "Seniors", "Elderly")) ))</f>
        <v>Elderly</v>
      </c>
      <c r="J153" s="7" t="s">
        <v>14</v>
      </c>
      <c r="K153" s="8">
        <v>3</v>
      </c>
      <c r="L153" s="8" t="str">
        <f>IF(Table2[[#This Row],[Quantity]]=1, "Single Order", IF(Table2[[#This Row],[Quantity]]=2, "Small Order", IF(Table2[[#This Row],[Quantity]]=3, "Medium Order", "Bulk Order")))</f>
        <v>Medium Order</v>
      </c>
      <c r="M153" s="10">
        <v>25</v>
      </c>
      <c r="N153" s="10">
        <v>75</v>
      </c>
    </row>
    <row r="154" spans="1:14" x14ac:dyDescent="0.2">
      <c r="A154">
        <v>861</v>
      </c>
      <c r="B154" s="5">
        <v>44974</v>
      </c>
      <c r="C154" s="5" t="str">
        <f>TEXT(Table2[[#This Row],[Date]], "MMM")</f>
        <v>Feb</v>
      </c>
      <c r="D154" s="8">
        <f>MONTH(Table2[[#This Row],[Date]])</f>
        <v>2</v>
      </c>
      <c r="E154" s="8">
        <f>YEAR(Table2[[#This Row],[Date]])</f>
        <v>2023</v>
      </c>
      <c r="F154" s="7" t="s">
        <v>874</v>
      </c>
      <c r="G154" s="7" t="s">
        <v>13</v>
      </c>
      <c r="H154" s="8">
        <v>41</v>
      </c>
      <c r="I154" s="8" t="str">
        <f>IF(Table2[[#This Row],[Age]] &lt; 19, "Teenagers", IF(Table2[[#This Row],[Age]] &lt;= 34, "Young Adults", IF(Table2[[#This Row],[Age]] &lt;= 45, "Adults", IF(Table2[[#This Row],[Age]] &lt;= 55, "Seniors", "Elderly")) ))</f>
        <v>Adults</v>
      </c>
      <c r="J154" s="7" t="s">
        <v>14</v>
      </c>
      <c r="K154" s="8">
        <v>3</v>
      </c>
      <c r="L154" s="8" t="str">
        <f>IF(Table2[[#This Row],[Quantity]]=1, "Single Order", IF(Table2[[#This Row],[Quantity]]=2, "Small Order", IF(Table2[[#This Row],[Quantity]]=3, "Medium Order", "Bulk Order")))</f>
        <v>Medium Order</v>
      </c>
      <c r="M154" s="10">
        <v>30</v>
      </c>
      <c r="N154" s="10">
        <v>90</v>
      </c>
    </row>
    <row r="155" spans="1:14" x14ac:dyDescent="0.2">
      <c r="A155">
        <v>900</v>
      </c>
      <c r="B155" s="5">
        <v>44978</v>
      </c>
      <c r="C155" s="5" t="str">
        <f>TEXT(Table2[[#This Row],[Date]], "MMM")</f>
        <v>Feb</v>
      </c>
      <c r="D155" s="8">
        <f>MONTH(Table2[[#This Row],[Date]])</f>
        <v>2</v>
      </c>
      <c r="E155" s="8">
        <f>YEAR(Table2[[#This Row],[Date]])</f>
        <v>2023</v>
      </c>
      <c r="F155" s="7" t="s">
        <v>913</v>
      </c>
      <c r="G155" s="7" t="s">
        <v>10</v>
      </c>
      <c r="H155" s="8">
        <v>21</v>
      </c>
      <c r="I155" s="8" t="str">
        <f>IF(Table2[[#This Row],[Age]] &lt; 19, "Teenagers", IF(Table2[[#This Row],[Age]] &lt;= 34, "Young Adults", IF(Table2[[#This Row],[Age]] &lt;= 45, "Adults", IF(Table2[[#This Row],[Age]] &lt;= 55, "Seniors", "Elderly")) ))</f>
        <v>Young Adults</v>
      </c>
      <c r="J155" s="7" t="s">
        <v>14</v>
      </c>
      <c r="K155" s="8">
        <v>2</v>
      </c>
      <c r="L155" s="8" t="str">
        <f>IF(Table2[[#This Row],[Quantity]]=1, "Single Order", IF(Table2[[#This Row],[Quantity]]=2, "Small Order", IF(Table2[[#This Row],[Quantity]]=3, "Medium Order", "Bulk Order")))</f>
        <v>Small Order</v>
      </c>
      <c r="M155" s="10">
        <v>30</v>
      </c>
      <c r="N155" s="10">
        <v>60</v>
      </c>
    </row>
    <row r="156" spans="1:14" x14ac:dyDescent="0.2">
      <c r="A156">
        <v>920</v>
      </c>
      <c r="B156" s="5">
        <v>44979</v>
      </c>
      <c r="C156" s="5" t="str">
        <f>TEXT(Table2[[#This Row],[Date]], "MMM")</f>
        <v>Feb</v>
      </c>
      <c r="D156" s="8">
        <f>MONTH(Table2[[#This Row],[Date]])</f>
        <v>2</v>
      </c>
      <c r="E156" s="8">
        <f>YEAR(Table2[[#This Row],[Date]])</f>
        <v>2023</v>
      </c>
      <c r="F156" s="7" t="s">
        <v>933</v>
      </c>
      <c r="G156" s="7" t="s">
        <v>13</v>
      </c>
      <c r="H156" s="8">
        <v>28</v>
      </c>
      <c r="I156" s="8" t="str">
        <f>IF(Table2[[#This Row],[Age]] &lt; 19, "Teenagers", IF(Table2[[#This Row],[Age]] &lt;= 34, "Young Adults", IF(Table2[[#This Row],[Age]] &lt;= 45, "Adults", IF(Table2[[#This Row],[Age]] &lt;= 55, "Seniors", "Elderly")) ))</f>
        <v>Young Adults</v>
      </c>
      <c r="J156" s="7" t="s">
        <v>11</v>
      </c>
      <c r="K156" s="8">
        <v>3</v>
      </c>
      <c r="L156" s="8" t="str">
        <f>IF(Table2[[#This Row],[Quantity]]=1, "Single Order", IF(Table2[[#This Row],[Quantity]]=2, "Small Order", IF(Table2[[#This Row],[Quantity]]=3, "Medium Order", "Bulk Order")))</f>
        <v>Medium Order</v>
      </c>
      <c r="M156" s="10">
        <v>25</v>
      </c>
      <c r="N156" s="10">
        <v>75</v>
      </c>
    </row>
    <row r="157" spans="1:14" x14ac:dyDescent="0.2">
      <c r="A157">
        <v>932</v>
      </c>
      <c r="B157" s="5">
        <v>44985</v>
      </c>
      <c r="C157" s="5" t="str">
        <f>TEXT(Table2[[#This Row],[Date]], "MMM")</f>
        <v>Feb</v>
      </c>
      <c r="D157" s="8">
        <f>MONTH(Table2[[#This Row],[Date]])</f>
        <v>2</v>
      </c>
      <c r="E157" s="8">
        <f>YEAR(Table2[[#This Row],[Date]])</f>
        <v>2023</v>
      </c>
      <c r="F157" s="7" t="s">
        <v>945</v>
      </c>
      <c r="G157" s="7" t="s">
        <v>13</v>
      </c>
      <c r="H157" s="8">
        <v>45</v>
      </c>
      <c r="I157" s="8" t="str">
        <f>IF(Table2[[#This Row],[Age]] &lt; 19, "Teenagers", IF(Table2[[#This Row],[Age]] &lt;= 34, "Young Adults", IF(Table2[[#This Row],[Age]] &lt;= 45, "Adults", IF(Table2[[#This Row],[Age]] &lt;= 55, "Seniors", "Elderly")) ))</f>
        <v>Adults</v>
      </c>
      <c r="J157" s="7" t="s">
        <v>11</v>
      </c>
      <c r="K157" s="8">
        <v>4</v>
      </c>
      <c r="L157" s="8" t="str">
        <f>IF(Table2[[#This Row],[Quantity]]=1, "Single Order", IF(Table2[[#This Row],[Quantity]]=2, "Small Order", IF(Table2[[#This Row],[Quantity]]=3, "Medium Order", "Bulk Order")))</f>
        <v>Bulk Order</v>
      </c>
      <c r="M157" s="10">
        <v>25</v>
      </c>
      <c r="N157" s="10">
        <v>100</v>
      </c>
    </row>
    <row r="158" spans="1:14" x14ac:dyDescent="0.2">
      <c r="A158">
        <v>933</v>
      </c>
      <c r="B158" s="5">
        <v>44960</v>
      </c>
      <c r="C158" s="5" t="str">
        <f>TEXT(Table2[[#This Row],[Date]], "MMM")</f>
        <v>Feb</v>
      </c>
      <c r="D158" s="8">
        <f>MONTH(Table2[[#This Row],[Date]])</f>
        <v>2</v>
      </c>
      <c r="E158" s="8">
        <f>YEAR(Table2[[#This Row],[Date]])</f>
        <v>2023</v>
      </c>
      <c r="F158" s="7" t="s">
        <v>946</v>
      </c>
      <c r="G158" s="7" t="s">
        <v>10</v>
      </c>
      <c r="H158" s="8">
        <v>22</v>
      </c>
      <c r="I158" s="8" t="str">
        <f>IF(Table2[[#This Row],[Age]] &lt; 19, "Teenagers", IF(Table2[[#This Row],[Age]] &lt;= 34, "Young Adults", IF(Table2[[#This Row],[Age]] &lt;= 45, "Adults", IF(Table2[[#This Row],[Age]] &lt;= 55, "Seniors", "Elderly")) ))</f>
        <v>Young Adults</v>
      </c>
      <c r="J158" s="7" t="s">
        <v>11</v>
      </c>
      <c r="K158" s="8">
        <v>1</v>
      </c>
      <c r="L158" s="8" t="str">
        <f>IF(Table2[[#This Row],[Quantity]]=1, "Single Order", IF(Table2[[#This Row],[Quantity]]=2, "Small Order", IF(Table2[[#This Row],[Quantity]]=3, "Medium Order", "Bulk Order")))</f>
        <v>Single Order</v>
      </c>
      <c r="M158" s="10">
        <v>30</v>
      </c>
      <c r="N158" s="10">
        <v>30</v>
      </c>
    </row>
    <row r="159" spans="1:14" x14ac:dyDescent="0.2">
      <c r="A159">
        <v>936</v>
      </c>
      <c r="B159" s="5">
        <v>44964</v>
      </c>
      <c r="C159" s="5" t="str">
        <f>TEXT(Table2[[#This Row],[Date]], "MMM")</f>
        <v>Feb</v>
      </c>
      <c r="D159" s="8">
        <f>MONTH(Table2[[#This Row],[Date]])</f>
        <v>2</v>
      </c>
      <c r="E159" s="8">
        <f>YEAR(Table2[[#This Row],[Date]])</f>
        <v>2023</v>
      </c>
      <c r="F159" s="7" t="s">
        <v>949</v>
      </c>
      <c r="G159" s="7" t="s">
        <v>10</v>
      </c>
      <c r="H159" s="8">
        <v>57</v>
      </c>
      <c r="I159" s="8" t="str">
        <f>IF(Table2[[#This Row],[Age]] &lt; 19, "Teenagers", IF(Table2[[#This Row],[Age]] &lt;= 34, "Young Adults", IF(Table2[[#This Row],[Age]] &lt;= 45, "Adults", IF(Table2[[#This Row],[Age]] &lt;= 55, "Seniors", "Elderly")) ))</f>
        <v>Elderly</v>
      </c>
      <c r="J159" s="7" t="s">
        <v>11</v>
      </c>
      <c r="K159" s="8">
        <v>4</v>
      </c>
      <c r="L159" s="8" t="str">
        <f>IF(Table2[[#This Row],[Quantity]]=1, "Single Order", IF(Table2[[#This Row],[Quantity]]=2, "Small Order", IF(Table2[[#This Row],[Quantity]]=3, "Medium Order", "Bulk Order")))</f>
        <v>Bulk Order</v>
      </c>
      <c r="M159" s="10">
        <v>50</v>
      </c>
      <c r="N159" s="10">
        <v>200</v>
      </c>
    </row>
    <row r="160" spans="1:14" x14ac:dyDescent="0.2">
      <c r="A160">
        <v>945</v>
      </c>
      <c r="B160" s="5">
        <v>44970</v>
      </c>
      <c r="C160" s="5" t="str">
        <f>TEXT(Table2[[#This Row],[Date]], "MMM")</f>
        <v>Feb</v>
      </c>
      <c r="D160" s="8">
        <f>MONTH(Table2[[#This Row],[Date]])</f>
        <v>2</v>
      </c>
      <c r="E160" s="8">
        <f>YEAR(Table2[[#This Row],[Date]])</f>
        <v>2023</v>
      </c>
      <c r="F160" s="7" t="s">
        <v>958</v>
      </c>
      <c r="G160" s="7" t="s">
        <v>10</v>
      </c>
      <c r="H160" s="8">
        <v>30</v>
      </c>
      <c r="I160" s="8" t="str">
        <f>IF(Table2[[#This Row],[Age]] &lt; 19, "Teenagers", IF(Table2[[#This Row],[Age]] &lt;= 34, "Young Adults", IF(Table2[[#This Row],[Age]] &lt;= 45, "Adults", IF(Table2[[#This Row],[Age]] &lt;= 55, "Seniors", "Elderly")) ))</f>
        <v>Young Adults</v>
      </c>
      <c r="J160" s="7" t="s">
        <v>11</v>
      </c>
      <c r="K160" s="8">
        <v>1</v>
      </c>
      <c r="L160" s="8" t="str">
        <f>IF(Table2[[#This Row],[Quantity]]=1, "Single Order", IF(Table2[[#This Row],[Quantity]]=2, "Small Order", IF(Table2[[#This Row],[Quantity]]=3, "Medium Order", "Bulk Order")))</f>
        <v>Single Order</v>
      </c>
      <c r="M160" s="10">
        <v>25</v>
      </c>
      <c r="N160" s="10">
        <v>25</v>
      </c>
    </row>
    <row r="161" spans="1:14" x14ac:dyDescent="0.2">
      <c r="A161">
        <v>966</v>
      </c>
      <c r="B161" s="5">
        <v>44977</v>
      </c>
      <c r="C161" s="5" t="str">
        <f>TEXT(Table2[[#This Row],[Date]], "MMM")</f>
        <v>Feb</v>
      </c>
      <c r="D161" s="8">
        <f>MONTH(Table2[[#This Row],[Date]])</f>
        <v>2</v>
      </c>
      <c r="E161" s="8">
        <f>YEAR(Table2[[#This Row],[Date]])</f>
        <v>2023</v>
      </c>
      <c r="F161" s="7" t="s">
        <v>979</v>
      </c>
      <c r="G161" s="7" t="s">
        <v>10</v>
      </c>
      <c r="H161" s="8">
        <v>60</v>
      </c>
      <c r="I161" s="8" t="str">
        <f>IF(Table2[[#This Row],[Age]] &lt; 19, "Teenagers", IF(Table2[[#This Row],[Age]] &lt;= 34, "Young Adults", IF(Table2[[#This Row],[Age]] &lt;= 45, "Adults", IF(Table2[[#This Row],[Age]] &lt;= 55, "Seniors", "Elderly")) ))</f>
        <v>Elderly</v>
      </c>
      <c r="J161" s="7" t="s">
        <v>16</v>
      </c>
      <c r="K161" s="8">
        <v>2</v>
      </c>
      <c r="L161" s="8" t="str">
        <f>IF(Table2[[#This Row],[Quantity]]=1, "Single Order", IF(Table2[[#This Row],[Quantity]]=2, "Small Order", IF(Table2[[#This Row],[Quantity]]=3, "Medium Order", "Bulk Order")))</f>
        <v>Small Order</v>
      </c>
      <c r="M161" s="10">
        <v>500</v>
      </c>
      <c r="N161" s="10">
        <v>1000</v>
      </c>
    </row>
    <row r="162" spans="1:14" x14ac:dyDescent="0.2">
      <c r="A162">
        <v>972</v>
      </c>
      <c r="B162" s="5">
        <v>44968</v>
      </c>
      <c r="C162" s="5" t="str">
        <f>TEXT(Table2[[#This Row],[Date]], "MMM")</f>
        <v>Feb</v>
      </c>
      <c r="D162" s="8">
        <f>MONTH(Table2[[#This Row],[Date]])</f>
        <v>2</v>
      </c>
      <c r="E162" s="8">
        <f>YEAR(Table2[[#This Row],[Date]])</f>
        <v>2023</v>
      </c>
      <c r="F162" s="7" t="s">
        <v>985</v>
      </c>
      <c r="G162" s="7" t="s">
        <v>10</v>
      </c>
      <c r="H162" s="8">
        <v>49</v>
      </c>
      <c r="I162" s="8" t="str">
        <f>IF(Table2[[#This Row],[Age]] &lt; 19, "Teenagers", IF(Table2[[#This Row],[Age]] &lt;= 34, "Young Adults", IF(Table2[[#This Row],[Age]] &lt;= 45, "Adults", IF(Table2[[#This Row],[Age]] &lt;= 55, "Seniors", "Elderly")) ))</f>
        <v>Seniors</v>
      </c>
      <c r="J162" s="7" t="s">
        <v>11</v>
      </c>
      <c r="K162" s="8">
        <v>4</v>
      </c>
      <c r="L162" s="8" t="str">
        <f>IF(Table2[[#This Row],[Quantity]]=1, "Single Order", IF(Table2[[#This Row],[Quantity]]=2, "Small Order", IF(Table2[[#This Row],[Quantity]]=3, "Medium Order", "Bulk Order")))</f>
        <v>Bulk Order</v>
      </c>
      <c r="M162" s="10">
        <v>25</v>
      </c>
      <c r="N162" s="10">
        <v>100</v>
      </c>
    </row>
    <row r="163" spans="1:14" x14ac:dyDescent="0.2">
      <c r="A163">
        <v>977</v>
      </c>
      <c r="B163" s="5">
        <v>44965</v>
      </c>
      <c r="C163" s="5" t="str">
        <f>TEXT(Table2[[#This Row],[Date]], "MMM")</f>
        <v>Feb</v>
      </c>
      <c r="D163" s="8">
        <f>MONTH(Table2[[#This Row],[Date]])</f>
        <v>2</v>
      </c>
      <c r="E163" s="8">
        <f>YEAR(Table2[[#This Row],[Date]])</f>
        <v>2023</v>
      </c>
      <c r="F163" s="7" t="s">
        <v>990</v>
      </c>
      <c r="G163" s="7" t="s">
        <v>13</v>
      </c>
      <c r="H163" s="8">
        <v>35</v>
      </c>
      <c r="I163" s="8" t="str">
        <f>IF(Table2[[#This Row],[Age]] &lt; 19, "Teenagers", IF(Table2[[#This Row],[Age]] &lt;= 34, "Young Adults", IF(Table2[[#This Row],[Age]] &lt;= 45, "Adults", IF(Table2[[#This Row],[Age]] &lt;= 55, "Seniors", "Elderly")) ))</f>
        <v>Adults</v>
      </c>
      <c r="J163" s="7" t="s">
        <v>16</v>
      </c>
      <c r="K163" s="8">
        <v>3</v>
      </c>
      <c r="L163" s="8" t="str">
        <f>IF(Table2[[#This Row],[Quantity]]=1, "Single Order", IF(Table2[[#This Row],[Quantity]]=2, "Small Order", IF(Table2[[#This Row],[Quantity]]=3, "Medium Order", "Bulk Order")))</f>
        <v>Medium Order</v>
      </c>
      <c r="M163" s="10">
        <v>25</v>
      </c>
      <c r="N163" s="10">
        <v>75</v>
      </c>
    </row>
    <row r="164" spans="1:14" x14ac:dyDescent="0.2">
      <c r="A164">
        <v>993</v>
      </c>
      <c r="B164" s="5">
        <v>44963</v>
      </c>
      <c r="C164" s="5" t="str">
        <f>TEXT(Table2[[#This Row],[Date]], "MMM")</f>
        <v>Feb</v>
      </c>
      <c r="D164" s="8">
        <f>MONTH(Table2[[#This Row],[Date]])</f>
        <v>2</v>
      </c>
      <c r="E164" s="8">
        <f>YEAR(Table2[[#This Row],[Date]])</f>
        <v>2023</v>
      </c>
      <c r="F164" s="7" t="s">
        <v>1006</v>
      </c>
      <c r="G164" s="7" t="s">
        <v>13</v>
      </c>
      <c r="H164" s="8">
        <v>48</v>
      </c>
      <c r="I164" s="8" t="str">
        <f>IF(Table2[[#This Row],[Age]] &lt; 19, "Teenagers", IF(Table2[[#This Row],[Age]] &lt;= 34, "Young Adults", IF(Table2[[#This Row],[Age]] &lt;= 45, "Adults", IF(Table2[[#This Row],[Age]] &lt;= 55, "Seniors", "Elderly")) ))</f>
        <v>Seniors</v>
      </c>
      <c r="J164" s="7" t="s">
        <v>16</v>
      </c>
      <c r="K164" s="8">
        <v>3</v>
      </c>
      <c r="L164" s="8" t="str">
        <f>IF(Table2[[#This Row],[Quantity]]=1, "Single Order", IF(Table2[[#This Row],[Quantity]]=2, "Small Order", IF(Table2[[#This Row],[Quantity]]=3, "Medium Order", "Bulk Order")))</f>
        <v>Medium Order</v>
      </c>
      <c r="M164" s="10">
        <v>50</v>
      </c>
      <c r="N164" s="10">
        <v>150</v>
      </c>
    </row>
    <row r="165" spans="1:14" x14ac:dyDescent="0.2">
      <c r="A165">
        <v>7</v>
      </c>
      <c r="B165" s="5">
        <v>44998</v>
      </c>
      <c r="C165" s="5" t="str">
        <f>TEXT(Table2[[#This Row],[Date]], "MMM")</f>
        <v>Mar</v>
      </c>
      <c r="D165" s="8">
        <f>MONTH(Table2[[#This Row],[Date]])</f>
        <v>3</v>
      </c>
      <c r="E165" s="8">
        <f>YEAR(Table2[[#This Row],[Date]])</f>
        <v>2023</v>
      </c>
      <c r="F165" s="7" t="s">
        <v>20</v>
      </c>
      <c r="G165" s="7" t="s">
        <v>10</v>
      </c>
      <c r="H165" s="8">
        <v>46</v>
      </c>
      <c r="I165" s="8" t="str">
        <f>IF(Table2[[#This Row],[Age]] &lt; 19, "Teenagers", IF(Table2[[#This Row],[Age]] &lt;= 34, "Young Adults", IF(Table2[[#This Row],[Age]] &lt;= 45, "Adults", IF(Table2[[#This Row],[Age]] &lt;= 55, "Seniors", "Elderly")) ))</f>
        <v>Seniors</v>
      </c>
      <c r="J165" s="7" t="s">
        <v>14</v>
      </c>
      <c r="K165" s="8">
        <v>2</v>
      </c>
      <c r="L165" s="8" t="str">
        <f>IF(Table2[[#This Row],[Quantity]]=1, "Single Order", IF(Table2[[#This Row],[Quantity]]=2, "Small Order", IF(Table2[[#This Row],[Quantity]]=3, "Medium Order", "Bulk Order")))</f>
        <v>Small Order</v>
      </c>
      <c r="M165" s="10">
        <v>25</v>
      </c>
      <c r="N165" s="10">
        <v>50</v>
      </c>
    </row>
    <row r="166" spans="1:14" x14ac:dyDescent="0.2">
      <c r="A166">
        <v>33</v>
      </c>
      <c r="B166" s="5">
        <v>45008</v>
      </c>
      <c r="C166" s="5" t="str">
        <f>TEXT(Table2[[#This Row],[Date]], "MMM")</f>
        <v>Mar</v>
      </c>
      <c r="D166" s="8">
        <f>MONTH(Table2[[#This Row],[Date]])</f>
        <v>3</v>
      </c>
      <c r="E166" s="8">
        <f>YEAR(Table2[[#This Row],[Date]])</f>
        <v>2023</v>
      </c>
      <c r="F166" s="7" t="s">
        <v>46</v>
      </c>
      <c r="G166" s="7" t="s">
        <v>13</v>
      </c>
      <c r="H166" s="8">
        <v>50</v>
      </c>
      <c r="I166" s="8" t="str">
        <f>IF(Table2[[#This Row],[Age]] &lt; 19, "Teenagers", IF(Table2[[#This Row],[Age]] &lt;= 34, "Young Adults", IF(Table2[[#This Row],[Age]] &lt;= 45, "Adults", IF(Table2[[#This Row],[Age]] &lt;= 55, "Seniors", "Elderly")) ))</f>
        <v>Seniors</v>
      </c>
      <c r="J166" s="7" t="s">
        <v>16</v>
      </c>
      <c r="K166" s="8">
        <v>2</v>
      </c>
      <c r="L166" s="8" t="str">
        <f>IF(Table2[[#This Row],[Quantity]]=1, "Single Order", IF(Table2[[#This Row],[Quantity]]=2, "Small Order", IF(Table2[[#This Row],[Quantity]]=3, "Medium Order", "Bulk Order")))</f>
        <v>Small Order</v>
      </c>
      <c r="M166" s="10">
        <v>50</v>
      </c>
      <c r="N166" s="10">
        <v>100</v>
      </c>
    </row>
    <row r="167" spans="1:14" x14ac:dyDescent="0.2">
      <c r="A167">
        <v>38</v>
      </c>
      <c r="B167" s="5">
        <v>45006</v>
      </c>
      <c r="C167" s="5" t="str">
        <f>TEXT(Table2[[#This Row],[Date]], "MMM")</f>
        <v>Mar</v>
      </c>
      <c r="D167" s="8">
        <f>MONTH(Table2[[#This Row],[Date]])</f>
        <v>3</v>
      </c>
      <c r="E167" s="8">
        <f>YEAR(Table2[[#This Row],[Date]])</f>
        <v>2023</v>
      </c>
      <c r="F167" s="7" t="s">
        <v>51</v>
      </c>
      <c r="G167" s="7" t="s">
        <v>10</v>
      </c>
      <c r="H167" s="8">
        <v>38</v>
      </c>
      <c r="I167" s="8" t="str">
        <f>IF(Table2[[#This Row],[Age]] &lt; 19, "Teenagers", IF(Table2[[#This Row],[Age]] &lt;= 34, "Young Adults", IF(Table2[[#This Row],[Age]] &lt;= 45, "Adults", IF(Table2[[#This Row],[Age]] &lt;= 55, "Seniors", "Elderly")) ))</f>
        <v>Adults</v>
      </c>
      <c r="J167" s="7" t="s">
        <v>11</v>
      </c>
      <c r="K167" s="8">
        <v>4</v>
      </c>
      <c r="L167" s="8" t="str">
        <f>IF(Table2[[#This Row],[Quantity]]=1, "Single Order", IF(Table2[[#This Row],[Quantity]]=2, "Small Order", IF(Table2[[#This Row],[Quantity]]=3, "Medium Order", "Bulk Order")))</f>
        <v>Bulk Order</v>
      </c>
      <c r="M167" s="10">
        <v>50</v>
      </c>
      <c r="N167" s="10">
        <v>200</v>
      </c>
    </row>
    <row r="168" spans="1:14" x14ac:dyDescent="0.2">
      <c r="A168">
        <v>52</v>
      </c>
      <c r="B168" s="5">
        <v>44990</v>
      </c>
      <c r="C168" s="5" t="str">
        <f>TEXT(Table2[[#This Row],[Date]], "MMM")</f>
        <v>Mar</v>
      </c>
      <c r="D168" s="8">
        <f>MONTH(Table2[[#This Row],[Date]])</f>
        <v>3</v>
      </c>
      <c r="E168" s="8">
        <f>YEAR(Table2[[#This Row],[Date]])</f>
        <v>2023</v>
      </c>
      <c r="F168" s="7" t="s">
        <v>65</v>
      </c>
      <c r="G168" s="7" t="s">
        <v>13</v>
      </c>
      <c r="H168" s="8">
        <v>36</v>
      </c>
      <c r="I168" s="8" t="str">
        <f>IF(Table2[[#This Row],[Age]] &lt; 19, "Teenagers", IF(Table2[[#This Row],[Age]] &lt;= 34, "Young Adults", IF(Table2[[#This Row],[Age]] &lt;= 45, "Adults", IF(Table2[[#This Row],[Age]] &lt;= 55, "Seniors", "Elderly")) ))</f>
        <v>Adults</v>
      </c>
      <c r="J168" s="7" t="s">
        <v>11</v>
      </c>
      <c r="K168" s="8">
        <v>1</v>
      </c>
      <c r="L168" s="8" t="str">
        <f>IF(Table2[[#This Row],[Quantity]]=1, "Single Order", IF(Table2[[#This Row],[Quantity]]=2, "Small Order", IF(Table2[[#This Row],[Quantity]]=3, "Medium Order", "Bulk Order")))</f>
        <v>Single Order</v>
      </c>
      <c r="M168" s="10">
        <v>300</v>
      </c>
      <c r="N168" s="10">
        <v>300</v>
      </c>
    </row>
    <row r="169" spans="1:14" x14ac:dyDescent="0.2">
      <c r="A169">
        <v>76</v>
      </c>
      <c r="B169" s="5">
        <v>45010</v>
      </c>
      <c r="C169" s="5" t="str">
        <f>TEXT(Table2[[#This Row],[Date]], "MMM")</f>
        <v>Mar</v>
      </c>
      <c r="D169" s="8">
        <f>MONTH(Table2[[#This Row],[Date]])</f>
        <v>3</v>
      </c>
      <c r="E169" s="8">
        <f>YEAR(Table2[[#This Row],[Date]])</f>
        <v>2023</v>
      </c>
      <c r="F169" s="7" t="s">
        <v>89</v>
      </c>
      <c r="G169" s="7" t="s">
        <v>13</v>
      </c>
      <c r="H169" s="8">
        <v>22</v>
      </c>
      <c r="I169" s="8" t="str">
        <f>IF(Table2[[#This Row],[Age]] &lt; 19, "Teenagers", IF(Table2[[#This Row],[Age]] &lt;= 34, "Young Adults", IF(Table2[[#This Row],[Age]] &lt;= 45, "Adults", IF(Table2[[#This Row],[Age]] &lt;= 55, "Seniors", "Elderly")) ))</f>
        <v>Young Adults</v>
      </c>
      <c r="J169" s="7" t="s">
        <v>16</v>
      </c>
      <c r="K169" s="8">
        <v>2</v>
      </c>
      <c r="L169" s="8" t="str">
        <f>IF(Table2[[#This Row],[Quantity]]=1, "Single Order", IF(Table2[[#This Row],[Quantity]]=2, "Small Order", IF(Table2[[#This Row],[Quantity]]=3, "Medium Order", "Bulk Order")))</f>
        <v>Small Order</v>
      </c>
      <c r="M169" s="10">
        <v>50</v>
      </c>
      <c r="N169" s="10">
        <v>100</v>
      </c>
    </row>
    <row r="170" spans="1:14" x14ac:dyDescent="0.2">
      <c r="A170">
        <v>88</v>
      </c>
      <c r="B170" s="5">
        <v>45014</v>
      </c>
      <c r="C170" s="5" t="str">
        <f>TEXT(Table2[[#This Row],[Date]], "MMM")</f>
        <v>Mar</v>
      </c>
      <c r="D170" s="8">
        <f>MONTH(Table2[[#This Row],[Date]])</f>
        <v>3</v>
      </c>
      <c r="E170" s="8">
        <f>YEAR(Table2[[#This Row],[Date]])</f>
        <v>2023</v>
      </c>
      <c r="F170" s="7" t="s">
        <v>101</v>
      </c>
      <c r="G170" s="7" t="s">
        <v>10</v>
      </c>
      <c r="H170" s="8">
        <v>56</v>
      </c>
      <c r="I170" s="8" t="str">
        <f>IF(Table2[[#This Row],[Age]] &lt; 19, "Teenagers", IF(Table2[[#This Row],[Age]] &lt;= 34, "Young Adults", IF(Table2[[#This Row],[Age]] &lt;= 45, "Adults", IF(Table2[[#This Row],[Age]] &lt;= 55, "Seniors", "Elderly")) ))</f>
        <v>Elderly</v>
      </c>
      <c r="J170" s="7" t="s">
        <v>14</v>
      </c>
      <c r="K170" s="8">
        <v>1</v>
      </c>
      <c r="L170" s="8" t="str">
        <f>IF(Table2[[#This Row],[Quantity]]=1, "Single Order", IF(Table2[[#This Row],[Quantity]]=2, "Small Order", IF(Table2[[#This Row],[Quantity]]=3, "Medium Order", "Bulk Order")))</f>
        <v>Single Order</v>
      </c>
      <c r="M170" s="10">
        <v>500</v>
      </c>
      <c r="N170" s="10">
        <v>500</v>
      </c>
    </row>
    <row r="171" spans="1:14" x14ac:dyDescent="0.2">
      <c r="A171">
        <v>91</v>
      </c>
      <c r="B171" s="5">
        <v>45010</v>
      </c>
      <c r="C171" s="5" t="str">
        <f>TEXT(Table2[[#This Row],[Date]], "MMM")</f>
        <v>Mar</v>
      </c>
      <c r="D171" s="8">
        <f>MONTH(Table2[[#This Row],[Date]])</f>
        <v>3</v>
      </c>
      <c r="E171" s="8">
        <f>YEAR(Table2[[#This Row],[Date]])</f>
        <v>2023</v>
      </c>
      <c r="F171" s="7" t="s">
        <v>104</v>
      </c>
      <c r="G171" s="7" t="s">
        <v>13</v>
      </c>
      <c r="H171" s="8">
        <v>55</v>
      </c>
      <c r="I171" s="8" t="str">
        <f>IF(Table2[[#This Row],[Age]] &lt; 19, "Teenagers", IF(Table2[[#This Row],[Age]] &lt;= 34, "Young Adults", IF(Table2[[#This Row],[Age]] &lt;= 45, "Adults", IF(Table2[[#This Row],[Age]] &lt;= 55, "Seniors", "Elderly")) ))</f>
        <v>Seniors</v>
      </c>
      <c r="J171" s="7" t="s">
        <v>16</v>
      </c>
      <c r="K171" s="8">
        <v>1</v>
      </c>
      <c r="L171" s="8" t="str">
        <f>IF(Table2[[#This Row],[Quantity]]=1, "Single Order", IF(Table2[[#This Row],[Quantity]]=2, "Small Order", IF(Table2[[#This Row],[Quantity]]=3, "Medium Order", "Bulk Order")))</f>
        <v>Single Order</v>
      </c>
      <c r="M171" s="10">
        <v>500</v>
      </c>
      <c r="N171" s="10">
        <v>500</v>
      </c>
    </row>
    <row r="172" spans="1:14" x14ac:dyDescent="0.2">
      <c r="A172">
        <v>117</v>
      </c>
      <c r="B172" s="5">
        <v>45000</v>
      </c>
      <c r="C172" s="5" t="str">
        <f>TEXT(Table2[[#This Row],[Date]], "MMM")</f>
        <v>Mar</v>
      </c>
      <c r="D172" s="8">
        <f>MONTH(Table2[[#This Row],[Date]])</f>
        <v>3</v>
      </c>
      <c r="E172" s="8">
        <f>YEAR(Table2[[#This Row],[Date]])</f>
        <v>2023</v>
      </c>
      <c r="F172" s="7" t="s">
        <v>130</v>
      </c>
      <c r="G172" s="7" t="s">
        <v>10</v>
      </c>
      <c r="H172" s="8">
        <v>19</v>
      </c>
      <c r="I172" s="8" t="str">
        <f>IF(Table2[[#This Row],[Age]] &lt; 19, "Teenagers", IF(Table2[[#This Row],[Age]] &lt;= 34, "Young Adults", IF(Table2[[#This Row],[Age]] &lt;= 45, "Adults", IF(Table2[[#This Row],[Age]] &lt;= 55, "Seniors", "Elderly")) ))</f>
        <v>Young Adults</v>
      </c>
      <c r="J172" s="7" t="s">
        <v>16</v>
      </c>
      <c r="K172" s="8">
        <v>2</v>
      </c>
      <c r="L172" s="8" t="str">
        <f>IF(Table2[[#This Row],[Quantity]]=1, "Single Order", IF(Table2[[#This Row],[Quantity]]=2, "Small Order", IF(Table2[[#This Row],[Quantity]]=3, "Medium Order", "Bulk Order")))</f>
        <v>Small Order</v>
      </c>
      <c r="M172" s="10">
        <v>500</v>
      </c>
      <c r="N172" s="10">
        <v>1000</v>
      </c>
    </row>
    <row r="173" spans="1:14" x14ac:dyDescent="0.2">
      <c r="A173">
        <v>119</v>
      </c>
      <c r="B173" s="5">
        <v>44998</v>
      </c>
      <c r="C173" s="5" t="str">
        <f>TEXT(Table2[[#This Row],[Date]], "MMM")</f>
        <v>Mar</v>
      </c>
      <c r="D173" s="8">
        <f>MONTH(Table2[[#This Row],[Date]])</f>
        <v>3</v>
      </c>
      <c r="E173" s="8">
        <f>YEAR(Table2[[#This Row],[Date]])</f>
        <v>2023</v>
      </c>
      <c r="F173" s="7" t="s">
        <v>132</v>
      </c>
      <c r="G173" s="7" t="s">
        <v>13</v>
      </c>
      <c r="H173" s="8">
        <v>60</v>
      </c>
      <c r="I173" s="8" t="str">
        <f>IF(Table2[[#This Row],[Age]] &lt; 19, "Teenagers", IF(Table2[[#This Row],[Age]] &lt;= 34, "Young Adults", IF(Table2[[#This Row],[Age]] &lt;= 45, "Adults", IF(Table2[[#This Row],[Age]] &lt;= 55, "Seniors", "Elderly")) ))</f>
        <v>Elderly</v>
      </c>
      <c r="J173" s="7" t="s">
        <v>14</v>
      </c>
      <c r="K173" s="8">
        <v>3</v>
      </c>
      <c r="L173" s="8" t="str">
        <f>IF(Table2[[#This Row],[Quantity]]=1, "Single Order", IF(Table2[[#This Row],[Quantity]]=2, "Small Order", IF(Table2[[#This Row],[Quantity]]=3, "Medium Order", "Bulk Order")))</f>
        <v>Medium Order</v>
      </c>
      <c r="M173" s="10">
        <v>50</v>
      </c>
      <c r="N173" s="10">
        <v>150</v>
      </c>
    </row>
    <row r="174" spans="1:14" x14ac:dyDescent="0.2">
      <c r="A174">
        <v>130</v>
      </c>
      <c r="B174" s="5">
        <v>44997</v>
      </c>
      <c r="C174" s="5" t="str">
        <f>TEXT(Table2[[#This Row],[Date]], "MMM")</f>
        <v>Mar</v>
      </c>
      <c r="D174" s="8">
        <f>MONTH(Table2[[#This Row],[Date]])</f>
        <v>3</v>
      </c>
      <c r="E174" s="8">
        <f>YEAR(Table2[[#This Row],[Date]])</f>
        <v>2023</v>
      </c>
      <c r="F174" s="7" t="s">
        <v>143</v>
      </c>
      <c r="G174" s="7" t="s">
        <v>13</v>
      </c>
      <c r="H174" s="8">
        <v>57</v>
      </c>
      <c r="I174" s="8" t="str">
        <f>IF(Table2[[#This Row],[Age]] &lt; 19, "Teenagers", IF(Table2[[#This Row],[Age]] &lt;= 34, "Young Adults", IF(Table2[[#This Row],[Age]] &lt;= 45, "Adults", IF(Table2[[#This Row],[Age]] &lt;= 55, "Seniors", "Elderly")) ))</f>
        <v>Elderly</v>
      </c>
      <c r="J174" s="7" t="s">
        <v>14</v>
      </c>
      <c r="K174" s="8">
        <v>1</v>
      </c>
      <c r="L174" s="8" t="str">
        <f>IF(Table2[[#This Row],[Quantity]]=1, "Single Order", IF(Table2[[#This Row],[Quantity]]=2, "Small Order", IF(Table2[[#This Row],[Quantity]]=3, "Medium Order", "Bulk Order")))</f>
        <v>Single Order</v>
      </c>
      <c r="M174" s="10">
        <v>500</v>
      </c>
      <c r="N174" s="10">
        <v>500</v>
      </c>
    </row>
    <row r="175" spans="1:14" x14ac:dyDescent="0.2">
      <c r="A175">
        <v>136</v>
      </c>
      <c r="B175" s="5">
        <v>45005</v>
      </c>
      <c r="C175" s="5" t="str">
        <f>TEXT(Table2[[#This Row],[Date]], "MMM")</f>
        <v>Mar</v>
      </c>
      <c r="D175" s="8">
        <f>MONTH(Table2[[#This Row],[Date]])</f>
        <v>3</v>
      </c>
      <c r="E175" s="8">
        <f>YEAR(Table2[[#This Row],[Date]])</f>
        <v>2023</v>
      </c>
      <c r="F175" s="7" t="s">
        <v>149</v>
      </c>
      <c r="G175" s="7" t="s">
        <v>10</v>
      </c>
      <c r="H175" s="8">
        <v>44</v>
      </c>
      <c r="I175" s="8" t="str">
        <f>IF(Table2[[#This Row],[Age]] &lt; 19, "Teenagers", IF(Table2[[#This Row],[Age]] &lt;= 34, "Young Adults", IF(Table2[[#This Row],[Age]] &lt;= 45, "Adults", IF(Table2[[#This Row],[Age]] &lt;= 55, "Seniors", "Elderly")) ))</f>
        <v>Adults</v>
      </c>
      <c r="J175" s="7" t="s">
        <v>16</v>
      </c>
      <c r="K175" s="8">
        <v>2</v>
      </c>
      <c r="L175" s="8" t="str">
        <f>IF(Table2[[#This Row],[Quantity]]=1, "Single Order", IF(Table2[[#This Row],[Quantity]]=2, "Small Order", IF(Table2[[#This Row],[Quantity]]=3, "Medium Order", "Bulk Order")))</f>
        <v>Small Order</v>
      </c>
      <c r="M175" s="10">
        <v>300</v>
      </c>
      <c r="N175" s="10">
        <v>600</v>
      </c>
    </row>
    <row r="176" spans="1:14" x14ac:dyDescent="0.2">
      <c r="A176">
        <v>138</v>
      </c>
      <c r="B176" s="5">
        <v>45008</v>
      </c>
      <c r="C176" s="5" t="str">
        <f>TEXT(Table2[[#This Row],[Date]], "MMM")</f>
        <v>Mar</v>
      </c>
      <c r="D176" s="8">
        <f>MONTH(Table2[[#This Row],[Date]])</f>
        <v>3</v>
      </c>
      <c r="E176" s="8">
        <f>YEAR(Table2[[#This Row],[Date]])</f>
        <v>2023</v>
      </c>
      <c r="F176" s="7" t="s">
        <v>151</v>
      </c>
      <c r="G176" s="7" t="s">
        <v>10</v>
      </c>
      <c r="H176" s="8">
        <v>49</v>
      </c>
      <c r="I176" s="8" t="str">
        <f>IF(Table2[[#This Row],[Age]] &lt; 19, "Teenagers", IF(Table2[[#This Row],[Age]] &lt;= 34, "Young Adults", IF(Table2[[#This Row],[Age]] &lt;= 45, "Adults", IF(Table2[[#This Row],[Age]] &lt;= 55, "Seniors", "Elderly")) ))</f>
        <v>Seniors</v>
      </c>
      <c r="J176" s="7" t="s">
        <v>14</v>
      </c>
      <c r="K176" s="8">
        <v>4</v>
      </c>
      <c r="L176" s="8" t="str">
        <f>IF(Table2[[#This Row],[Quantity]]=1, "Single Order", IF(Table2[[#This Row],[Quantity]]=2, "Small Order", IF(Table2[[#This Row],[Quantity]]=3, "Medium Order", "Bulk Order")))</f>
        <v>Bulk Order</v>
      </c>
      <c r="M176" s="10">
        <v>50</v>
      </c>
      <c r="N176" s="10">
        <v>200</v>
      </c>
    </row>
    <row r="177" spans="1:14" x14ac:dyDescent="0.2">
      <c r="A177">
        <v>161</v>
      </c>
      <c r="B177" s="5">
        <v>45007</v>
      </c>
      <c r="C177" s="5" t="str">
        <f>TEXT(Table2[[#This Row],[Date]], "MMM")</f>
        <v>Mar</v>
      </c>
      <c r="D177" s="8">
        <f>MONTH(Table2[[#This Row],[Date]])</f>
        <v>3</v>
      </c>
      <c r="E177" s="8">
        <f>YEAR(Table2[[#This Row],[Date]])</f>
        <v>2023</v>
      </c>
      <c r="F177" s="7" t="s">
        <v>174</v>
      </c>
      <c r="G177" s="7" t="s">
        <v>10</v>
      </c>
      <c r="H177" s="8">
        <v>64</v>
      </c>
      <c r="I177" s="8" t="str">
        <f>IF(Table2[[#This Row],[Age]] &lt; 19, "Teenagers", IF(Table2[[#This Row],[Age]] &lt;= 34, "Young Adults", IF(Table2[[#This Row],[Age]] &lt;= 45, "Adults", IF(Table2[[#This Row],[Age]] &lt;= 55, "Seniors", "Elderly")) ))</f>
        <v>Elderly</v>
      </c>
      <c r="J177" s="7" t="s">
        <v>11</v>
      </c>
      <c r="K177" s="8">
        <v>2</v>
      </c>
      <c r="L177" s="8" t="str">
        <f>IF(Table2[[#This Row],[Quantity]]=1, "Single Order", IF(Table2[[#This Row],[Quantity]]=2, "Small Order", IF(Table2[[#This Row],[Quantity]]=3, "Medium Order", "Bulk Order")))</f>
        <v>Small Order</v>
      </c>
      <c r="M177" s="10">
        <v>500</v>
      </c>
      <c r="N177" s="10">
        <v>1000</v>
      </c>
    </row>
    <row r="178" spans="1:14" x14ac:dyDescent="0.2">
      <c r="A178">
        <v>175</v>
      </c>
      <c r="B178" s="5">
        <v>45005</v>
      </c>
      <c r="C178" s="5" t="str">
        <f>TEXT(Table2[[#This Row],[Date]], "MMM")</f>
        <v>Mar</v>
      </c>
      <c r="D178" s="8">
        <f>MONTH(Table2[[#This Row],[Date]])</f>
        <v>3</v>
      </c>
      <c r="E178" s="8">
        <f>YEAR(Table2[[#This Row],[Date]])</f>
        <v>2023</v>
      </c>
      <c r="F178" s="7" t="s">
        <v>188</v>
      </c>
      <c r="G178" s="7" t="s">
        <v>13</v>
      </c>
      <c r="H178" s="8">
        <v>31</v>
      </c>
      <c r="I178" s="8" t="str">
        <f>IF(Table2[[#This Row],[Age]] &lt; 19, "Teenagers", IF(Table2[[#This Row],[Age]] &lt;= 34, "Young Adults", IF(Table2[[#This Row],[Age]] &lt;= 45, "Adults", IF(Table2[[#This Row],[Age]] &lt;= 55, "Seniors", "Elderly")) ))</f>
        <v>Young Adults</v>
      </c>
      <c r="J178" s="7" t="s">
        <v>16</v>
      </c>
      <c r="K178" s="8">
        <v>4</v>
      </c>
      <c r="L178" s="8" t="str">
        <f>IF(Table2[[#This Row],[Quantity]]=1, "Single Order", IF(Table2[[#This Row],[Quantity]]=2, "Small Order", IF(Table2[[#This Row],[Quantity]]=3, "Medium Order", "Bulk Order")))</f>
        <v>Bulk Order</v>
      </c>
      <c r="M178" s="10">
        <v>25</v>
      </c>
      <c r="N178" s="10">
        <v>100</v>
      </c>
    </row>
    <row r="179" spans="1:14" x14ac:dyDescent="0.2">
      <c r="A179">
        <v>177</v>
      </c>
      <c r="B179" s="5">
        <v>45009</v>
      </c>
      <c r="C179" s="5" t="str">
        <f>TEXT(Table2[[#This Row],[Date]], "MMM")</f>
        <v>Mar</v>
      </c>
      <c r="D179" s="8">
        <f>MONTH(Table2[[#This Row],[Date]])</f>
        <v>3</v>
      </c>
      <c r="E179" s="8">
        <f>YEAR(Table2[[#This Row],[Date]])</f>
        <v>2023</v>
      </c>
      <c r="F179" s="7" t="s">
        <v>190</v>
      </c>
      <c r="G179" s="7" t="s">
        <v>10</v>
      </c>
      <c r="H179" s="8">
        <v>45</v>
      </c>
      <c r="I179" s="8" t="str">
        <f>IF(Table2[[#This Row],[Age]] &lt; 19, "Teenagers", IF(Table2[[#This Row],[Age]] &lt;= 34, "Young Adults", IF(Table2[[#This Row],[Age]] &lt;= 45, "Adults", IF(Table2[[#This Row],[Age]] &lt;= 55, "Seniors", "Elderly")) ))</f>
        <v>Adults</v>
      </c>
      <c r="J179" s="7" t="s">
        <v>11</v>
      </c>
      <c r="K179" s="8">
        <v>2</v>
      </c>
      <c r="L179" s="8" t="str">
        <f>IF(Table2[[#This Row],[Quantity]]=1, "Single Order", IF(Table2[[#This Row],[Quantity]]=2, "Small Order", IF(Table2[[#This Row],[Quantity]]=3, "Medium Order", "Bulk Order")))</f>
        <v>Small Order</v>
      </c>
      <c r="M179" s="10">
        <v>50</v>
      </c>
      <c r="N179" s="10">
        <v>100</v>
      </c>
    </row>
    <row r="180" spans="1:14" x14ac:dyDescent="0.2">
      <c r="A180">
        <v>197</v>
      </c>
      <c r="B180" s="5">
        <v>44991</v>
      </c>
      <c r="C180" s="5" t="str">
        <f>TEXT(Table2[[#This Row],[Date]], "MMM")</f>
        <v>Mar</v>
      </c>
      <c r="D180" s="8">
        <f>MONTH(Table2[[#This Row],[Date]])</f>
        <v>3</v>
      </c>
      <c r="E180" s="8">
        <f>YEAR(Table2[[#This Row],[Date]])</f>
        <v>2023</v>
      </c>
      <c r="F180" s="7" t="s">
        <v>210</v>
      </c>
      <c r="G180" s="7" t="s">
        <v>13</v>
      </c>
      <c r="H180" s="8">
        <v>42</v>
      </c>
      <c r="I180" s="8" t="str">
        <f>IF(Table2[[#This Row],[Age]] &lt; 19, "Teenagers", IF(Table2[[#This Row],[Age]] &lt;= 34, "Young Adults", IF(Table2[[#This Row],[Age]] &lt;= 45, "Adults", IF(Table2[[#This Row],[Age]] &lt;= 55, "Seniors", "Elderly")) ))</f>
        <v>Adults</v>
      </c>
      <c r="J180" s="7" t="s">
        <v>14</v>
      </c>
      <c r="K180" s="8">
        <v>4</v>
      </c>
      <c r="L180" s="8" t="str">
        <f>IF(Table2[[#This Row],[Quantity]]=1, "Single Order", IF(Table2[[#This Row],[Quantity]]=2, "Small Order", IF(Table2[[#This Row],[Quantity]]=3, "Medium Order", "Bulk Order")))</f>
        <v>Bulk Order</v>
      </c>
      <c r="M180" s="10">
        <v>50</v>
      </c>
      <c r="N180" s="10">
        <v>200</v>
      </c>
    </row>
    <row r="181" spans="1:14" x14ac:dyDescent="0.2">
      <c r="A181">
        <v>198</v>
      </c>
      <c r="B181" s="5">
        <v>44992</v>
      </c>
      <c r="C181" s="5" t="str">
        <f>TEXT(Table2[[#This Row],[Date]], "MMM")</f>
        <v>Mar</v>
      </c>
      <c r="D181" s="8">
        <f>MONTH(Table2[[#This Row],[Date]])</f>
        <v>3</v>
      </c>
      <c r="E181" s="8">
        <f>YEAR(Table2[[#This Row],[Date]])</f>
        <v>2023</v>
      </c>
      <c r="F181" s="7" t="s">
        <v>211</v>
      </c>
      <c r="G181" s="7" t="s">
        <v>13</v>
      </c>
      <c r="H181" s="8">
        <v>54</v>
      </c>
      <c r="I181" s="8" t="str">
        <f>IF(Table2[[#This Row],[Age]] &lt; 19, "Teenagers", IF(Table2[[#This Row],[Age]] &lt;= 34, "Young Adults", IF(Table2[[#This Row],[Age]] &lt;= 45, "Adults", IF(Table2[[#This Row],[Age]] &lt;= 55, "Seniors", "Elderly")) ))</f>
        <v>Seniors</v>
      </c>
      <c r="J181" s="7" t="s">
        <v>11</v>
      </c>
      <c r="K181" s="8">
        <v>3</v>
      </c>
      <c r="L181" s="8" t="str">
        <f>IF(Table2[[#This Row],[Quantity]]=1, "Single Order", IF(Table2[[#This Row],[Quantity]]=2, "Small Order", IF(Table2[[#This Row],[Quantity]]=3, "Medium Order", "Bulk Order")))</f>
        <v>Medium Order</v>
      </c>
      <c r="M181" s="10">
        <v>300</v>
      </c>
      <c r="N181" s="10">
        <v>900</v>
      </c>
    </row>
    <row r="182" spans="1:14" x14ac:dyDescent="0.2">
      <c r="A182">
        <v>202</v>
      </c>
      <c r="B182" s="5">
        <v>45011</v>
      </c>
      <c r="C182" s="5" t="str">
        <f>TEXT(Table2[[#This Row],[Date]], "MMM")</f>
        <v>Mar</v>
      </c>
      <c r="D182" s="8">
        <f>MONTH(Table2[[#This Row],[Date]])</f>
        <v>3</v>
      </c>
      <c r="E182" s="8">
        <f>YEAR(Table2[[#This Row],[Date]])</f>
        <v>2023</v>
      </c>
      <c r="F182" s="7" t="s">
        <v>215</v>
      </c>
      <c r="G182" s="7" t="s">
        <v>13</v>
      </c>
      <c r="H182" s="8">
        <v>34</v>
      </c>
      <c r="I182" s="8" t="str">
        <f>IF(Table2[[#This Row],[Age]] &lt; 19, "Teenagers", IF(Table2[[#This Row],[Age]] &lt;= 34, "Young Adults", IF(Table2[[#This Row],[Age]] &lt;= 45, "Adults", IF(Table2[[#This Row],[Age]] &lt;= 55, "Seniors", "Elderly")) ))</f>
        <v>Young Adults</v>
      </c>
      <c r="J182" s="7" t="s">
        <v>14</v>
      </c>
      <c r="K182" s="8">
        <v>4</v>
      </c>
      <c r="L182" s="8" t="str">
        <f>IF(Table2[[#This Row],[Quantity]]=1, "Single Order", IF(Table2[[#This Row],[Quantity]]=2, "Small Order", IF(Table2[[#This Row],[Quantity]]=3, "Medium Order", "Bulk Order")))</f>
        <v>Bulk Order</v>
      </c>
      <c r="M182" s="10">
        <v>300</v>
      </c>
      <c r="N182" s="10">
        <v>1200</v>
      </c>
    </row>
    <row r="183" spans="1:14" x14ac:dyDescent="0.2">
      <c r="A183">
        <v>220</v>
      </c>
      <c r="B183" s="5">
        <v>44988</v>
      </c>
      <c r="C183" s="5" t="str">
        <f>TEXT(Table2[[#This Row],[Date]], "MMM")</f>
        <v>Mar</v>
      </c>
      <c r="D183" s="8">
        <f>MONTH(Table2[[#This Row],[Date]])</f>
        <v>3</v>
      </c>
      <c r="E183" s="8">
        <f>YEAR(Table2[[#This Row],[Date]])</f>
        <v>2023</v>
      </c>
      <c r="F183" s="7" t="s">
        <v>233</v>
      </c>
      <c r="G183" s="7" t="s">
        <v>10</v>
      </c>
      <c r="H183" s="8">
        <v>64</v>
      </c>
      <c r="I183" s="8" t="str">
        <f>IF(Table2[[#This Row],[Age]] &lt; 19, "Teenagers", IF(Table2[[#This Row],[Age]] &lt;= 34, "Young Adults", IF(Table2[[#This Row],[Age]] &lt;= 45, "Adults", IF(Table2[[#This Row],[Age]] &lt;= 55, "Seniors", "Elderly")) ))</f>
        <v>Elderly</v>
      </c>
      <c r="J183" s="7" t="s">
        <v>11</v>
      </c>
      <c r="K183" s="8">
        <v>1</v>
      </c>
      <c r="L183" s="8" t="str">
        <f>IF(Table2[[#This Row],[Quantity]]=1, "Single Order", IF(Table2[[#This Row],[Quantity]]=2, "Small Order", IF(Table2[[#This Row],[Quantity]]=3, "Medium Order", "Bulk Order")))</f>
        <v>Single Order</v>
      </c>
      <c r="M183" s="10">
        <v>500</v>
      </c>
      <c r="N183" s="10">
        <v>500</v>
      </c>
    </row>
    <row r="184" spans="1:14" x14ac:dyDescent="0.2">
      <c r="A184">
        <v>248</v>
      </c>
      <c r="B184" s="5">
        <v>44994</v>
      </c>
      <c r="C184" s="5" t="str">
        <f>TEXT(Table2[[#This Row],[Date]], "MMM")</f>
        <v>Mar</v>
      </c>
      <c r="D184" s="8">
        <f>MONTH(Table2[[#This Row],[Date]])</f>
        <v>3</v>
      </c>
      <c r="E184" s="8">
        <f>YEAR(Table2[[#This Row],[Date]])</f>
        <v>2023</v>
      </c>
      <c r="F184" s="7" t="s">
        <v>261</v>
      </c>
      <c r="G184" s="7" t="s">
        <v>10</v>
      </c>
      <c r="H184" s="8">
        <v>26</v>
      </c>
      <c r="I184" s="8" t="str">
        <f>IF(Table2[[#This Row],[Age]] &lt; 19, "Teenagers", IF(Table2[[#This Row],[Age]] &lt;= 34, "Young Adults", IF(Table2[[#This Row],[Age]] &lt;= 45, "Adults", IF(Table2[[#This Row],[Age]] &lt;= 55, "Seniors", "Elderly")) ))</f>
        <v>Young Adults</v>
      </c>
      <c r="J184" s="7" t="s">
        <v>14</v>
      </c>
      <c r="K184" s="8">
        <v>3</v>
      </c>
      <c r="L184" s="8" t="str">
        <f>IF(Table2[[#This Row],[Quantity]]=1, "Single Order", IF(Table2[[#This Row],[Quantity]]=2, "Small Order", IF(Table2[[#This Row],[Quantity]]=3, "Medium Order", "Bulk Order")))</f>
        <v>Medium Order</v>
      </c>
      <c r="M184" s="10">
        <v>300</v>
      </c>
      <c r="N184" s="10">
        <v>900</v>
      </c>
    </row>
    <row r="185" spans="1:14" x14ac:dyDescent="0.2">
      <c r="A185">
        <v>278</v>
      </c>
      <c r="B185" s="5">
        <v>44998</v>
      </c>
      <c r="C185" s="5" t="str">
        <f>TEXT(Table2[[#This Row],[Date]], "MMM")</f>
        <v>Mar</v>
      </c>
      <c r="D185" s="8">
        <f>MONTH(Table2[[#This Row],[Date]])</f>
        <v>3</v>
      </c>
      <c r="E185" s="8">
        <f>YEAR(Table2[[#This Row],[Date]])</f>
        <v>2023</v>
      </c>
      <c r="F185" s="7" t="s">
        <v>291</v>
      </c>
      <c r="G185" s="7" t="s">
        <v>13</v>
      </c>
      <c r="H185" s="8">
        <v>37</v>
      </c>
      <c r="I185" s="8" t="str">
        <f>IF(Table2[[#This Row],[Age]] &lt; 19, "Teenagers", IF(Table2[[#This Row],[Age]] &lt;= 34, "Young Adults", IF(Table2[[#This Row],[Age]] &lt;= 45, "Adults", IF(Table2[[#This Row],[Age]] &lt;= 55, "Seniors", "Elderly")) ))</f>
        <v>Adults</v>
      </c>
      <c r="J185" s="7" t="s">
        <v>14</v>
      </c>
      <c r="K185" s="8">
        <v>4</v>
      </c>
      <c r="L185" s="8" t="str">
        <f>IF(Table2[[#This Row],[Quantity]]=1, "Single Order", IF(Table2[[#This Row],[Quantity]]=2, "Small Order", IF(Table2[[#This Row],[Quantity]]=3, "Medium Order", "Bulk Order")))</f>
        <v>Bulk Order</v>
      </c>
      <c r="M185" s="10">
        <v>25</v>
      </c>
      <c r="N185" s="10">
        <v>100</v>
      </c>
    </row>
    <row r="186" spans="1:14" x14ac:dyDescent="0.2">
      <c r="A186">
        <v>294</v>
      </c>
      <c r="B186" s="5">
        <v>45012</v>
      </c>
      <c r="C186" s="5" t="str">
        <f>TEXT(Table2[[#This Row],[Date]], "MMM")</f>
        <v>Mar</v>
      </c>
      <c r="D186" s="8">
        <f>MONTH(Table2[[#This Row],[Date]])</f>
        <v>3</v>
      </c>
      <c r="E186" s="8">
        <f>YEAR(Table2[[#This Row],[Date]])</f>
        <v>2023</v>
      </c>
      <c r="F186" s="7" t="s">
        <v>307</v>
      </c>
      <c r="G186" s="7" t="s">
        <v>13</v>
      </c>
      <c r="H186" s="8">
        <v>23</v>
      </c>
      <c r="I186" s="8" t="str">
        <f>IF(Table2[[#This Row],[Age]] &lt; 19, "Teenagers", IF(Table2[[#This Row],[Age]] &lt;= 34, "Young Adults", IF(Table2[[#This Row],[Age]] &lt;= 45, "Adults", IF(Table2[[#This Row],[Age]] &lt;= 55, "Seniors", "Elderly")) ))</f>
        <v>Young Adults</v>
      </c>
      <c r="J186" s="7" t="s">
        <v>14</v>
      </c>
      <c r="K186" s="8">
        <v>3</v>
      </c>
      <c r="L186" s="8" t="str">
        <f>IF(Table2[[#This Row],[Quantity]]=1, "Single Order", IF(Table2[[#This Row],[Quantity]]=2, "Small Order", IF(Table2[[#This Row],[Quantity]]=3, "Medium Order", "Bulk Order")))</f>
        <v>Medium Order</v>
      </c>
      <c r="M186" s="10">
        <v>30</v>
      </c>
      <c r="N186" s="10">
        <v>90</v>
      </c>
    </row>
    <row r="187" spans="1:14" x14ac:dyDescent="0.2">
      <c r="A187">
        <v>301</v>
      </c>
      <c r="B187" s="5">
        <v>45011</v>
      </c>
      <c r="C187" s="5" t="str">
        <f>TEXT(Table2[[#This Row],[Date]], "MMM")</f>
        <v>Mar</v>
      </c>
      <c r="D187" s="8">
        <f>MONTH(Table2[[#This Row],[Date]])</f>
        <v>3</v>
      </c>
      <c r="E187" s="8">
        <f>YEAR(Table2[[#This Row],[Date]])</f>
        <v>2023</v>
      </c>
      <c r="F187" s="7" t="s">
        <v>314</v>
      </c>
      <c r="G187" s="7" t="s">
        <v>10</v>
      </c>
      <c r="H187" s="8">
        <v>30</v>
      </c>
      <c r="I187" s="8" t="str">
        <f>IF(Table2[[#This Row],[Age]] &lt; 19, "Teenagers", IF(Table2[[#This Row],[Age]] &lt;= 34, "Young Adults", IF(Table2[[#This Row],[Age]] &lt;= 45, "Adults", IF(Table2[[#This Row],[Age]] &lt;= 55, "Seniors", "Elderly")) ))</f>
        <v>Young Adults</v>
      </c>
      <c r="J187" s="7" t="s">
        <v>14</v>
      </c>
      <c r="K187" s="8">
        <v>4</v>
      </c>
      <c r="L187" s="8" t="str">
        <f>IF(Table2[[#This Row],[Quantity]]=1, "Single Order", IF(Table2[[#This Row],[Quantity]]=2, "Small Order", IF(Table2[[#This Row],[Quantity]]=3, "Medium Order", "Bulk Order")))</f>
        <v>Bulk Order</v>
      </c>
      <c r="M187" s="10">
        <v>30</v>
      </c>
      <c r="N187" s="10">
        <v>120</v>
      </c>
    </row>
    <row r="188" spans="1:14" x14ac:dyDescent="0.2">
      <c r="A188">
        <v>313</v>
      </c>
      <c r="B188" s="5">
        <v>45006</v>
      </c>
      <c r="C188" s="5" t="str">
        <f>TEXT(Table2[[#This Row],[Date]], "MMM")</f>
        <v>Mar</v>
      </c>
      <c r="D188" s="8">
        <f>MONTH(Table2[[#This Row],[Date]])</f>
        <v>3</v>
      </c>
      <c r="E188" s="8">
        <f>YEAR(Table2[[#This Row],[Date]])</f>
        <v>2023</v>
      </c>
      <c r="F188" s="7" t="s">
        <v>326</v>
      </c>
      <c r="G188" s="7" t="s">
        <v>13</v>
      </c>
      <c r="H188" s="8">
        <v>55</v>
      </c>
      <c r="I188" s="8" t="str">
        <f>IF(Table2[[#This Row],[Age]] &lt; 19, "Teenagers", IF(Table2[[#This Row],[Age]] &lt;= 34, "Young Adults", IF(Table2[[#This Row],[Age]] &lt;= 45, "Adults", IF(Table2[[#This Row],[Age]] &lt;= 55, "Seniors", "Elderly")) ))</f>
        <v>Seniors</v>
      </c>
      <c r="J188" s="7" t="s">
        <v>11</v>
      </c>
      <c r="K188" s="8">
        <v>3</v>
      </c>
      <c r="L188" s="8" t="str">
        <f>IF(Table2[[#This Row],[Quantity]]=1, "Single Order", IF(Table2[[#This Row],[Quantity]]=2, "Small Order", IF(Table2[[#This Row],[Quantity]]=3, "Medium Order", "Bulk Order")))</f>
        <v>Medium Order</v>
      </c>
      <c r="M188" s="10">
        <v>500</v>
      </c>
      <c r="N188" s="10">
        <v>1500</v>
      </c>
    </row>
    <row r="189" spans="1:14" x14ac:dyDescent="0.2">
      <c r="A189">
        <v>328</v>
      </c>
      <c r="B189" s="5">
        <v>45007</v>
      </c>
      <c r="C189" s="5" t="str">
        <f>TEXT(Table2[[#This Row],[Date]], "MMM")</f>
        <v>Mar</v>
      </c>
      <c r="D189" s="8">
        <f>MONTH(Table2[[#This Row],[Date]])</f>
        <v>3</v>
      </c>
      <c r="E189" s="8">
        <f>YEAR(Table2[[#This Row],[Date]])</f>
        <v>2023</v>
      </c>
      <c r="F189" s="7" t="s">
        <v>341</v>
      </c>
      <c r="G189" s="7" t="s">
        <v>10</v>
      </c>
      <c r="H189" s="8">
        <v>39</v>
      </c>
      <c r="I189" s="8" t="str">
        <f>IF(Table2[[#This Row],[Age]] &lt; 19, "Teenagers", IF(Table2[[#This Row],[Age]] &lt;= 34, "Young Adults", IF(Table2[[#This Row],[Age]] &lt;= 45, "Adults", IF(Table2[[#This Row],[Age]] &lt;= 55, "Seniors", "Elderly")) ))</f>
        <v>Adults</v>
      </c>
      <c r="J189" s="7" t="s">
        <v>11</v>
      </c>
      <c r="K189" s="8">
        <v>2</v>
      </c>
      <c r="L189" s="8" t="str">
        <f>IF(Table2[[#This Row],[Quantity]]=1, "Single Order", IF(Table2[[#This Row],[Quantity]]=2, "Small Order", IF(Table2[[#This Row],[Quantity]]=3, "Medium Order", "Bulk Order")))</f>
        <v>Small Order</v>
      </c>
      <c r="M189" s="10">
        <v>50</v>
      </c>
      <c r="N189" s="10">
        <v>100</v>
      </c>
    </row>
    <row r="190" spans="1:14" x14ac:dyDescent="0.2">
      <c r="A190">
        <v>339</v>
      </c>
      <c r="B190" s="5">
        <v>44988</v>
      </c>
      <c r="C190" s="5" t="str">
        <f>TEXT(Table2[[#This Row],[Date]], "MMM")</f>
        <v>Mar</v>
      </c>
      <c r="D190" s="8">
        <f>MONTH(Table2[[#This Row],[Date]])</f>
        <v>3</v>
      </c>
      <c r="E190" s="8">
        <f>YEAR(Table2[[#This Row],[Date]])</f>
        <v>2023</v>
      </c>
      <c r="F190" s="7" t="s">
        <v>352</v>
      </c>
      <c r="G190" s="7" t="s">
        <v>13</v>
      </c>
      <c r="H190" s="8">
        <v>22</v>
      </c>
      <c r="I190" s="8" t="str">
        <f>IF(Table2[[#This Row],[Age]] &lt; 19, "Teenagers", IF(Table2[[#This Row],[Age]] &lt;= 34, "Young Adults", IF(Table2[[#This Row],[Age]] &lt;= 45, "Adults", IF(Table2[[#This Row],[Age]] &lt;= 55, "Seniors", "Elderly")) ))</f>
        <v>Young Adults</v>
      </c>
      <c r="J190" s="7" t="s">
        <v>16</v>
      </c>
      <c r="K190" s="8">
        <v>2</v>
      </c>
      <c r="L190" s="8" t="str">
        <f>IF(Table2[[#This Row],[Quantity]]=1, "Single Order", IF(Table2[[#This Row],[Quantity]]=2, "Small Order", IF(Table2[[#This Row],[Quantity]]=3, "Medium Order", "Bulk Order")))</f>
        <v>Small Order</v>
      </c>
      <c r="M190" s="10">
        <v>25</v>
      </c>
      <c r="N190" s="10">
        <v>50</v>
      </c>
    </row>
    <row r="191" spans="1:14" x14ac:dyDescent="0.2">
      <c r="A191">
        <v>360</v>
      </c>
      <c r="B191" s="5">
        <v>44994</v>
      </c>
      <c r="C191" s="5" t="str">
        <f>TEXT(Table2[[#This Row],[Date]], "MMM")</f>
        <v>Mar</v>
      </c>
      <c r="D191" s="8">
        <f>MONTH(Table2[[#This Row],[Date]])</f>
        <v>3</v>
      </c>
      <c r="E191" s="8">
        <f>YEAR(Table2[[#This Row],[Date]])</f>
        <v>2023</v>
      </c>
      <c r="F191" s="7" t="s">
        <v>373</v>
      </c>
      <c r="G191" s="7" t="s">
        <v>10</v>
      </c>
      <c r="H191" s="8">
        <v>42</v>
      </c>
      <c r="I191" s="8" t="str">
        <f>IF(Table2[[#This Row],[Age]] &lt; 19, "Teenagers", IF(Table2[[#This Row],[Age]] &lt;= 34, "Young Adults", IF(Table2[[#This Row],[Age]] &lt;= 45, "Adults", IF(Table2[[#This Row],[Age]] &lt;= 55, "Seniors", "Elderly")) ))</f>
        <v>Adults</v>
      </c>
      <c r="J191" s="7" t="s">
        <v>14</v>
      </c>
      <c r="K191" s="8">
        <v>4</v>
      </c>
      <c r="L191" s="8" t="str">
        <f>IF(Table2[[#This Row],[Quantity]]=1, "Single Order", IF(Table2[[#This Row],[Quantity]]=2, "Small Order", IF(Table2[[#This Row],[Quantity]]=3, "Medium Order", "Bulk Order")))</f>
        <v>Bulk Order</v>
      </c>
      <c r="M191" s="10">
        <v>25</v>
      </c>
      <c r="N191" s="10">
        <v>100</v>
      </c>
    </row>
    <row r="192" spans="1:14" x14ac:dyDescent="0.2">
      <c r="A192">
        <v>377</v>
      </c>
      <c r="B192" s="5">
        <v>44994</v>
      </c>
      <c r="C192" s="5" t="str">
        <f>TEXT(Table2[[#This Row],[Date]], "MMM")</f>
        <v>Mar</v>
      </c>
      <c r="D192" s="8">
        <f>MONTH(Table2[[#This Row],[Date]])</f>
        <v>3</v>
      </c>
      <c r="E192" s="8">
        <f>YEAR(Table2[[#This Row],[Date]])</f>
        <v>2023</v>
      </c>
      <c r="F192" s="7" t="s">
        <v>390</v>
      </c>
      <c r="G192" s="7" t="s">
        <v>13</v>
      </c>
      <c r="H192" s="8">
        <v>46</v>
      </c>
      <c r="I192" s="8" t="str">
        <f>IF(Table2[[#This Row],[Age]] &lt; 19, "Teenagers", IF(Table2[[#This Row],[Age]] &lt;= 34, "Young Adults", IF(Table2[[#This Row],[Age]] &lt;= 45, "Adults", IF(Table2[[#This Row],[Age]] &lt;= 55, "Seniors", "Elderly")) ))</f>
        <v>Seniors</v>
      </c>
      <c r="J192" s="7" t="s">
        <v>14</v>
      </c>
      <c r="K192" s="8">
        <v>4</v>
      </c>
      <c r="L192" s="8" t="str">
        <f>IF(Table2[[#This Row],[Quantity]]=1, "Single Order", IF(Table2[[#This Row],[Quantity]]=2, "Small Order", IF(Table2[[#This Row],[Quantity]]=3, "Medium Order", "Bulk Order")))</f>
        <v>Bulk Order</v>
      </c>
      <c r="M192" s="10">
        <v>50</v>
      </c>
      <c r="N192" s="10">
        <v>200</v>
      </c>
    </row>
    <row r="193" spans="1:14" x14ac:dyDescent="0.2">
      <c r="A193">
        <v>383</v>
      </c>
      <c r="B193" s="5">
        <v>45007</v>
      </c>
      <c r="C193" s="5" t="str">
        <f>TEXT(Table2[[#This Row],[Date]], "MMM")</f>
        <v>Mar</v>
      </c>
      <c r="D193" s="8">
        <f>MONTH(Table2[[#This Row],[Date]])</f>
        <v>3</v>
      </c>
      <c r="E193" s="8">
        <f>YEAR(Table2[[#This Row],[Date]])</f>
        <v>2023</v>
      </c>
      <c r="F193" s="7" t="s">
        <v>396</v>
      </c>
      <c r="G193" s="7" t="s">
        <v>13</v>
      </c>
      <c r="H193" s="8">
        <v>46</v>
      </c>
      <c r="I193" s="8" t="str">
        <f>IF(Table2[[#This Row],[Age]] &lt; 19, "Teenagers", IF(Table2[[#This Row],[Age]] &lt;= 34, "Young Adults", IF(Table2[[#This Row],[Age]] &lt;= 45, "Adults", IF(Table2[[#This Row],[Age]] &lt;= 55, "Seniors", "Elderly")) ))</f>
        <v>Seniors</v>
      </c>
      <c r="J193" s="7" t="s">
        <v>11</v>
      </c>
      <c r="K193" s="8">
        <v>3</v>
      </c>
      <c r="L193" s="8" t="str">
        <f>IF(Table2[[#This Row],[Quantity]]=1, "Single Order", IF(Table2[[#This Row],[Quantity]]=2, "Small Order", IF(Table2[[#This Row],[Quantity]]=3, "Medium Order", "Bulk Order")))</f>
        <v>Medium Order</v>
      </c>
      <c r="M193" s="10">
        <v>30</v>
      </c>
      <c r="N193" s="10">
        <v>90</v>
      </c>
    </row>
    <row r="194" spans="1:14" x14ac:dyDescent="0.2">
      <c r="A194">
        <v>397</v>
      </c>
      <c r="B194" s="5">
        <v>44995</v>
      </c>
      <c r="C194" s="5" t="str">
        <f>TEXT(Table2[[#This Row],[Date]], "MMM")</f>
        <v>Mar</v>
      </c>
      <c r="D194" s="8">
        <f>MONTH(Table2[[#This Row],[Date]])</f>
        <v>3</v>
      </c>
      <c r="E194" s="8">
        <f>YEAR(Table2[[#This Row],[Date]])</f>
        <v>2023</v>
      </c>
      <c r="F194" s="7" t="s">
        <v>410</v>
      </c>
      <c r="G194" s="7" t="s">
        <v>13</v>
      </c>
      <c r="H194" s="8">
        <v>30</v>
      </c>
      <c r="I194" s="8" t="str">
        <f>IF(Table2[[#This Row],[Age]] &lt; 19, "Teenagers", IF(Table2[[#This Row],[Age]] &lt;= 34, "Young Adults", IF(Table2[[#This Row],[Age]] &lt;= 45, "Adults", IF(Table2[[#This Row],[Age]] &lt;= 55, "Seniors", "Elderly")) ))</f>
        <v>Young Adults</v>
      </c>
      <c r="J194" s="7" t="s">
        <v>11</v>
      </c>
      <c r="K194" s="8">
        <v>1</v>
      </c>
      <c r="L194" s="8" t="str">
        <f>IF(Table2[[#This Row],[Quantity]]=1, "Single Order", IF(Table2[[#This Row],[Quantity]]=2, "Small Order", IF(Table2[[#This Row],[Quantity]]=3, "Medium Order", "Bulk Order")))</f>
        <v>Single Order</v>
      </c>
      <c r="M194" s="10">
        <v>25</v>
      </c>
      <c r="N194" s="10">
        <v>25</v>
      </c>
    </row>
    <row r="195" spans="1:14" x14ac:dyDescent="0.2">
      <c r="A195">
        <v>399</v>
      </c>
      <c r="B195" s="5">
        <v>44986</v>
      </c>
      <c r="C195" s="5" t="str">
        <f>TEXT(Table2[[#This Row],[Date]], "MMM")</f>
        <v>Mar</v>
      </c>
      <c r="D195" s="8">
        <f>MONTH(Table2[[#This Row],[Date]])</f>
        <v>3</v>
      </c>
      <c r="E195" s="8">
        <f>YEAR(Table2[[#This Row],[Date]])</f>
        <v>2023</v>
      </c>
      <c r="F195" s="7" t="s">
        <v>412</v>
      </c>
      <c r="G195" s="7" t="s">
        <v>13</v>
      </c>
      <c r="H195" s="8">
        <v>64</v>
      </c>
      <c r="I195" s="8" t="str">
        <f>IF(Table2[[#This Row],[Age]] &lt; 19, "Teenagers", IF(Table2[[#This Row],[Age]] &lt;= 34, "Young Adults", IF(Table2[[#This Row],[Age]] &lt;= 45, "Adults", IF(Table2[[#This Row],[Age]] &lt;= 55, "Seniors", "Elderly")) ))</f>
        <v>Elderly</v>
      </c>
      <c r="J195" s="7" t="s">
        <v>11</v>
      </c>
      <c r="K195" s="8">
        <v>2</v>
      </c>
      <c r="L195" s="8" t="str">
        <f>IF(Table2[[#This Row],[Quantity]]=1, "Single Order", IF(Table2[[#This Row],[Quantity]]=2, "Small Order", IF(Table2[[#This Row],[Quantity]]=3, "Medium Order", "Bulk Order")))</f>
        <v>Small Order</v>
      </c>
      <c r="M195" s="10">
        <v>30</v>
      </c>
      <c r="N195" s="10">
        <v>60</v>
      </c>
    </row>
    <row r="196" spans="1:14" x14ac:dyDescent="0.2">
      <c r="A196">
        <v>402</v>
      </c>
      <c r="B196" s="5">
        <v>45006</v>
      </c>
      <c r="C196" s="5" t="str">
        <f>TEXT(Table2[[#This Row],[Date]], "MMM")</f>
        <v>Mar</v>
      </c>
      <c r="D196" s="8">
        <f>MONTH(Table2[[#This Row],[Date]])</f>
        <v>3</v>
      </c>
      <c r="E196" s="8">
        <f>YEAR(Table2[[#This Row],[Date]])</f>
        <v>2023</v>
      </c>
      <c r="F196" s="7" t="s">
        <v>415</v>
      </c>
      <c r="G196" s="7" t="s">
        <v>13</v>
      </c>
      <c r="H196" s="8">
        <v>41</v>
      </c>
      <c r="I196" s="8" t="str">
        <f>IF(Table2[[#This Row],[Age]] &lt; 19, "Teenagers", IF(Table2[[#This Row],[Age]] &lt;= 34, "Young Adults", IF(Table2[[#This Row],[Age]] &lt;= 45, "Adults", IF(Table2[[#This Row],[Age]] &lt;= 55, "Seniors", "Elderly")) ))</f>
        <v>Adults</v>
      </c>
      <c r="J196" s="7" t="s">
        <v>14</v>
      </c>
      <c r="K196" s="8">
        <v>2</v>
      </c>
      <c r="L196" s="8" t="str">
        <f>IF(Table2[[#This Row],[Quantity]]=1, "Single Order", IF(Table2[[#This Row],[Quantity]]=2, "Small Order", IF(Table2[[#This Row],[Quantity]]=3, "Medium Order", "Bulk Order")))</f>
        <v>Small Order</v>
      </c>
      <c r="M196" s="10">
        <v>300</v>
      </c>
      <c r="N196" s="10">
        <v>600</v>
      </c>
    </row>
    <row r="197" spans="1:14" x14ac:dyDescent="0.2">
      <c r="A197">
        <v>423</v>
      </c>
      <c r="B197" s="5">
        <v>44993</v>
      </c>
      <c r="C197" s="5" t="str">
        <f>TEXT(Table2[[#This Row],[Date]], "MMM")</f>
        <v>Mar</v>
      </c>
      <c r="D197" s="8">
        <f>MONTH(Table2[[#This Row],[Date]])</f>
        <v>3</v>
      </c>
      <c r="E197" s="8">
        <f>YEAR(Table2[[#This Row],[Date]])</f>
        <v>2023</v>
      </c>
      <c r="F197" s="7" t="s">
        <v>436</v>
      </c>
      <c r="G197" s="7" t="s">
        <v>13</v>
      </c>
      <c r="H197" s="8">
        <v>27</v>
      </c>
      <c r="I197" s="8" t="str">
        <f>IF(Table2[[#This Row],[Age]] &lt; 19, "Teenagers", IF(Table2[[#This Row],[Age]] &lt;= 34, "Young Adults", IF(Table2[[#This Row],[Age]] &lt;= 45, "Adults", IF(Table2[[#This Row],[Age]] &lt;= 55, "Seniors", "Elderly")) ))</f>
        <v>Young Adults</v>
      </c>
      <c r="J197" s="7" t="s">
        <v>14</v>
      </c>
      <c r="K197" s="8">
        <v>1</v>
      </c>
      <c r="L197" s="8" t="str">
        <f>IF(Table2[[#This Row],[Quantity]]=1, "Single Order", IF(Table2[[#This Row],[Quantity]]=2, "Small Order", IF(Table2[[#This Row],[Quantity]]=3, "Medium Order", "Bulk Order")))</f>
        <v>Single Order</v>
      </c>
      <c r="M197" s="10">
        <v>25</v>
      </c>
      <c r="N197" s="10">
        <v>25</v>
      </c>
    </row>
    <row r="198" spans="1:14" x14ac:dyDescent="0.2">
      <c r="A198">
        <v>426</v>
      </c>
      <c r="B198" s="5">
        <v>45009</v>
      </c>
      <c r="C198" s="5" t="str">
        <f>TEXT(Table2[[#This Row],[Date]], "MMM")</f>
        <v>Mar</v>
      </c>
      <c r="D198" s="8">
        <f>MONTH(Table2[[#This Row],[Date]])</f>
        <v>3</v>
      </c>
      <c r="E198" s="8">
        <f>YEAR(Table2[[#This Row],[Date]])</f>
        <v>2023</v>
      </c>
      <c r="F198" s="7" t="s">
        <v>439</v>
      </c>
      <c r="G198" s="7" t="s">
        <v>10</v>
      </c>
      <c r="H198" s="8">
        <v>23</v>
      </c>
      <c r="I198" s="8" t="str">
        <f>IF(Table2[[#This Row],[Age]] &lt; 19, "Teenagers", IF(Table2[[#This Row],[Age]] &lt;= 34, "Young Adults", IF(Table2[[#This Row],[Age]] &lt;= 45, "Adults", IF(Table2[[#This Row],[Age]] &lt;= 55, "Seniors", "Elderly")) ))</f>
        <v>Young Adults</v>
      </c>
      <c r="J198" s="7" t="s">
        <v>16</v>
      </c>
      <c r="K198" s="8">
        <v>3</v>
      </c>
      <c r="L198" s="8" t="str">
        <f>IF(Table2[[#This Row],[Quantity]]=1, "Single Order", IF(Table2[[#This Row],[Quantity]]=2, "Small Order", IF(Table2[[#This Row],[Quantity]]=3, "Medium Order", "Bulk Order")))</f>
        <v>Medium Order</v>
      </c>
      <c r="M198" s="10">
        <v>50</v>
      </c>
      <c r="N198" s="10">
        <v>150</v>
      </c>
    </row>
    <row r="199" spans="1:14" x14ac:dyDescent="0.2">
      <c r="A199">
        <v>436</v>
      </c>
      <c r="B199" s="5">
        <v>45003</v>
      </c>
      <c r="C199" s="5" t="str">
        <f>TEXT(Table2[[#This Row],[Date]], "MMM")</f>
        <v>Mar</v>
      </c>
      <c r="D199" s="8">
        <f>MONTH(Table2[[#This Row],[Date]])</f>
        <v>3</v>
      </c>
      <c r="E199" s="8">
        <f>YEAR(Table2[[#This Row],[Date]])</f>
        <v>2023</v>
      </c>
      <c r="F199" s="7" t="s">
        <v>449</v>
      </c>
      <c r="G199" s="7" t="s">
        <v>13</v>
      </c>
      <c r="H199" s="8">
        <v>57</v>
      </c>
      <c r="I199" s="8" t="str">
        <f>IF(Table2[[#This Row],[Age]] &lt; 19, "Teenagers", IF(Table2[[#This Row],[Age]] &lt;= 34, "Young Adults", IF(Table2[[#This Row],[Age]] &lt;= 45, "Adults", IF(Table2[[#This Row],[Age]] &lt;= 55, "Seniors", "Elderly")) ))</f>
        <v>Elderly</v>
      </c>
      <c r="J199" s="7" t="s">
        <v>14</v>
      </c>
      <c r="K199" s="8">
        <v>4</v>
      </c>
      <c r="L199" s="8" t="str">
        <f>IF(Table2[[#This Row],[Quantity]]=1, "Single Order", IF(Table2[[#This Row],[Quantity]]=2, "Small Order", IF(Table2[[#This Row],[Quantity]]=3, "Medium Order", "Bulk Order")))</f>
        <v>Bulk Order</v>
      </c>
      <c r="M199" s="10">
        <v>30</v>
      </c>
      <c r="N199" s="10">
        <v>120</v>
      </c>
    </row>
    <row r="200" spans="1:14" x14ac:dyDescent="0.2">
      <c r="A200">
        <v>442</v>
      </c>
      <c r="B200" s="5">
        <v>45002</v>
      </c>
      <c r="C200" s="5" t="str">
        <f>TEXT(Table2[[#This Row],[Date]], "MMM")</f>
        <v>Mar</v>
      </c>
      <c r="D200" s="8">
        <f>MONTH(Table2[[#This Row],[Date]])</f>
        <v>3</v>
      </c>
      <c r="E200" s="8">
        <f>YEAR(Table2[[#This Row],[Date]])</f>
        <v>2023</v>
      </c>
      <c r="F200" s="7" t="s">
        <v>455</v>
      </c>
      <c r="G200" s="7" t="s">
        <v>13</v>
      </c>
      <c r="H200" s="8">
        <v>60</v>
      </c>
      <c r="I200" s="8" t="str">
        <f>IF(Table2[[#This Row],[Age]] &lt; 19, "Teenagers", IF(Table2[[#This Row],[Age]] &lt;= 34, "Young Adults", IF(Table2[[#This Row],[Age]] &lt;= 45, "Adults", IF(Table2[[#This Row],[Age]] &lt;= 55, "Seniors", "Elderly")) ))</f>
        <v>Elderly</v>
      </c>
      <c r="J200" s="7" t="s">
        <v>14</v>
      </c>
      <c r="K200" s="8">
        <v>4</v>
      </c>
      <c r="L200" s="8" t="str">
        <f>IF(Table2[[#This Row],[Quantity]]=1, "Single Order", IF(Table2[[#This Row],[Quantity]]=2, "Small Order", IF(Table2[[#This Row],[Quantity]]=3, "Medium Order", "Bulk Order")))</f>
        <v>Bulk Order</v>
      </c>
      <c r="M200" s="10">
        <v>25</v>
      </c>
      <c r="N200" s="10">
        <v>100</v>
      </c>
    </row>
    <row r="201" spans="1:14" x14ac:dyDescent="0.2">
      <c r="A201">
        <v>444</v>
      </c>
      <c r="B201" s="5">
        <v>44992</v>
      </c>
      <c r="C201" s="5" t="str">
        <f>TEXT(Table2[[#This Row],[Date]], "MMM")</f>
        <v>Mar</v>
      </c>
      <c r="D201" s="8">
        <f>MONTH(Table2[[#This Row],[Date]])</f>
        <v>3</v>
      </c>
      <c r="E201" s="8">
        <f>YEAR(Table2[[#This Row],[Date]])</f>
        <v>2023</v>
      </c>
      <c r="F201" s="7" t="s">
        <v>457</v>
      </c>
      <c r="G201" s="7" t="s">
        <v>13</v>
      </c>
      <c r="H201" s="8">
        <v>61</v>
      </c>
      <c r="I201" s="8" t="str">
        <f>IF(Table2[[#This Row],[Age]] &lt; 19, "Teenagers", IF(Table2[[#This Row],[Age]] &lt;= 34, "Young Adults", IF(Table2[[#This Row],[Age]] &lt;= 45, "Adults", IF(Table2[[#This Row],[Age]] &lt;= 55, "Seniors", "Elderly")) ))</f>
        <v>Elderly</v>
      </c>
      <c r="J201" s="7" t="s">
        <v>14</v>
      </c>
      <c r="K201" s="8">
        <v>3</v>
      </c>
      <c r="L201" s="8" t="str">
        <f>IF(Table2[[#This Row],[Quantity]]=1, "Single Order", IF(Table2[[#This Row],[Quantity]]=2, "Small Order", IF(Table2[[#This Row],[Quantity]]=3, "Medium Order", "Bulk Order")))</f>
        <v>Medium Order</v>
      </c>
      <c r="M201" s="10">
        <v>30</v>
      </c>
      <c r="N201" s="10">
        <v>90</v>
      </c>
    </row>
    <row r="202" spans="1:14" x14ac:dyDescent="0.2">
      <c r="A202">
        <v>459</v>
      </c>
      <c r="B202" s="5">
        <v>45006</v>
      </c>
      <c r="C202" s="5" t="str">
        <f>TEXT(Table2[[#This Row],[Date]], "MMM")</f>
        <v>Mar</v>
      </c>
      <c r="D202" s="8">
        <f>MONTH(Table2[[#This Row],[Date]])</f>
        <v>3</v>
      </c>
      <c r="E202" s="8">
        <f>YEAR(Table2[[#This Row],[Date]])</f>
        <v>2023</v>
      </c>
      <c r="F202" s="7" t="s">
        <v>472</v>
      </c>
      <c r="G202" s="7" t="s">
        <v>10</v>
      </c>
      <c r="H202" s="8">
        <v>28</v>
      </c>
      <c r="I202" s="8" t="str">
        <f>IF(Table2[[#This Row],[Age]] &lt; 19, "Teenagers", IF(Table2[[#This Row],[Age]] &lt;= 34, "Young Adults", IF(Table2[[#This Row],[Age]] &lt;= 45, "Adults", IF(Table2[[#This Row],[Age]] &lt;= 55, "Seniors", "Elderly")) ))</f>
        <v>Young Adults</v>
      </c>
      <c r="J202" s="7" t="s">
        <v>14</v>
      </c>
      <c r="K202" s="8">
        <v>4</v>
      </c>
      <c r="L202" s="8" t="str">
        <f>IF(Table2[[#This Row],[Quantity]]=1, "Single Order", IF(Table2[[#This Row],[Quantity]]=2, "Small Order", IF(Table2[[#This Row],[Quantity]]=3, "Medium Order", "Bulk Order")))</f>
        <v>Bulk Order</v>
      </c>
      <c r="M202" s="10">
        <v>300</v>
      </c>
      <c r="N202" s="10">
        <v>1200</v>
      </c>
    </row>
    <row r="203" spans="1:14" x14ac:dyDescent="0.2">
      <c r="A203">
        <v>461</v>
      </c>
      <c r="B203" s="5">
        <v>45010</v>
      </c>
      <c r="C203" s="5" t="str">
        <f>TEXT(Table2[[#This Row],[Date]], "MMM")</f>
        <v>Mar</v>
      </c>
      <c r="D203" s="8">
        <f>MONTH(Table2[[#This Row],[Date]])</f>
        <v>3</v>
      </c>
      <c r="E203" s="8">
        <f>YEAR(Table2[[#This Row],[Date]])</f>
        <v>2023</v>
      </c>
      <c r="F203" s="7" t="s">
        <v>474</v>
      </c>
      <c r="G203" s="7" t="s">
        <v>13</v>
      </c>
      <c r="H203" s="8">
        <v>18</v>
      </c>
      <c r="I203" s="8" t="str">
        <f>IF(Table2[[#This Row],[Age]] &lt; 19, "Teenagers", IF(Table2[[#This Row],[Age]] &lt;= 34, "Young Adults", IF(Table2[[#This Row],[Age]] &lt;= 45, "Adults", IF(Table2[[#This Row],[Age]] &lt;= 55, "Seniors", "Elderly")) ))</f>
        <v>Teenagers</v>
      </c>
      <c r="J203" s="7" t="s">
        <v>11</v>
      </c>
      <c r="K203" s="8">
        <v>2</v>
      </c>
      <c r="L203" s="8" t="str">
        <f>IF(Table2[[#This Row],[Quantity]]=1, "Single Order", IF(Table2[[#This Row],[Quantity]]=2, "Small Order", IF(Table2[[#This Row],[Quantity]]=3, "Medium Order", "Bulk Order")))</f>
        <v>Small Order</v>
      </c>
      <c r="M203" s="10">
        <v>500</v>
      </c>
      <c r="N203" s="10">
        <v>1000</v>
      </c>
    </row>
    <row r="204" spans="1:14" x14ac:dyDescent="0.2">
      <c r="A204">
        <v>471</v>
      </c>
      <c r="B204" s="5">
        <v>45008</v>
      </c>
      <c r="C204" s="5" t="str">
        <f>TEXT(Table2[[#This Row],[Date]], "MMM")</f>
        <v>Mar</v>
      </c>
      <c r="D204" s="8">
        <f>MONTH(Table2[[#This Row],[Date]])</f>
        <v>3</v>
      </c>
      <c r="E204" s="8">
        <f>YEAR(Table2[[#This Row],[Date]])</f>
        <v>2023</v>
      </c>
      <c r="F204" s="7" t="s">
        <v>484</v>
      </c>
      <c r="G204" s="7" t="s">
        <v>10</v>
      </c>
      <c r="H204" s="8">
        <v>32</v>
      </c>
      <c r="I204" s="8" t="str">
        <f>IF(Table2[[#This Row],[Age]] &lt; 19, "Teenagers", IF(Table2[[#This Row],[Age]] &lt;= 34, "Young Adults", IF(Table2[[#This Row],[Age]] &lt;= 45, "Adults", IF(Table2[[#This Row],[Age]] &lt;= 55, "Seniors", "Elderly")) ))</f>
        <v>Young Adults</v>
      </c>
      <c r="J204" s="7" t="s">
        <v>14</v>
      </c>
      <c r="K204" s="8">
        <v>3</v>
      </c>
      <c r="L204" s="8" t="str">
        <f>IF(Table2[[#This Row],[Quantity]]=1, "Single Order", IF(Table2[[#This Row],[Quantity]]=2, "Small Order", IF(Table2[[#This Row],[Quantity]]=3, "Medium Order", "Bulk Order")))</f>
        <v>Medium Order</v>
      </c>
      <c r="M204" s="10">
        <v>50</v>
      </c>
      <c r="N204" s="10">
        <v>150</v>
      </c>
    </row>
    <row r="205" spans="1:14" x14ac:dyDescent="0.2">
      <c r="A205">
        <v>500</v>
      </c>
      <c r="B205" s="5">
        <v>44986</v>
      </c>
      <c r="C205" s="5" t="str">
        <f>TEXT(Table2[[#This Row],[Date]], "MMM")</f>
        <v>Mar</v>
      </c>
      <c r="D205" s="8">
        <f>MONTH(Table2[[#This Row],[Date]])</f>
        <v>3</v>
      </c>
      <c r="E205" s="8">
        <f>YEAR(Table2[[#This Row],[Date]])</f>
        <v>2023</v>
      </c>
      <c r="F205" s="7" t="s">
        <v>513</v>
      </c>
      <c r="G205" s="7" t="s">
        <v>13</v>
      </c>
      <c r="H205" s="8">
        <v>60</v>
      </c>
      <c r="I205" s="8" t="str">
        <f>IF(Table2[[#This Row],[Age]] &lt; 19, "Teenagers", IF(Table2[[#This Row],[Age]] &lt;= 34, "Young Adults", IF(Table2[[#This Row],[Age]] &lt;= 45, "Adults", IF(Table2[[#This Row],[Age]] &lt;= 55, "Seniors", "Elderly")) ))</f>
        <v>Elderly</v>
      </c>
      <c r="J205" s="7" t="s">
        <v>11</v>
      </c>
      <c r="K205" s="8">
        <v>4</v>
      </c>
      <c r="L205" s="8" t="str">
        <f>IF(Table2[[#This Row],[Quantity]]=1, "Single Order", IF(Table2[[#This Row],[Quantity]]=2, "Small Order", IF(Table2[[#This Row],[Quantity]]=3, "Medium Order", "Bulk Order")))</f>
        <v>Bulk Order</v>
      </c>
      <c r="M205" s="10">
        <v>25</v>
      </c>
      <c r="N205" s="10">
        <v>100</v>
      </c>
    </row>
    <row r="206" spans="1:14" x14ac:dyDescent="0.2">
      <c r="A206">
        <v>514</v>
      </c>
      <c r="B206" s="5">
        <v>44986</v>
      </c>
      <c r="C206" s="5" t="str">
        <f>TEXT(Table2[[#This Row],[Date]], "MMM")</f>
        <v>Mar</v>
      </c>
      <c r="D206" s="8">
        <f>MONTH(Table2[[#This Row],[Date]])</f>
        <v>3</v>
      </c>
      <c r="E206" s="8">
        <f>YEAR(Table2[[#This Row],[Date]])</f>
        <v>2023</v>
      </c>
      <c r="F206" s="7" t="s">
        <v>527</v>
      </c>
      <c r="G206" s="7" t="s">
        <v>13</v>
      </c>
      <c r="H206" s="8">
        <v>18</v>
      </c>
      <c r="I206" s="8" t="str">
        <f>IF(Table2[[#This Row],[Age]] &lt; 19, "Teenagers", IF(Table2[[#This Row],[Age]] &lt;= 34, "Young Adults", IF(Table2[[#This Row],[Age]] &lt;= 45, "Adults", IF(Table2[[#This Row],[Age]] &lt;= 55, "Seniors", "Elderly")) ))</f>
        <v>Teenagers</v>
      </c>
      <c r="J206" s="7" t="s">
        <v>16</v>
      </c>
      <c r="K206" s="8">
        <v>1</v>
      </c>
      <c r="L206" s="8" t="str">
        <f>IF(Table2[[#This Row],[Quantity]]=1, "Single Order", IF(Table2[[#This Row],[Quantity]]=2, "Small Order", IF(Table2[[#This Row],[Quantity]]=3, "Medium Order", "Bulk Order")))</f>
        <v>Single Order</v>
      </c>
      <c r="M206" s="10">
        <v>300</v>
      </c>
      <c r="N206" s="10">
        <v>300</v>
      </c>
    </row>
    <row r="207" spans="1:14" x14ac:dyDescent="0.2">
      <c r="A207">
        <v>536</v>
      </c>
      <c r="B207" s="5">
        <v>44990</v>
      </c>
      <c r="C207" s="5" t="str">
        <f>TEXT(Table2[[#This Row],[Date]], "MMM")</f>
        <v>Mar</v>
      </c>
      <c r="D207" s="8">
        <f>MONTH(Table2[[#This Row],[Date]])</f>
        <v>3</v>
      </c>
      <c r="E207" s="8">
        <f>YEAR(Table2[[#This Row],[Date]])</f>
        <v>2023</v>
      </c>
      <c r="F207" s="7" t="s">
        <v>549</v>
      </c>
      <c r="G207" s="7" t="s">
        <v>13</v>
      </c>
      <c r="H207" s="8">
        <v>55</v>
      </c>
      <c r="I207" s="8" t="str">
        <f>IF(Table2[[#This Row],[Age]] &lt; 19, "Teenagers", IF(Table2[[#This Row],[Age]] &lt;= 34, "Young Adults", IF(Table2[[#This Row],[Age]] &lt;= 45, "Adults", IF(Table2[[#This Row],[Age]] &lt;= 55, "Seniors", "Elderly")) ))</f>
        <v>Seniors</v>
      </c>
      <c r="J207" s="7" t="s">
        <v>11</v>
      </c>
      <c r="K207" s="8">
        <v>4</v>
      </c>
      <c r="L207" s="8" t="str">
        <f>IF(Table2[[#This Row],[Quantity]]=1, "Single Order", IF(Table2[[#This Row],[Quantity]]=2, "Small Order", IF(Table2[[#This Row],[Quantity]]=3, "Medium Order", "Bulk Order")))</f>
        <v>Bulk Order</v>
      </c>
      <c r="M207" s="10">
        <v>30</v>
      </c>
      <c r="N207" s="10">
        <v>120</v>
      </c>
    </row>
    <row r="208" spans="1:14" x14ac:dyDescent="0.2">
      <c r="A208">
        <v>547</v>
      </c>
      <c r="B208" s="5">
        <v>44992</v>
      </c>
      <c r="C208" s="5" t="str">
        <f>TEXT(Table2[[#This Row],[Date]], "MMM")</f>
        <v>Mar</v>
      </c>
      <c r="D208" s="8">
        <f>MONTH(Table2[[#This Row],[Date]])</f>
        <v>3</v>
      </c>
      <c r="E208" s="8">
        <f>YEAR(Table2[[#This Row],[Date]])</f>
        <v>2023</v>
      </c>
      <c r="F208" s="7" t="s">
        <v>560</v>
      </c>
      <c r="G208" s="7" t="s">
        <v>10</v>
      </c>
      <c r="H208" s="8">
        <v>63</v>
      </c>
      <c r="I208" s="8" t="str">
        <f>IF(Table2[[#This Row],[Age]] &lt; 19, "Teenagers", IF(Table2[[#This Row],[Age]] &lt;= 34, "Young Adults", IF(Table2[[#This Row],[Age]] &lt;= 45, "Adults", IF(Table2[[#This Row],[Age]] &lt;= 55, "Seniors", "Elderly")) ))</f>
        <v>Elderly</v>
      </c>
      <c r="J208" s="7" t="s">
        <v>14</v>
      </c>
      <c r="K208" s="8">
        <v>4</v>
      </c>
      <c r="L208" s="8" t="str">
        <f>IF(Table2[[#This Row],[Quantity]]=1, "Single Order", IF(Table2[[#This Row],[Quantity]]=2, "Small Order", IF(Table2[[#This Row],[Quantity]]=3, "Medium Order", "Bulk Order")))</f>
        <v>Bulk Order</v>
      </c>
      <c r="M208" s="10">
        <v>500</v>
      </c>
      <c r="N208" s="10">
        <v>2000</v>
      </c>
    </row>
    <row r="209" spans="1:14" x14ac:dyDescent="0.2">
      <c r="A209">
        <v>553</v>
      </c>
      <c r="B209" s="5">
        <v>45016</v>
      </c>
      <c r="C209" s="5" t="str">
        <f>TEXT(Table2[[#This Row],[Date]], "MMM")</f>
        <v>Mar</v>
      </c>
      <c r="D209" s="8">
        <f>MONTH(Table2[[#This Row],[Date]])</f>
        <v>3</v>
      </c>
      <c r="E209" s="8">
        <f>YEAR(Table2[[#This Row],[Date]])</f>
        <v>2023</v>
      </c>
      <c r="F209" s="7" t="s">
        <v>566</v>
      </c>
      <c r="G209" s="7" t="s">
        <v>10</v>
      </c>
      <c r="H209" s="8">
        <v>24</v>
      </c>
      <c r="I209" s="8" t="str">
        <f>IF(Table2[[#This Row],[Age]] &lt; 19, "Teenagers", IF(Table2[[#This Row],[Age]] &lt;= 34, "Young Adults", IF(Table2[[#This Row],[Age]] &lt;= 45, "Adults", IF(Table2[[#This Row],[Age]] &lt;= 55, "Seniors", "Elderly")) ))</f>
        <v>Young Adults</v>
      </c>
      <c r="J209" s="7" t="s">
        <v>14</v>
      </c>
      <c r="K209" s="8">
        <v>4</v>
      </c>
      <c r="L209" s="8" t="str">
        <f>IF(Table2[[#This Row],[Quantity]]=1, "Single Order", IF(Table2[[#This Row],[Quantity]]=2, "Small Order", IF(Table2[[#This Row],[Quantity]]=3, "Medium Order", "Bulk Order")))</f>
        <v>Bulk Order</v>
      </c>
      <c r="M209" s="10">
        <v>300</v>
      </c>
      <c r="N209" s="10">
        <v>1200</v>
      </c>
    </row>
    <row r="210" spans="1:14" x14ac:dyDescent="0.2">
      <c r="A210">
        <v>575</v>
      </c>
      <c r="B210" s="5">
        <v>45013</v>
      </c>
      <c r="C210" s="5" t="str">
        <f>TEXT(Table2[[#This Row],[Date]], "MMM")</f>
        <v>Mar</v>
      </c>
      <c r="D210" s="8">
        <f>MONTH(Table2[[#This Row],[Date]])</f>
        <v>3</v>
      </c>
      <c r="E210" s="8">
        <f>YEAR(Table2[[#This Row],[Date]])</f>
        <v>2023</v>
      </c>
      <c r="F210" s="7" t="s">
        <v>588</v>
      </c>
      <c r="G210" s="7" t="s">
        <v>10</v>
      </c>
      <c r="H210" s="8">
        <v>60</v>
      </c>
      <c r="I210" s="8" t="str">
        <f>IF(Table2[[#This Row],[Age]] &lt; 19, "Teenagers", IF(Table2[[#This Row],[Age]] &lt;= 34, "Young Adults", IF(Table2[[#This Row],[Age]] &lt;= 45, "Adults", IF(Table2[[#This Row],[Age]] &lt;= 55, "Seniors", "Elderly")) ))</f>
        <v>Elderly</v>
      </c>
      <c r="J210" s="7" t="s">
        <v>14</v>
      </c>
      <c r="K210" s="8">
        <v>2</v>
      </c>
      <c r="L210" s="8" t="str">
        <f>IF(Table2[[#This Row],[Quantity]]=1, "Single Order", IF(Table2[[#This Row],[Quantity]]=2, "Small Order", IF(Table2[[#This Row],[Quantity]]=3, "Medium Order", "Bulk Order")))</f>
        <v>Small Order</v>
      </c>
      <c r="M210" s="10">
        <v>50</v>
      </c>
      <c r="N210" s="10">
        <v>100</v>
      </c>
    </row>
    <row r="211" spans="1:14" x14ac:dyDescent="0.2">
      <c r="A211">
        <v>590</v>
      </c>
      <c r="B211" s="5">
        <v>45002</v>
      </c>
      <c r="C211" s="5" t="str">
        <f>TEXT(Table2[[#This Row],[Date]], "MMM")</f>
        <v>Mar</v>
      </c>
      <c r="D211" s="8">
        <f>MONTH(Table2[[#This Row],[Date]])</f>
        <v>3</v>
      </c>
      <c r="E211" s="8">
        <f>YEAR(Table2[[#This Row],[Date]])</f>
        <v>2023</v>
      </c>
      <c r="F211" s="7" t="s">
        <v>603</v>
      </c>
      <c r="G211" s="7" t="s">
        <v>10</v>
      </c>
      <c r="H211" s="8">
        <v>36</v>
      </c>
      <c r="I211" s="8" t="str">
        <f>IF(Table2[[#This Row],[Age]] &lt; 19, "Teenagers", IF(Table2[[#This Row],[Age]] &lt;= 34, "Young Adults", IF(Table2[[#This Row],[Age]] &lt;= 45, "Adults", IF(Table2[[#This Row],[Age]] &lt;= 55, "Seniors", "Elderly")) ))</f>
        <v>Adults</v>
      </c>
      <c r="J211" s="7" t="s">
        <v>14</v>
      </c>
      <c r="K211" s="8">
        <v>3</v>
      </c>
      <c r="L211" s="8" t="str">
        <f>IF(Table2[[#This Row],[Quantity]]=1, "Single Order", IF(Table2[[#This Row],[Quantity]]=2, "Small Order", IF(Table2[[#This Row],[Quantity]]=3, "Medium Order", "Bulk Order")))</f>
        <v>Medium Order</v>
      </c>
      <c r="M211" s="10">
        <v>300</v>
      </c>
      <c r="N211" s="10">
        <v>900</v>
      </c>
    </row>
    <row r="212" spans="1:14" x14ac:dyDescent="0.2">
      <c r="A212">
        <v>607</v>
      </c>
      <c r="B212" s="5">
        <v>45002</v>
      </c>
      <c r="C212" s="5" t="str">
        <f>TEXT(Table2[[#This Row],[Date]], "MMM")</f>
        <v>Mar</v>
      </c>
      <c r="D212" s="8">
        <f>MONTH(Table2[[#This Row],[Date]])</f>
        <v>3</v>
      </c>
      <c r="E212" s="8">
        <f>YEAR(Table2[[#This Row],[Date]])</f>
        <v>2023</v>
      </c>
      <c r="F212" s="7" t="s">
        <v>620</v>
      </c>
      <c r="G212" s="7" t="s">
        <v>10</v>
      </c>
      <c r="H212" s="8">
        <v>54</v>
      </c>
      <c r="I212" s="8" t="str">
        <f>IF(Table2[[#This Row],[Age]] &lt; 19, "Teenagers", IF(Table2[[#This Row],[Age]] &lt;= 34, "Young Adults", IF(Table2[[#This Row],[Age]] &lt;= 45, "Adults", IF(Table2[[#This Row],[Age]] &lt;= 55, "Seniors", "Elderly")) ))</f>
        <v>Seniors</v>
      </c>
      <c r="J212" s="7" t="s">
        <v>14</v>
      </c>
      <c r="K212" s="8">
        <v>3</v>
      </c>
      <c r="L212" s="8" t="str">
        <f>IF(Table2[[#This Row],[Quantity]]=1, "Single Order", IF(Table2[[#This Row],[Quantity]]=2, "Small Order", IF(Table2[[#This Row],[Quantity]]=3, "Medium Order", "Bulk Order")))</f>
        <v>Medium Order</v>
      </c>
      <c r="M212" s="10">
        <v>25</v>
      </c>
      <c r="N212" s="10">
        <v>75</v>
      </c>
    </row>
    <row r="213" spans="1:14" x14ac:dyDescent="0.2">
      <c r="A213">
        <v>621</v>
      </c>
      <c r="B213" s="5">
        <v>44989</v>
      </c>
      <c r="C213" s="5" t="str">
        <f>TEXT(Table2[[#This Row],[Date]], "MMM")</f>
        <v>Mar</v>
      </c>
      <c r="D213" s="8">
        <f>MONTH(Table2[[#This Row],[Date]])</f>
        <v>3</v>
      </c>
      <c r="E213" s="8">
        <f>YEAR(Table2[[#This Row],[Date]])</f>
        <v>2023</v>
      </c>
      <c r="F213" s="7" t="s">
        <v>634</v>
      </c>
      <c r="G213" s="7" t="s">
        <v>13</v>
      </c>
      <c r="H213" s="8">
        <v>40</v>
      </c>
      <c r="I213" s="8" t="str">
        <f>IF(Table2[[#This Row],[Age]] &lt; 19, "Teenagers", IF(Table2[[#This Row],[Age]] &lt;= 34, "Young Adults", IF(Table2[[#This Row],[Age]] &lt;= 45, "Adults", IF(Table2[[#This Row],[Age]] &lt;= 55, "Seniors", "Elderly")) ))</f>
        <v>Adults</v>
      </c>
      <c r="J213" s="7" t="s">
        <v>11</v>
      </c>
      <c r="K213" s="8">
        <v>2</v>
      </c>
      <c r="L213" s="8" t="str">
        <f>IF(Table2[[#This Row],[Quantity]]=1, "Single Order", IF(Table2[[#This Row],[Quantity]]=2, "Small Order", IF(Table2[[#This Row],[Quantity]]=3, "Medium Order", "Bulk Order")))</f>
        <v>Small Order</v>
      </c>
      <c r="M213" s="10">
        <v>500</v>
      </c>
      <c r="N213" s="10">
        <v>1000</v>
      </c>
    </row>
    <row r="214" spans="1:14" x14ac:dyDescent="0.2">
      <c r="A214">
        <v>623</v>
      </c>
      <c r="B214" s="5">
        <v>44995</v>
      </c>
      <c r="C214" s="5" t="str">
        <f>TEXT(Table2[[#This Row],[Date]], "MMM")</f>
        <v>Mar</v>
      </c>
      <c r="D214" s="8">
        <f>MONTH(Table2[[#This Row],[Date]])</f>
        <v>3</v>
      </c>
      <c r="E214" s="8">
        <f>YEAR(Table2[[#This Row],[Date]])</f>
        <v>2023</v>
      </c>
      <c r="F214" s="7" t="s">
        <v>636</v>
      </c>
      <c r="G214" s="7" t="s">
        <v>10</v>
      </c>
      <c r="H214" s="8">
        <v>34</v>
      </c>
      <c r="I214" s="8" t="str">
        <f>IF(Table2[[#This Row],[Age]] &lt; 19, "Teenagers", IF(Table2[[#This Row],[Age]] &lt;= 34, "Young Adults", IF(Table2[[#This Row],[Age]] &lt;= 45, "Adults", IF(Table2[[#This Row],[Age]] &lt;= 55, "Seniors", "Elderly")) ))</f>
        <v>Young Adults</v>
      </c>
      <c r="J214" s="7" t="s">
        <v>14</v>
      </c>
      <c r="K214" s="8">
        <v>3</v>
      </c>
      <c r="L214" s="8" t="str">
        <f>IF(Table2[[#This Row],[Quantity]]=1, "Single Order", IF(Table2[[#This Row],[Quantity]]=2, "Small Order", IF(Table2[[#This Row],[Quantity]]=3, "Medium Order", "Bulk Order")))</f>
        <v>Medium Order</v>
      </c>
      <c r="M214" s="10">
        <v>50</v>
      </c>
      <c r="N214" s="10">
        <v>150</v>
      </c>
    </row>
    <row r="215" spans="1:14" x14ac:dyDescent="0.2">
      <c r="A215">
        <v>636</v>
      </c>
      <c r="B215" s="5">
        <v>45008</v>
      </c>
      <c r="C215" s="5" t="str">
        <f>TEXT(Table2[[#This Row],[Date]], "MMM")</f>
        <v>Mar</v>
      </c>
      <c r="D215" s="8">
        <f>MONTH(Table2[[#This Row],[Date]])</f>
        <v>3</v>
      </c>
      <c r="E215" s="8">
        <f>YEAR(Table2[[#This Row],[Date]])</f>
        <v>2023</v>
      </c>
      <c r="F215" s="7" t="s">
        <v>649</v>
      </c>
      <c r="G215" s="7" t="s">
        <v>13</v>
      </c>
      <c r="H215" s="8">
        <v>21</v>
      </c>
      <c r="I215" s="8" t="str">
        <f>IF(Table2[[#This Row],[Age]] &lt; 19, "Teenagers", IF(Table2[[#This Row],[Age]] &lt;= 34, "Young Adults", IF(Table2[[#This Row],[Age]] &lt;= 45, "Adults", IF(Table2[[#This Row],[Age]] &lt;= 55, "Seniors", "Elderly")) ))</f>
        <v>Young Adults</v>
      </c>
      <c r="J215" s="7" t="s">
        <v>11</v>
      </c>
      <c r="K215" s="8">
        <v>3</v>
      </c>
      <c r="L215" s="8" t="str">
        <f>IF(Table2[[#This Row],[Quantity]]=1, "Single Order", IF(Table2[[#This Row],[Quantity]]=2, "Small Order", IF(Table2[[#This Row],[Quantity]]=3, "Medium Order", "Bulk Order")))</f>
        <v>Medium Order</v>
      </c>
      <c r="M215" s="10">
        <v>500</v>
      </c>
      <c r="N215" s="10">
        <v>1500</v>
      </c>
    </row>
    <row r="216" spans="1:14" x14ac:dyDescent="0.2">
      <c r="A216">
        <v>658</v>
      </c>
      <c r="B216" s="5">
        <v>44997</v>
      </c>
      <c r="C216" s="5" t="str">
        <f>TEXT(Table2[[#This Row],[Date]], "MMM")</f>
        <v>Mar</v>
      </c>
      <c r="D216" s="8">
        <f>MONTH(Table2[[#This Row],[Date]])</f>
        <v>3</v>
      </c>
      <c r="E216" s="8">
        <f>YEAR(Table2[[#This Row],[Date]])</f>
        <v>2023</v>
      </c>
      <c r="F216" s="7" t="s">
        <v>671</v>
      </c>
      <c r="G216" s="7" t="s">
        <v>10</v>
      </c>
      <c r="H216" s="8">
        <v>59</v>
      </c>
      <c r="I216" s="8" t="str">
        <f>IF(Table2[[#This Row],[Age]] &lt; 19, "Teenagers", IF(Table2[[#This Row],[Age]] &lt;= 34, "Young Adults", IF(Table2[[#This Row],[Age]] &lt;= 45, "Adults", IF(Table2[[#This Row],[Age]] &lt;= 55, "Seniors", "Elderly")) ))</f>
        <v>Elderly</v>
      </c>
      <c r="J216" s="7" t="s">
        <v>14</v>
      </c>
      <c r="K216" s="8">
        <v>1</v>
      </c>
      <c r="L216" s="8" t="str">
        <f>IF(Table2[[#This Row],[Quantity]]=1, "Single Order", IF(Table2[[#This Row],[Quantity]]=2, "Small Order", IF(Table2[[#This Row],[Quantity]]=3, "Medium Order", "Bulk Order")))</f>
        <v>Single Order</v>
      </c>
      <c r="M216" s="10">
        <v>25</v>
      </c>
      <c r="N216" s="10">
        <v>25</v>
      </c>
    </row>
    <row r="217" spans="1:14" x14ac:dyDescent="0.2">
      <c r="A217">
        <v>659</v>
      </c>
      <c r="B217" s="5">
        <v>45004</v>
      </c>
      <c r="C217" s="5" t="str">
        <f>TEXT(Table2[[#This Row],[Date]], "MMM")</f>
        <v>Mar</v>
      </c>
      <c r="D217" s="8">
        <f>MONTH(Table2[[#This Row],[Date]])</f>
        <v>3</v>
      </c>
      <c r="E217" s="8">
        <f>YEAR(Table2[[#This Row],[Date]])</f>
        <v>2023</v>
      </c>
      <c r="F217" s="7" t="s">
        <v>672</v>
      </c>
      <c r="G217" s="7" t="s">
        <v>13</v>
      </c>
      <c r="H217" s="8">
        <v>39</v>
      </c>
      <c r="I217" s="8" t="str">
        <f>IF(Table2[[#This Row],[Age]] &lt; 19, "Teenagers", IF(Table2[[#This Row],[Age]] &lt;= 34, "Young Adults", IF(Table2[[#This Row],[Age]] &lt;= 45, "Adults", IF(Table2[[#This Row],[Age]] &lt;= 55, "Seniors", "Elderly")) ))</f>
        <v>Adults</v>
      </c>
      <c r="J217" s="7" t="s">
        <v>16</v>
      </c>
      <c r="K217" s="8">
        <v>1</v>
      </c>
      <c r="L217" s="8" t="str">
        <f>IF(Table2[[#This Row],[Quantity]]=1, "Single Order", IF(Table2[[#This Row],[Quantity]]=2, "Small Order", IF(Table2[[#This Row],[Quantity]]=3, "Medium Order", "Bulk Order")))</f>
        <v>Single Order</v>
      </c>
      <c r="M217" s="10">
        <v>30</v>
      </c>
      <c r="N217" s="10">
        <v>30</v>
      </c>
    </row>
    <row r="218" spans="1:14" x14ac:dyDescent="0.2">
      <c r="A218">
        <v>663</v>
      </c>
      <c r="B218" s="5">
        <v>45005</v>
      </c>
      <c r="C218" s="5" t="str">
        <f>TEXT(Table2[[#This Row],[Date]], "MMM")</f>
        <v>Mar</v>
      </c>
      <c r="D218" s="8">
        <f>MONTH(Table2[[#This Row],[Date]])</f>
        <v>3</v>
      </c>
      <c r="E218" s="8">
        <f>YEAR(Table2[[#This Row],[Date]])</f>
        <v>2023</v>
      </c>
      <c r="F218" s="7" t="s">
        <v>676</v>
      </c>
      <c r="G218" s="7" t="s">
        <v>10</v>
      </c>
      <c r="H218" s="8">
        <v>23</v>
      </c>
      <c r="I218" s="8" t="str">
        <f>IF(Table2[[#This Row],[Age]] &lt; 19, "Teenagers", IF(Table2[[#This Row],[Age]] &lt;= 34, "Young Adults", IF(Table2[[#This Row],[Age]] &lt;= 45, "Adults", IF(Table2[[#This Row],[Age]] &lt;= 55, "Seniors", "Elderly")) ))</f>
        <v>Young Adults</v>
      </c>
      <c r="J218" s="7" t="s">
        <v>14</v>
      </c>
      <c r="K218" s="8">
        <v>4</v>
      </c>
      <c r="L218" s="8" t="str">
        <f>IF(Table2[[#This Row],[Quantity]]=1, "Single Order", IF(Table2[[#This Row],[Quantity]]=2, "Small Order", IF(Table2[[#This Row],[Quantity]]=3, "Medium Order", "Bulk Order")))</f>
        <v>Bulk Order</v>
      </c>
      <c r="M218" s="10">
        <v>300</v>
      </c>
      <c r="N218" s="10">
        <v>1200</v>
      </c>
    </row>
    <row r="219" spans="1:14" x14ac:dyDescent="0.2">
      <c r="A219">
        <v>703</v>
      </c>
      <c r="B219" s="5">
        <v>45011</v>
      </c>
      <c r="C219" s="5" t="str">
        <f>TEXT(Table2[[#This Row],[Date]], "MMM")</f>
        <v>Mar</v>
      </c>
      <c r="D219" s="8">
        <f>MONTH(Table2[[#This Row],[Date]])</f>
        <v>3</v>
      </c>
      <c r="E219" s="8">
        <f>YEAR(Table2[[#This Row],[Date]])</f>
        <v>2023</v>
      </c>
      <c r="F219" s="7" t="s">
        <v>716</v>
      </c>
      <c r="G219" s="7" t="s">
        <v>10</v>
      </c>
      <c r="H219" s="8">
        <v>34</v>
      </c>
      <c r="I219" s="8" t="str">
        <f>IF(Table2[[#This Row],[Age]] &lt; 19, "Teenagers", IF(Table2[[#This Row],[Age]] &lt;= 34, "Young Adults", IF(Table2[[#This Row],[Age]] &lt;= 45, "Adults", IF(Table2[[#This Row],[Age]] &lt;= 55, "Seniors", "Elderly")) ))</f>
        <v>Young Adults</v>
      </c>
      <c r="J219" s="7" t="s">
        <v>16</v>
      </c>
      <c r="K219" s="8">
        <v>2</v>
      </c>
      <c r="L219" s="8" t="str">
        <f>IF(Table2[[#This Row],[Quantity]]=1, "Single Order", IF(Table2[[#This Row],[Quantity]]=2, "Small Order", IF(Table2[[#This Row],[Quantity]]=3, "Medium Order", "Bulk Order")))</f>
        <v>Small Order</v>
      </c>
      <c r="M219" s="10">
        <v>50</v>
      </c>
      <c r="N219" s="10">
        <v>100</v>
      </c>
    </row>
    <row r="220" spans="1:14" x14ac:dyDescent="0.2">
      <c r="A220">
        <v>705</v>
      </c>
      <c r="B220" s="5">
        <v>44992</v>
      </c>
      <c r="C220" s="5" t="str">
        <f>TEXT(Table2[[#This Row],[Date]], "MMM")</f>
        <v>Mar</v>
      </c>
      <c r="D220" s="8">
        <f>MONTH(Table2[[#This Row],[Date]])</f>
        <v>3</v>
      </c>
      <c r="E220" s="8">
        <f>YEAR(Table2[[#This Row],[Date]])</f>
        <v>2023</v>
      </c>
      <c r="F220" s="7" t="s">
        <v>718</v>
      </c>
      <c r="G220" s="7" t="s">
        <v>10</v>
      </c>
      <c r="H220" s="8">
        <v>60</v>
      </c>
      <c r="I220" s="8" t="str">
        <f>IF(Table2[[#This Row],[Age]] &lt; 19, "Teenagers", IF(Table2[[#This Row],[Age]] &lt;= 34, "Young Adults", IF(Table2[[#This Row],[Age]] &lt;= 45, "Adults", IF(Table2[[#This Row],[Age]] &lt;= 55, "Seniors", "Elderly")) ))</f>
        <v>Elderly</v>
      </c>
      <c r="J220" s="7" t="s">
        <v>16</v>
      </c>
      <c r="K220" s="8">
        <v>2</v>
      </c>
      <c r="L220" s="8" t="str">
        <f>IF(Table2[[#This Row],[Quantity]]=1, "Single Order", IF(Table2[[#This Row],[Quantity]]=2, "Small Order", IF(Table2[[#This Row],[Quantity]]=3, "Medium Order", "Bulk Order")))</f>
        <v>Small Order</v>
      </c>
      <c r="M220" s="10">
        <v>25</v>
      </c>
      <c r="N220" s="10">
        <v>50</v>
      </c>
    </row>
    <row r="221" spans="1:14" x14ac:dyDescent="0.2">
      <c r="A221">
        <v>717</v>
      </c>
      <c r="B221" s="5">
        <v>44996</v>
      </c>
      <c r="C221" s="5" t="str">
        <f>TEXT(Table2[[#This Row],[Date]], "MMM")</f>
        <v>Mar</v>
      </c>
      <c r="D221" s="8">
        <f>MONTH(Table2[[#This Row],[Date]])</f>
        <v>3</v>
      </c>
      <c r="E221" s="8">
        <f>YEAR(Table2[[#This Row],[Date]])</f>
        <v>2023</v>
      </c>
      <c r="F221" s="7" t="s">
        <v>730</v>
      </c>
      <c r="G221" s="7" t="s">
        <v>10</v>
      </c>
      <c r="H221" s="8">
        <v>57</v>
      </c>
      <c r="I221" s="8" t="str">
        <f>IF(Table2[[#This Row],[Age]] &lt; 19, "Teenagers", IF(Table2[[#This Row],[Age]] &lt;= 34, "Young Adults", IF(Table2[[#This Row],[Age]] &lt;= 45, "Adults", IF(Table2[[#This Row],[Age]] &lt;= 55, "Seniors", "Elderly")) ))</f>
        <v>Elderly</v>
      </c>
      <c r="J221" s="7" t="s">
        <v>14</v>
      </c>
      <c r="K221" s="8">
        <v>1</v>
      </c>
      <c r="L221" s="8" t="str">
        <f>IF(Table2[[#This Row],[Quantity]]=1, "Single Order", IF(Table2[[#This Row],[Quantity]]=2, "Small Order", IF(Table2[[#This Row],[Quantity]]=3, "Medium Order", "Bulk Order")))</f>
        <v>Single Order</v>
      </c>
      <c r="M221" s="10">
        <v>500</v>
      </c>
      <c r="N221" s="10">
        <v>500</v>
      </c>
    </row>
    <row r="222" spans="1:14" x14ac:dyDescent="0.2">
      <c r="A222">
        <v>748</v>
      </c>
      <c r="B222" s="5">
        <v>45005</v>
      </c>
      <c r="C222" s="5" t="str">
        <f>TEXT(Table2[[#This Row],[Date]], "MMM")</f>
        <v>Mar</v>
      </c>
      <c r="D222" s="8">
        <f>MONTH(Table2[[#This Row],[Date]])</f>
        <v>3</v>
      </c>
      <c r="E222" s="8">
        <f>YEAR(Table2[[#This Row],[Date]])</f>
        <v>2023</v>
      </c>
      <c r="F222" s="7" t="s">
        <v>761</v>
      </c>
      <c r="G222" s="7" t="s">
        <v>10</v>
      </c>
      <c r="H222" s="8">
        <v>25</v>
      </c>
      <c r="I222" s="8" t="str">
        <f>IF(Table2[[#This Row],[Age]] &lt; 19, "Teenagers", IF(Table2[[#This Row],[Age]] &lt;= 34, "Young Adults", IF(Table2[[#This Row],[Age]] &lt;= 45, "Adults", IF(Table2[[#This Row],[Age]] &lt;= 55, "Seniors", "Elderly")) ))</f>
        <v>Young Adults</v>
      </c>
      <c r="J222" s="7" t="s">
        <v>14</v>
      </c>
      <c r="K222" s="8">
        <v>3</v>
      </c>
      <c r="L222" s="8" t="str">
        <f>IF(Table2[[#This Row],[Quantity]]=1, "Single Order", IF(Table2[[#This Row],[Quantity]]=2, "Small Order", IF(Table2[[#This Row],[Quantity]]=3, "Medium Order", "Bulk Order")))</f>
        <v>Medium Order</v>
      </c>
      <c r="M222" s="10">
        <v>50</v>
      </c>
      <c r="N222" s="10">
        <v>150</v>
      </c>
    </row>
    <row r="223" spans="1:14" x14ac:dyDescent="0.2">
      <c r="A223">
        <v>750</v>
      </c>
      <c r="B223" s="5">
        <v>44991</v>
      </c>
      <c r="C223" s="5" t="str">
        <f>TEXT(Table2[[#This Row],[Date]], "MMM")</f>
        <v>Mar</v>
      </c>
      <c r="D223" s="8">
        <f>MONTH(Table2[[#This Row],[Date]])</f>
        <v>3</v>
      </c>
      <c r="E223" s="8">
        <f>YEAR(Table2[[#This Row],[Date]])</f>
        <v>2023</v>
      </c>
      <c r="F223" s="7" t="s">
        <v>763</v>
      </c>
      <c r="G223" s="7" t="s">
        <v>13</v>
      </c>
      <c r="H223" s="8">
        <v>35</v>
      </c>
      <c r="I223" s="8" t="str">
        <f>IF(Table2[[#This Row],[Age]] &lt; 19, "Teenagers", IF(Table2[[#This Row],[Age]] &lt;= 34, "Young Adults", IF(Table2[[#This Row],[Age]] &lt;= 45, "Adults", IF(Table2[[#This Row],[Age]] &lt;= 55, "Seniors", "Elderly")) ))</f>
        <v>Adults</v>
      </c>
      <c r="J223" s="7" t="s">
        <v>14</v>
      </c>
      <c r="K223" s="8">
        <v>3</v>
      </c>
      <c r="L223" s="8" t="str">
        <f>IF(Table2[[#This Row],[Quantity]]=1, "Single Order", IF(Table2[[#This Row],[Quantity]]=2, "Small Order", IF(Table2[[#This Row],[Quantity]]=3, "Medium Order", "Bulk Order")))</f>
        <v>Medium Order</v>
      </c>
      <c r="M223" s="10">
        <v>25</v>
      </c>
      <c r="N223" s="10">
        <v>75</v>
      </c>
    </row>
    <row r="224" spans="1:14" x14ac:dyDescent="0.2">
      <c r="A224">
        <v>760</v>
      </c>
      <c r="B224" s="5">
        <v>45012</v>
      </c>
      <c r="C224" s="5" t="str">
        <f>TEXT(Table2[[#This Row],[Date]], "MMM")</f>
        <v>Mar</v>
      </c>
      <c r="D224" s="8">
        <f>MONTH(Table2[[#This Row],[Date]])</f>
        <v>3</v>
      </c>
      <c r="E224" s="8">
        <f>YEAR(Table2[[#This Row],[Date]])</f>
        <v>2023</v>
      </c>
      <c r="F224" s="7" t="s">
        <v>773</v>
      </c>
      <c r="G224" s="7" t="s">
        <v>10</v>
      </c>
      <c r="H224" s="8">
        <v>27</v>
      </c>
      <c r="I224" s="8" t="str">
        <f>IF(Table2[[#This Row],[Age]] &lt; 19, "Teenagers", IF(Table2[[#This Row],[Age]] &lt;= 34, "Young Adults", IF(Table2[[#This Row],[Age]] &lt;= 45, "Adults", IF(Table2[[#This Row],[Age]] &lt;= 55, "Seniors", "Elderly")) ))</f>
        <v>Young Adults</v>
      </c>
      <c r="J224" s="7" t="s">
        <v>11</v>
      </c>
      <c r="K224" s="8">
        <v>1</v>
      </c>
      <c r="L224" s="8" t="str">
        <f>IF(Table2[[#This Row],[Quantity]]=1, "Single Order", IF(Table2[[#This Row],[Quantity]]=2, "Small Order", IF(Table2[[#This Row],[Quantity]]=3, "Medium Order", "Bulk Order")))</f>
        <v>Single Order</v>
      </c>
      <c r="M224" s="10">
        <v>500</v>
      </c>
      <c r="N224" s="10">
        <v>500</v>
      </c>
    </row>
    <row r="225" spans="1:14" x14ac:dyDescent="0.2">
      <c r="A225">
        <v>764</v>
      </c>
      <c r="B225" s="5">
        <v>45010</v>
      </c>
      <c r="C225" s="5" t="str">
        <f>TEXT(Table2[[#This Row],[Date]], "MMM")</f>
        <v>Mar</v>
      </c>
      <c r="D225" s="8">
        <f>MONTH(Table2[[#This Row],[Date]])</f>
        <v>3</v>
      </c>
      <c r="E225" s="8">
        <f>YEAR(Table2[[#This Row],[Date]])</f>
        <v>2023</v>
      </c>
      <c r="F225" s="7" t="s">
        <v>777</v>
      </c>
      <c r="G225" s="7" t="s">
        <v>13</v>
      </c>
      <c r="H225" s="8">
        <v>40</v>
      </c>
      <c r="I225" s="8" t="str">
        <f>IF(Table2[[#This Row],[Age]] &lt; 19, "Teenagers", IF(Table2[[#This Row],[Age]] &lt;= 34, "Young Adults", IF(Table2[[#This Row],[Age]] &lt;= 45, "Adults", IF(Table2[[#This Row],[Age]] &lt;= 55, "Seniors", "Elderly")) ))</f>
        <v>Adults</v>
      </c>
      <c r="J225" s="7" t="s">
        <v>14</v>
      </c>
      <c r="K225" s="8">
        <v>1</v>
      </c>
      <c r="L225" s="8" t="str">
        <f>IF(Table2[[#This Row],[Quantity]]=1, "Single Order", IF(Table2[[#This Row],[Quantity]]=2, "Small Order", IF(Table2[[#This Row],[Quantity]]=3, "Medium Order", "Bulk Order")))</f>
        <v>Single Order</v>
      </c>
      <c r="M225" s="10">
        <v>25</v>
      </c>
      <c r="N225" s="10">
        <v>25</v>
      </c>
    </row>
    <row r="226" spans="1:14" x14ac:dyDescent="0.2">
      <c r="A226">
        <v>785</v>
      </c>
      <c r="B226" s="5">
        <v>44988</v>
      </c>
      <c r="C226" s="5" t="str">
        <f>TEXT(Table2[[#This Row],[Date]], "MMM")</f>
        <v>Mar</v>
      </c>
      <c r="D226" s="8">
        <f>MONTH(Table2[[#This Row],[Date]])</f>
        <v>3</v>
      </c>
      <c r="E226" s="8">
        <f>YEAR(Table2[[#This Row],[Date]])</f>
        <v>2023</v>
      </c>
      <c r="F226" s="7" t="s">
        <v>798</v>
      </c>
      <c r="G226" s="7" t="s">
        <v>13</v>
      </c>
      <c r="H226" s="8">
        <v>31</v>
      </c>
      <c r="I226" s="8" t="str">
        <f>IF(Table2[[#This Row],[Age]] &lt; 19, "Teenagers", IF(Table2[[#This Row],[Age]] &lt;= 34, "Young Adults", IF(Table2[[#This Row],[Age]] &lt;= 45, "Adults", IF(Table2[[#This Row],[Age]] &lt;= 55, "Seniors", "Elderly")) ))</f>
        <v>Young Adults</v>
      </c>
      <c r="J226" s="7" t="s">
        <v>11</v>
      </c>
      <c r="K226" s="8">
        <v>4</v>
      </c>
      <c r="L226" s="8" t="str">
        <f>IF(Table2[[#This Row],[Quantity]]=1, "Single Order", IF(Table2[[#This Row],[Quantity]]=2, "Small Order", IF(Table2[[#This Row],[Quantity]]=3, "Medium Order", "Bulk Order")))</f>
        <v>Bulk Order</v>
      </c>
      <c r="M226" s="10">
        <v>50</v>
      </c>
      <c r="N226" s="10">
        <v>200</v>
      </c>
    </row>
    <row r="227" spans="1:14" x14ac:dyDescent="0.2">
      <c r="A227">
        <v>806</v>
      </c>
      <c r="B227" s="5">
        <v>45005</v>
      </c>
      <c r="C227" s="5" t="str">
        <f>TEXT(Table2[[#This Row],[Date]], "MMM")</f>
        <v>Mar</v>
      </c>
      <c r="D227" s="8">
        <f>MONTH(Table2[[#This Row],[Date]])</f>
        <v>3</v>
      </c>
      <c r="E227" s="8">
        <f>YEAR(Table2[[#This Row],[Date]])</f>
        <v>2023</v>
      </c>
      <c r="F227" s="7" t="s">
        <v>819</v>
      </c>
      <c r="G227" s="7" t="s">
        <v>13</v>
      </c>
      <c r="H227" s="8">
        <v>35</v>
      </c>
      <c r="I227" s="8" t="str">
        <f>IF(Table2[[#This Row],[Age]] &lt; 19, "Teenagers", IF(Table2[[#This Row],[Age]] &lt;= 34, "Young Adults", IF(Table2[[#This Row],[Age]] &lt;= 45, "Adults", IF(Table2[[#This Row],[Age]] &lt;= 55, "Seniors", "Elderly")) ))</f>
        <v>Adults</v>
      </c>
      <c r="J227" s="7" t="s">
        <v>11</v>
      </c>
      <c r="K227" s="8">
        <v>3</v>
      </c>
      <c r="L227" s="8" t="str">
        <f>IF(Table2[[#This Row],[Quantity]]=1, "Single Order", IF(Table2[[#This Row],[Quantity]]=2, "Small Order", IF(Table2[[#This Row],[Quantity]]=3, "Medium Order", "Bulk Order")))</f>
        <v>Medium Order</v>
      </c>
      <c r="M227" s="10">
        <v>300</v>
      </c>
      <c r="N227" s="10">
        <v>900</v>
      </c>
    </row>
    <row r="228" spans="1:14" x14ac:dyDescent="0.2">
      <c r="A228">
        <v>885</v>
      </c>
      <c r="B228" s="5">
        <v>44988</v>
      </c>
      <c r="C228" s="5" t="str">
        <f>TEXT(Table2[[#This Row],[Date]], "MMM")</f>
        <v>Mar</v>
      </c>
      <c r="D228" s="8">
        <f>MONTH(Table2[[#This Row],[Date]])</f>
        <v>3</v>
      </c>
      <c r="E228" s="8">
        <f>YEAR(Table2[[#This Row],[Date]])</f>
        <v>2023</v>
      </c>
      <c r="F228" s="7" t="s">
        <v>898</v>
      </c>
      <c r="G228" s="7" t="s">
        <v>13</v>
      </c>
      <c r="H228" s="8">
        <v>52</v>
      </c>
      <c r="I228" s="8" t="str">
        <f>IF(Table2[[#This Row],[Age]] &lt; 19, "Teenagers", IF(Table2[[#This Row],[Age]] &lt;= 34, "Young Adults", IF(Table2[[#This Row],[Age]] &lt;= 45, "Adults", IF(Table2[[#This Row],[Age]] &lt;= 55, "Seniors", "Elderly")) ))</f>
        <v>Seniors</v>
      </c>
      <c r="J228" s="7" t="s">
        <v>14</v>
      </c>
      <c r="K228" s="8">
        <v>4</v>
      </c>
      <c r="L228" s="8" t="str">
        <f>IF(Table2[[#This Row],[Quantity]]=1, "Single Order", IF(Table2[[#This Row],[Quantity]]=2, "Small Order", IF(Table2[[#This Row],[Quantity]]=3, "Medium Order", "Bulk Order")))</f>
        <v>Bulk Order</v>
      </c>
      <c r="M228" s="10">
        <v>30</v>
      </c>
      <c r="N228" s="10">
        <v>120</v>
      </c>
    </row>
    <row r="229" spans="1:14" x14ac:dyDescent="0.2">
      <c r="A229">
        <v>888</v>
      </c>
      <c r="B229" s="5">
        <v>44988</v>
      </c>
      <c r="C229" s="5" t="str">
        <f>TEXT(Table2[[#This Row],[Date]], "MMM")</f>
        <v>Mar</v>
      </c>
      <c r="D229" s="8">
        <f>MONTH(Table2[[#This Row],[Date]])</f>
        <v>3</v>
      </c>
      <c r="E229" s="8">
        <f>YEAR(Table2[[#This Row],[Date]])</f>
        <v>2023</v>
      </c>
      <c r="F229" s="7" t="s">
        <v>901</v>
      </c>
      <c r="G229" s="7" t="s">
        <v>13</v>
      </c>
      <c r="H229" s="8">
        <v>52</v>
      </c>
      <c r="I229" s="8" t="str">
        <f>IF(Table2[[#This Row],[Age]] &lt; 19, "Teenagers", IF(Table2[[#This Row],[Age]] &lt;= 34, "Young Adults", IF(Table2[[#This Row],[Age]] &lt;= 45, "Adults", IF(Table2[[#This Row],[Age]] &lt;= 55, "Seniors", "Elderly")) ))</f>
        <v>Seniors</v>
      </c>
      <c r="J229" s="7" t="s">
        <v>16</v>
      </c>
      <c r="K229" s="8">
        <v>4</v>
      </c>
      <c r="L229" s="8" t="str">
        <f>IF(Table2[[#This Row],[Quantity]]=1, "Single Order", IF(Table2[[#This Row],[Quantity]]=2, "Small Order", IF(Table2[[#This Row],[Quantity]]=3, "Medium Order", "Bulk Order")))</f>
        <v>Bulk Order</v>
      </c>
      <c r="M229" s="10">
        <v>25</v>
      </c>
      <c r="N229" s="10">
        <v>100</v>
      </c>
    </row>
    <row r="230" spans="1:14" x14ac:dyDescent="0.2">
      <c r="A230">
        <v>910</v>
      </c>
      <c r="B230" s="5">
        <v>44991</v>
      </c>
      <c r="C230" s="5" t="str">
        <f>TEXT(Table2[[#This Row],[Date]], "MMM")</f>
        <v>Mar</v>
      </c>
      <c r="D230" s="8">
        <f>MONTH(Table2[[#This Row],[Date]])</f>
        <v>3</v>
      </c>
      <c r="E230" s="8">
        <f>YEAR(Table2[[#This Row],[Date]])</f>
        <v>2023</v>
      </c>
      <c r="F230" s="7" t="s">
        <v>923</v>
      </c>
      <c r="G230" s="7" t="s">
        <v>13</v>
      </c>
      <c r="H230" s="8">
        <v>20</v>
      </c>
      <c r="I230" s="8" t="str">
        <f>IF(Table2[[#This Row],[Age]] &lt; 19, "Teenagers", IF(Table2[[#This Row],[Age]] &lt;= 34, "Young Adults", IF(Table2[[#This Row],[Age]] &lt;= 45, "Adults", IF(Table2[[#This Row],[Age]] &lt;= 55, "Seniors", "Elderly")) ))</f>
        <v>Young Adults</v>
      </c>
      <c r="J230" s="7" t="s">
        <v>11</v>
      </c>
      <c r="K230" s="8">
        <v>3</v>
      </c>
      <c r="L230" s="8" t="str">
        <f>IF(Table2[[#This Row],[Quantity]]=1, "Single Order", IF(Table2[[#This Row],[Quantity]]=2, "Small Order", IF(Table2[[#This Row],[Quantity]]=3, "Medium Order", "Bulk Order")))</f>
        <v>Medium Order</v>
      </c>
      <c r="M230" s="10">
        <v>50</v>
      </c>
      <c r="N230" s="10">
        <v>150</v>
      </c>
    </row>
    <row r="231" spans="1:14" x14ac:dyDescent="0.2">
      <c r="A231">
        <v>917</v>
      </c>
      <c r="B231" s="5">
        <v>44991</v>
      </c>
      <c r="C231" s="5" t="str">
        <f>TEXT(Table2[[#This Row],[Date]], "MMM")</f>
        <v>Mar</v>
      </c>
      <c r="D231" s="8">
        <f>MONTH(Table2[[#This Row],[Date]])</f>
        <v>3</v>
      </c>
      <c r="E231" s="8">
        <f>YEAR(Table2[[#This Row],[Date]])</f>
        <v>2023</v>
      </c>
      <c r="F231" s="7" t="s">
        <v>930</v>
      </c>
      <c r="G231" s="7" t="s">
        <v>13</v>
      </c>
      <c r="H231" s="8">
        <v>57</v>
      </c>
      <c r="I231" s="8" t="str">
        <f>IF(Table2[[#This Row],[Age]] &lt; 19, "Teenagers", IF(Table2[[#This Row],[Age]] &lt;= 34, "Young Adults", IF(Table2[[#This Row],[Age]] &lt;= 45, "Adults", IF(Table2[[#This Row],[Age]] &lt;= 55, "Seniors", "Elderly")) ))</f>
        <v>Elderly</v>
      </c>
      <c r="J231" s="7" t="s">
        <v>16</v>
      </c>
      <c r="K231" s="8">
        <v>4</v>
      </c>
      <c r="L231" s="8" t="str">
        <f>IF(Table2[[#This Row],[Quantity]]=1, "Single Order", IF(Table2[[#This Row],[Quantity]]=2, "Small Order", IF(Table2[[#This Row],[Quantity]]=3, "Medium Order", "Bulk Order")))</f>
        <v>Bulk Order</v>
      </c>
      <c r="M231" s="10">
        <v>50</v>
      </c>
      <c r="N231" s="10">
        <v>200</v>
      </c>
    </row>
    <row r="232" spans="1:14" x14ac:dyDescent="0.2">
      <c r="A232">
        <v>941</v>
      </c>
      <c r="B232" s="5">
        <v>45004</v>
      </c>
      <c r="C232" s="5" t="str">
        <f>TEXT(Table2[[#This Row],[Date]], "MMM")</f>
        <v>Mar</v>
      </c>
      <c r="D232" s="8">
        <f>MONTH(Table2[[#This Row],[Date]])</f>
        <v>3</v>
      </c>
      <c r="E232" s="8">
        <f>YEAR(Table2[[#This Row],[Date]])</f>
        <v>2023</v>
      </c>
      <c r="F232" s="7" t="s">
        <v>954</v>
      </c>
      <c r="G232" s="7" t="s">
        <v>13</v>
      </c>
      <c r="H232" s="8">
        <v>57</v>
      </c>
      <c r="I232" s="8" t="str">
        <f>IF(Table2[[#This Row],[Age]] &lt; 19, "Teenagers", IF(Table2[[#This Row],[Age]] &lt;= 34, "Young Adults", IF(Table2[[#This Row],[Age]] &lt;= 45, "Adults", IF(Table2[[#This Row],[Age]] &lt;= 55, "Seniors", "Elderly")) ))</f>
        <v>Elderly</v>
      </c>
      <c r="J232" s="7" t="s">
        <v>14</v>
      </c>
      <c r="K232" s="8">
        <v>2</v>
      </c>
      <c r="L232" s="8" t="str">
        <f>IF(Table2[[#This Row],[Quantity]]=1, "Single Order", IF(Table2[[#This Row],[Quantity]]=2, "Small Order", IF(Table2[[#This Row],[Quantity]]=3, "Medium Order", "Bulk Order")))</f>
        <v>Small Order</v>
      </c>
      <c r="M232" s="10">
        <v>25</v>
      </c>
      <c r="N232" s="10">
        <v>50</v>
      </c>
    </row>
    <row r="233" spans="1:14" x14ac:dyDescent="0.2">
      <c r="A233">
        <v>942</v>
      </c>
      <c r="B233" s="5">
        <v>45003</v>
      </c>
      <c r="C233" s="5" t="str">
        <f>TEXT(Table2[[#This Row],[Date]], "MMM")</f>
        <v>Mar</v>
      </c>
      <c r="D233" s="8">
        <f>MONTH(Table2[[#This Row],[Date]])</f>
        <v>3</v>
      </c>
      <c r="E233" s="8">
        <f>YEAR(Table2[[#This Row],[Date]])</f>
        <v>2023</v>
      </c>
      <c r="F233" s="7" t="s">
        <v>955</v>
      </c>
      <c r="G233" s="7" t="s">
        <v>10</v>
      </c>
      <c r="H233" s="8">
        <v>51</v>
      </c>
      <c r="I233" s="8" t="str">
        <f>IF(Table2[[#This Row],[Age]] &lt; 19, "Teenagers", IF(Table2[[#This Row],[Age]] &lt;= 34, "Young Adults", IF(Table2[[#This Row],[Age]] &lt;= 45, "Adults", IF(Table2[[#This Row],[Age]] &lt;= 55, "Seniors", "Elderly")) ))</f>
        <v>Seniors</v>
      </c>
      <c r="J233" s="7" t="s">
        <v>14</v>
      </c>
      <c r="K233" s="8">
        <v>3</v>
      </c>
      <c r="L233" s="8" t="str">
        <f>IF(Table2[[#This Row],[Quantity]]=1, "Single Order", IF(Table2[[#This Row],[Quantity]]=2, "Small Order", IF(Table2[[#This Row],[Quantity]]=3, "Medium Order", "Bulk Order")))</f>
        <v>Medium Order</v>
      </c>
      <c r="M233" s="10">
        <v>500</v>
      </c>
      <c r="N233" s="10">
        <v>1500</v>
      </c>
    </row>
    <row r="234" spans="1:14" x14ac:dyDescent="0.2">
      <c r="A234">
        <v>947</v>
      </c>
      <c r="B234" s="5">
        <v>44987</v>
      </c>
      <c r="C234" s="5" t="str">
        <f>TEXT(Table2[[#This Row],[Date]], "MMM")</f>
        <v>Mar</v>
      </c>
      <c r="D234" s="8">
        <f>MONTH(Table2[[#This Row],[Date]])</f>
        <v>3</v>
      </c>
      <c r="E234" s="8">
        <f>YEAR(Table2[[#This Row],[Date]])</f>
        <v>2023</v>
      </c>
      <c r="F234" s="7" t="s">
        <v>960</v>
      </c>
      <c r="G234" s="7" t="s">
        <v>10</v>
      </c>
      <c r="H234" s="8">
        <v>50</v>
      </c>
      <c r="I234" s="8" t="str">
        <f>IF(Table2[[#This Row],[Age]] &lt; 19, "Teenagers", IF(Table2[[#This Row],[Age]] &lt;= 34, "Young Adults", IF(Table2[[#This Row],[Age]] &lt;= 45, "Adults", IF(Table2[[#This Row],[Age]] &lt;= 55, "Seniors", "Elderly")) ))</f>
        <v>Seniors</v>
      </c>
      <c r="J234" s="7" t="s">
        <v>11</v>
      </c>
      <c r="K234" s="8">
        <v>1</v>
      </c>
      <c r="L234" s="8" t="str">
        <f>IF(Table2[[#This Row],[Quantity]]=1, "Single Order", IF(Table2[[#This Row],[Quantity]]=2, "Small Order", IF(Table2[[#This Row],[Quantity]]=3, "Medium Order", "Bulk Order")))</f>
        <v>Single Order</v>
      </c>
      <c r="M234" s="10">
        <v>300</v>
      </c>
      <c r="N234" s="10">
        <v>300</v>
      </c>
    </row>
    <row r="235" spans="1:14" x14ac:dyDescent="0.2">
      <c r="A235">
        <v>973</v>
      </c>
      <c r="B235" s="5">
        <v>45007</v>
      </c>
      <c r="C235" s="5" t="str">
        <f>TEXT(Table2[[#This Row],[Date]], "MMM")</f>
        <v>Mar</v>
      </c>
      <c r="D235" s="8">
        <f>MONTH(Table2[[#This Row],[Date]])</f>
        <v>3</v>
      </c>
      <c r="E235" s="8">
        <f>YEAR(Table2[[#This Row],[Date]])</f>
        <v>2023</v>
      </c>
      <c r="F235" s="7" t="s">
        <v>986</v>
      </c>
      <c r="G235" s="7" t="s">
        <v>10</v>
      </c>
      <c r="H235" s="8">
        <v>60</v>
      </c>
      <c r="I235" s="8" t="str">
        <f>IF(Table2[[#This Row],[Age]] &lt; 19, "Teenagers", IF(Table2[[#This Row],[Age]] &lt;= 34, "Young Adults", IF(Table2[[#This Row],[Age]] &lt;= 45, "Adults", IF(Table2[[#This Row],[Age]] &lt;= 55, "Seniors", "Elderly")) ))</f>
        <v>Elderly</v>
      </c>
      <c r="J235" s="7" t="s">
        <v>14</v>
      </c>
      <c r="K235" s="8">
        <v>1</v>
      </c>
      <c r="L235" s="8" t="str">
        <f>IF(Table2[[#This Row],[Quantity]]=1, "Single Order", IF(Table2[[#This Row],[Quantity]]=2, "Small Order", IF(Table2[[#This Row],[Quantity]]=3, "Medium Order", "Bulk Order")))</f>
        <v>Single Order</v>
      </c>
      <c r="M235" s="10">
        <v>50</v>
      </c>
      <c r="N235" s="10">
        <v>50</v>
      </c>
    </row>
    <row r="236" spans="1:14" x14ac:dyDescent="0.2">
      <c r="A236">
        <v>975</v>
      </c>
      <c r="B236" s="5">
        <v>45015</v>
      </c>
      <c r="C236" s="5" t="str">
        <f>TEXT(Table2[[#This Row],[Date]], "MMM")</f>
        <v>Mar</v>
      </c>
      <c r="D236" s="8">
        <f>MONTH(Table2[[#This Row],[Date]])</f>
        <v>3</v>
      </c>
      <c r="E236" s="8">
        <f>YEAR(Table2[[#This Row],[Date]])</f>
        <v>2023</v>
      </c>
      <c r="F236" s="7" t="s">
        <v>988</v>
      </c>
      <c r="G236" s="7" t="s">
        <v>13</v>
      </c>
      <c r="H236" s="8">
        <v>56</v>
      </c>
      <c r="I236" s="8" t="str">
        <f>IF(Table2[[#This Row],[Age]] &lt; 19, "Teenagers", IF(Table2[[#This Row],[Age]] &lt;= 34, "Young Adults", IF(Table2[[#This Row],[Age]] &lt;= 45, "Adults", IF(Table2[[#This Row],[Age]] &lt;= 55, "Seniors", "Elderly")) ))</f>
        <v>Elderly</v>
      </c>
      <c r="J236" s="7" t="s">
        <v>14</v>
      </c>
      <c r="K236" s="8">
        <v>4</v>
      </c>
      <c r="L236" s="8" t="str">
        <f>IF(Table2[[#This Row],[Quantity]]=1, "Single Order", IF(Table2[[#This Row],[Quantity]]=2, "Small Order", IF(Table2[[#This Row],[Quantity]]=3, "Medium Order", "Bulk Order")))</f>
        <v>Bulk Order</v>
      </c>
      <c r="M236" s="10">
        <v>50</v>
      </c>
      <c r="N236" s="10">
        <v>200</v>
      </c>
    </row>
    <row r="237" spans="1:14" x14ac:dyDescent="0.2">
      <c r="A237">
        <v>978</v>
      </c>
      <c r="B237" s="5">
        <v>45007</v>
      </c>
      <c r="C237" s="5" t="str">
        <f>TEXT(Table2[[#This Row],[Date]], "MMM")</f>
        <v>Mar</v>
      </c>
      <c r="D237" s="8">
        <f>MONTH(Table2[[#This Row],[Date]])</f>
        <v>3</v>
      </c>
      <c r="E237" s="8">
        <f>YEAR(Table2[[#This Row],[Date]])</f>
        <v>2023</v>
      </c>
      <c r="F237" s="7" t="s">
        <v>991</v>
      </c>
      <c r="G237" s="7" t="s">
        <v>13</v>
      </c>
      <c r="H237" s="8">
        <v>53</v>
      </c>
      <c r="I237" s="8" t="str">
        <f>IF(Table2[[#This Row],[Age]] &lt; 19, "Teenagers", IF(Table2[[#This Row],[Age]] &lt;= 34, "Young Adults", IF(Table2[[#This Row],[Age]] &lt;= 45, "Adults", IF(Table2[[#This Row],[Age]] &lt;= 55, "Seniors", "Elderly")) ))</f>
        <v>Seniors</v>
      </c>
      <c r="J237" s="7" t="s">
        <v>14</v>
      </c>
      <c r="K237" s="8">
        <v>3</v>
      </c>
      <c r="L237" s="8" t="str">
        <f>IF(Table2[[#This Row],[Quantity]]=1, "Single Order", IF(Table2[[#This Row],[Quantity]]=2, "Small Order", IF(Table2[[#This Row],[Quantity]]=3, "Medium Order", "Bulk Order")))</f>
        <v>Medium Order</v>
      </c>
      <c r="M237" s="10">
        <v>50</v>
      </c>
      <c r="N237" s="10">
        <v>150</v>
      </c>
    </row>
    <row r="238" spans="1:14" x14ac:dyDescent="0.2">
      <c r="A238">
        <v>6</v>
      </c>
      <c r="B238" s="5">
        <v>45041</v>
      </c>
      <c r="C238" s="5" t="str">
        <f>TEXT(Table2[[#This Row],[Date]], "MMM")</f>
        <v>Apr</v>
      </c>
      <c r="D238" s="8">
        <f>MONTH(Table2[[#This Row],[Date]])</f>
        <v>4</v>
      </c>
      <c r="E238" s="8">
        <f>YEAR(Table2[[#This Row],[Date]])</f>
        <v>2023</v>
      </c>
      <c r="F238" s="7" t="s">
        <v>19</v>
      </c>
      <c r="G238" s="7" t="s">
        <v>13</v>
      </c>
      <c r="H238" s="8">
        <v>45</v>
      </c>
      <c r="I238" s="8" t="str">
        <f>IF(Table2[[#This Row],[Age]] &lt; 19, "Teenagers", IF(Table2[[#This Row],[Age]] &lt;= 34, "Young Adults", IF(Table2[[#This Row],[Age]] &lt;= 45, "Adults", IF(Table2[[#This Row],[Age]] &lt;= 55, "Seniors", "Elderly")) ))</f>
        <v>Adults</v>
      </c>
      <c r="J238" s="7" t="s">
        <v>11</v>
      </c>
      <c r="K238" s="8">
        <v>1</v>
      </c>
      <c r="L238" s="8" t="str">
        <f>IF(Table2[[#This Row],[Quantity]]=1, "Single Order", IF(Table2[[#This Row],[Quantity]]=2, "Small Order", IF(Table2[[#This Row],[Quantity]]=3, "Medium Order", "Bulk Order")))</f>
        <v>Single Order</v>
      </c>
      <c r="M238" s="10">
        <v>30</v>
      </c>
      <c r="N238" s="10">
        <v>30</v>
      </c>
    </row>
    <row r="239" spans="1:14" x14ac:dyDescent="0.2">
      <c r="A239">
        <v>17</v>
      </c>
      <c r="B239" s="5">
        <v>45038</v>
      </c>
      <c r="C239" s="5" t="str">
        <f>TEXT(Table2[[#This Row],[Date]], "MMM")</f>
        <v>Apr</v>
      </c>
      <c r="D239" s="8">
        <f>MONTH(Table2[[#This Row],[Date]])</f>
        <v>4</v>
      </c>
      <c r="E239" s="8">
        <f>YEAR(Table2[[#This Row],[Date]])</f>
        <v>2023</v>
      </c>
      <c r="F239" s="7" t="s">
        <v>30</v>
      </c>
      <c r="G239" s="7" t="s">
        <v>13</v>
      </c>
      <c r="H239" s="8">
        <v>27</v>
      </c>
      <c r="I239" s="8" t="str">
        <f>IF(Table2[[#This Row],[Age]] &lt; 19, "Teenagers", IF(Table2[[#This Row],[Age]] &lt;= 34, "Young Adults", IF(Table2[[#This Row],[Age]] &lt;= 45, "Adults", IF(Table2[[#This Row],[Age]] &lt;= 55, "Seniors", "Elderly")) ))</f>
        <v>Young Adults</v>
      </c>
      <c r="J239" s="7" t="s">
        <v>14</v>
      </c>
      <c r="K239" s="8">
        <v>4</v>
      </c>
      <c r="L239" s="8" t="str">
        <f>IF(Table2[[#This Row],[Quantity]]=1, "Single Order", IF(Table2[[#This Row],[Quantity]]=2, "Small Order", IF(Table2[[#This Row],[Quantity]]=3, "Medium Order", "Bulk Order")))</f>
        <v>Bulk Order</v>
      </c>
      <c r="M239" s="10">
        <v>25</v>
      </c>
      <c r="N239" s="10">
        <v>100</v>
      </c>
    </row>
    <row r="240" spans="1:14" x14ac:dyDescent="0.2">
      <c r="A240">
        <v>18</v>
      </c>
      <c r="B240" s="5">
        <v>45046</v>
      </c>
      <c r="C240" s="5" t="str">
        <f>TEXT(Table2[[#This Row],[Date]], "MMM")</f>
        <v>Apr</v>
      </c>
      <c r="D240" s="8">
        <f>MONTH(Table2[[#This Row],[Date]])</f>
        <v>4</v>
      </c>
      <c r="E240" s="8">
        <f>YEAR(Table2[[#This Row],[Date]])</f>
        <v>2023</v>
      </c>
      <c r="F240" s="7" t="s">
        <v>31</v>
      </c>
      <c r="G240" s="7" t="s">
        <v>13</v>
      </c>
      <c r="H240" s="8">
        <v>47</v>
      </c>
      <c r="I240" s="8" t="str">
        <f>IF(Table2[[#This Row],[Age]] &lt; 19, "Teenagers", IF(Table2[[#This Row],[Age]] &lt;= 34, "Young Adults", IF(Table2[[#This Row],[Age]] &lt;= 45, "Adults", IF(Table2[[#This Row],[Age]] &lt;= 55, "Seniors", "Elderly")) ))</f>
        <v>Seniors</v>
      </c>
      <c r="J240" s="7" t="s">
        <v>16</v>
      </c>
      <c r="K240" s="8">
        <v>2</v>
      </c>
      <c r="L240" s="8" t="str">
        <f>IF(Table2[[#This Row],[Quantity]]=1, "Single Order", IF(Table2[[#This Row],[Quantity]]=2, "Small Order", IF(Table2[[#This Row],[Quantity]]=3, "Medium Order", "Bulk Order")))</f>
        <v>Small Order</v>
      </c>
      <c r="M240" s="10">
        <v>25</v>
      </c>
      <c r="N240" s="10">
        <v>50</v>
      </c>
    </row>
    <row r="241" spans="1:14" x14ac:dyDescent="0.2">
      <c r="A241">
        <v>23</v>
      </c>
      <c r="B241" s="5">
        <v>45028</v>
      </c>
      <c r="C241" s="5" t="str">
        <f>TEXT(Table2[[#This Row],[Date]], "MMM")</f>
        <v>Apr</v>
      </c>
      <c r="D241" s="8">
        <f>MONTH(Table2[[#This Row],[Date]])</f>
        <v>4</v>
      </c>
      <c r="E241" s="8">
        <f>YEAR(Table2[[#This Row],[Date]])</f>
        <v>2023</v>
      </c>
      <c r="F241" s="7" t="s">
        <v>36</v>
      </c>
      <c r="G241" s="7" t="s">
        <v>13</v>
      </c>
      <c r="H241" s="8">
        <v>35</v>
      </c>
      <c r="I241" s="8" t="str">
        <f>IF(Table2[[#This Row],[Age]] &lt; 19, "Teenagers", IF(Table2[[#This Row],[Age]] &lt;= 34, "Young Adults", IF(Table2[[#This Row],[Age]] &lt;= 45, "Adults", IF(Table2[[#This Row],[Age]] &lt;= 55, "Seniors", "Elderly")) ))</f>
        <v>Adults</v>
      </c>
      <c r="J241" s="7" t="s">
        <v>14</v>
      </c>
      <c r="K241" s="8">
        <v>4</v>
      </c>
      <c r="L241" s="8" t="str">
        <f>IF(Table2[[#This Row],[Quantity]]=1, "Single Order", IF(Table2[[#This Row],[Quantity]]=2, "Small Order", IF(Table2[[#This Row],[Quantity]]=3, "Medium Order", "Bulk Order")))</f>
        <v>Bulk Order</v>
      </c>
      <c r="M241" s="10">
        <v>30</v>
      </c>
      <c r="N241" s="10">
        <v>120</v>
      </c>
    </row>
    <row r="242" spans="1:14" x14ac:dyDescent="0.2">
      <c r="A242">
        <v>28</v>
      </c>
      <c r="B242" s="5">
        <v>45039</v>
      </c>
      <c r="C242" s="5" t="str">
        <f>TEXT(Table2[[#This Row],[Date]], "MMM")</f>
        <v>Apr</v>
      </c>
      <c r="D242" s="8">
        <f>MONTH(Table2[[#This Row],[Date]])</f>
        <v>4</v>
      </c>
      <c r="E242" s="8">
        <f>YEAR(Table2[[#This Row],[Date]])</f>
        <v>2023</v>
      </c>
      <c r="F242" s="7" t="s">
        <v>41</v>
      </c>
      <c r="G242" s="7" t="s">
        <v>13</v>
      </c>
      <c r="H242" s="8">
        <v>43</v>
      </c>
      <c r="I242" s="8" t="str">
        <f>IF(Table2[[#This Row],[Age]] &lt; 19, "Teenagers", IF(Table2[[#This Row],[Age]] &lt;= 34, "Young Adults", IF(Table2[[#This Row],[Age]] &lt;= 45, "Adults", IF(Table2[[#This Row],[Age]] &lt;= 55, "Seniors", "Elderly")) ))</f>
        <v>Adults</v>
      </c>
      <c r="J242" s="7" t="s">
        <v>11</v>
      </c>
      <c r="K242" s="8">
        <v>1</v>
      </c>
      <c r="L242" s="8" t="str">
        <f>IF(Table2[[#This Row],[Quantity]]=1, "Single Order", IF(Table2[[#This Row],[Quantity]]=2, "Small Order", IF(Table2[[#This Row],[Quantity]]=3, "Medium Order", "Bulk Order")))</f>
        <v>Single Order</v>
      </c>
      <c r="M242" s="10">
        <v>500</v>
      </c>
      <c r="N242" s="10">
        <v>500</v>
      </c>
    </row>
    <row r="243" spans="1:14" x14ac:dyDescent="0.2">
      <c r="A243">
        <v>39</v>
      </c>
      <c r="B243" s="5">
        <v>45037</v>
      </c>
      <c r="C243" s="5" t="str">
        <f>TEXT(Table2[[#This Row],[Date]], "MMM")</f>
        <v>Apr</v>
      </c>
      <c r="D243" s="8">
        <f>MONTH(Table2[[#This Row],[Date]])</f>
        <v>4</v>
      </c>
      <c r="E243" s="8">
        <f>YEAR(Table2[[#This Row],[Date]])</f>
        <v>2023</v>
      </c>
      <c r="F243" s="7" t="s">
        <v>52</v>
      </c>
      <c r="G243" s="7" t="s">
        <v>10</v>
      </c>
      <c r="H243" s="8">
        <v>23</v>
      </c>
      <c r="I243" s="8" t="str">
        <f>IF(Table2[[#This Row],[Age]] &lt; 19, "Teenagers", IF(Table2[[#This Row],[Age]] &lt;= 34, "Young Adults", IF(Table2[[#This Row],[Age]] &lt;= 45, "Adults", IF(Table2[[#This Row],[Age]] &lt;= 55, "Seniors", "Elderly")) ))</f>
        <v>Young Adults</v>
      </c>
      <c r="J243" s="7" t="s">
        <v>14</v>
      </c>
      <c r="K243" s="8">
        <v>4</v>
      </c>
      <c r="L243" s="8" t="str">
        <f>IF(Table2[[#This Row],[Quantity]]=1, "Single Order", IF(Table2[[#This Row],[Quantity]]=2, "Small Order", IF(Table2[[#This Row],[Quantity]]=3, "Medium Order", "Bulk Order")))</f>
        <v>Bulk Order</v>
      </c>
      <c r="M243" s="10">
        <v>30</v>
      </c>
      <c r="N243" s="10">
        <v>120</v>
      </c>
    </row>
    <row r="244" spans="1:14" x14ac:dyDescent="0.2">
      <c r="A244">
        <v>61</v>
      </c>
      <c r="B244" s="5">
        <v>45025</v>
      </c>
      <c r="C244" s="5" t="str">
        <f>TEXT(Table2[[#This Row],[Date]], "MMM")</f>
        <v>Apr</v>
      </c>
      <c r="D244" s="8">
        <f>MONTH(Table2[[#This Row],[Date]])</f>
        <v>4</v>
      </c>
      <c r="E244" s="8">
        <f>YEAR(Table2[[#This Row],[Date]])</f>
        <v>2023</v>
      </c>
      <c r="F244" s="7" t="s">
        <v>74</v>
      </c>
      <c r="G244" s="7" t="s">
        <v>10</v>
      </c>
      <c r="H244" s="8">
        <v>21</v>
      </c>
      <c r="I244" s="8" t="str">
        <f>IF(Table2[[#This Row],[Age]] &lt; 19, "Teenagers", IF(Table2[[#This Row],[Age]] &lt;= 34, "Young Adults", IF(Table2[[#This Row],[Age]] &lt;= 45, "Adults", IF(Table2[[#This Row],[Age]] &lt;= 55, "Seniors", "Elderly")) ))</f>
        <v>Young Adults</v>
      </c>
      <c r="J244" s="7" t="s">
        <v>11</v>
      </c>
      <c r="K244" s="8">
        <v>4</v>
      </c>
      <c r="L244" s="8" t="str">
        <f>IF(Table2[[#This Row],[Quantity]]=1, "Single Order", IF(Table2[[#This Row],[Quantity]]=2, "Small Order", IF(Table2[[#This Row],[Quantity]]=3, "Medium Order", "Bulk Order")))</f>
        <v>Bulk Order</v>
      </c>
      <c r="M244" s="10">
        <v>50</v>
      </c>
      <c r="N244" s="10">
        <v>200</v>
      </c>
    </row>
    <row r="245" spans="1:14" x14ac:dyDescent="0.2">
      <c r="A245">
        <v>66</v>
      </c>
      <c r="B245" s="5">
        <v>45043</v>
      </c>
      <c r="C245" s="5" t="str">
        <f>TEXT(Table2[[#This Row],[Date]], "MMM")</f>
        <v>Apr</v>
      </c>
      <c r="D245" s="8">
        <f>MONTH(Table2[[#This Row],[Date]])</f>
        <v>4</v>
      </c>
      <c r="E245" s="8">
        <f>YEAR(Table2[[#This Row],[Date]])</f>
        <v>2023</v>
      </c>
      <c r="F245" s="7" t="s">
        <v>79</v>
      </c>
      <c r="G245" s="7" t="s">
        <v>13</v>
      </c>
      <c r="H245" s="8">
        <v>45</v>
      </c>
      <c r="I245" s="8" t="str">
        <f>IF(Table2[[#This Row],[Age]] &lt; 19, "Teenagers", IF(Table2[[#This Row],[Age]] &lt;= 34, "Young Adults", IF(Table2[[#This Row],[Age]] &lt;= 45, "Adults", IF(Table2[[#This Row],[Age]] &lt;= 55, "Seniors", "Elderly")) ))</f>
        <v>Adults</v>
      </c>
      <c r="J245" s="7" t="s">
        <v>16</v>
      </c>
      <c r="K245" s="8">
        <v>1</v>
      </c>
      <c r="L245" s="8" t="str">
        <f>IF(Table2[[#This Row],[Quantity]]=1, "Single Order", IF(Table2[[#This Row],[Quantity]]=2, "Small Order", IF(Table2[[#This Row],[Quantity]]=3, "Medium Order", "Bulk Order")))</f>
        <v>Single Order</v>
      </c>
      <c r="M245" s="10">
        <v>30</v>
      </c>
      <c r="N245" s="10">
        <v>30</v>
      </c>
    </row>
    <row r="246" spans="1:14" x14ac:dyDescent="0.2">
      <c r="A246">
        <v>69</v>
      </c>
      <c r="B246" s="5">
        <v>45046</v>
      </c>
      <c r="C246" s="5" t="str">
        <f>TEXT(Table2[[#This Row],[Date]], "MMM")</f>
        <v>Apr</v>
      </c>
      <c r="D246" s="8">
        <f>MONTH(Table2[[#This Row],[Date]])</f>
        <v>4</v>
      </c>
      <c r="E246" s="8">
        <f>YEAR(Table2[[#This Row],[Date]])</f>
        <v>2023</v>
      </c>
      <c r="F246" s="7" t="s">
        <v>82</v>
      </c>
      <c r="G246" s="7" t="s">
        <v>13</v>
      </c>
      <c r="H246" s="8">
        <v>56</v>
      </c>
      <c r="I246" s="8" t="str">
        <f>IF(Table2[[#This Row],[Age]] &lt; 19, "Teenagers", IF(Table2[[#This Row],[Age]] &lt;= 34, "Young Adults", IF(Table2[[#This Row],[Age]] &lt;= 45, "Adults", IF(Table2[[#This Row],[Age]] &lt;= 55, "Seniors", "Elderly")) ))</f>
        <v>Elderly</v>
      </c>
      <c r="J246" s="7" t="s">
        <v>11</v>
      </c>
      <c r="K246" s="8">
        <v>3</v>
      </c>
      <c r="L246" s="8" t="str">
        <f>IF(Table2[[#This Row],[Quantity]]=1, "Single Order", IF(Table2[[#This Row],[Quantity]]=2, "Small Order", IF(Table2[[#This Row],[Quantity]]=3, "Medium Order", "Bulk Order")))</f>
        <v>Medium Order</v>
      </c>
      <c r="M246" s="10">
        <v>25</v>
      </c>
      <c r="N246" s="10">
        <v>75</v>
      </c>
    </row>
    <row r="247" spans="1:14" x14ac:dyDescent="0.2">
      <c r="A247">
        <v>79</v>
      </c>
      <c r="B247" s="5">
        <v>45034</v>
      </c>
      <c r="C247" s="5" t="str">
        <f>TEXT(Table2[[#This Row],[Date]], "MMM")</f>
        <v>Apr</v>
      </c>
      <c r="D247" s="8">
        <f>MONTH(Table2[[#This Row],[Date]])</f>
        <v>4</v>
      </c>
      <c r="E247" s="8">
        <f>YEAR(Table2[[#This Row],[Date]])</f>
        <v>2023</v>
      </c>
      <c r="F247" s="7" t="s">
        <v>92</v>
      </c>
      <c r="G247" s="7" t="s">
        <v>10</v>
      </c>
      <c r="H247" s="8">
        <v>34</v>
      </c>
      <c r="I247" s="8" t="str">
        <f>IF(Table2[[#This Row],[Age]] &lt; 19, "Teenagers", IF(Table2[[#This Row],[Age]] &lt;= 34, "Young Adults", IF(Table2[[#This Row],[Age]] &lt;= 45, "Adults", IF(Table2[[#This Row],[Age]] &lt;= 55, "Seniors", "Elderly")) ))</f>
        <v>Young Adults</v>
      </c>
      <c r="J247" s="7" t="s">
        <v>11</v>
      </c>
      <c r="K247" s="8">
        <v>1</v>
      </c>
      <c r="L247" s="8" t="str">
        <f>IF(Table2[[#This Row],[Quantity]]=1, "Single Order", IF(Table2[[#This Row],[Quantity]]=2, "Small Order", IF(Table2[[#This Row],[Quantity]]=3, "Medium Order", "Bulk Order")))</f>
        <v>Single Order</v>
      </c>
      <c r="M247" s="10">
        <v>300</v>
      </c>
      <c r="N247" s="10">
        <v>300</v>
      </c>
    </row>
    <row r="248" spans="1:14" x14ac:dyDescent="0.2">
      <c r="A248">
        <v>98</v>
      </c>
      <c r="B248" s="5">
        <v>45039</v>
      </c>
      <c r="C248" s="5" t="str">
        <f>TEXT(Table2[[#This Row],[Date]], "MMM")</f>
        <v>Apr</v>
      </c>
      <c r="D248" s="8">
        <f>MONTH(Table2[[#This Row],[Date]])</f>
        <v>4</v>
      </c>
      <c r="E248" s="8">
        <f>YEAR(Table2[[#This Row],[Date]])</f>
        <v>2023</v>
      </c>
      <c r="F248" s="7" t="s">
        <v>111</v>
      </c>
      <c r="G248" s="7" t="s">
        <v>13</v>
      </c>
      <c r="H248" s="8">
        <v>55</v>
      </c>
      <c r="I248" s="8" t="str">
        <f>IF(Table2[[#This Row],[Age]] &lt; 19, "Teenagers", IF(Table2[[#This Row],[Age]] &lt;= 34, "Young Adults", IF(Table2[[#This Row],[Age]] &lt;= 45, "Adults", IF(Table2[[#This Row],[Age]] &lt;= 55, "Seniors", "Elderly")) ))</f>
        <v>Seniors</v>
      </c>
      <c r="J248" s="7" t="s">
        <v>11</v>
      </c>
      <c r="K248" s="8">
        <v>2</v>
      </c>
      <c r="L248" s="8" t="str">
        <f>IF(Table2[[#This Row],[Quantity]]=1, "Single Order", IF(Table2[[#This Row],[Quantity]]=2, "Small Order", IF(Table2[[#This Row],[Quantity]]=3, "Medium Order", "Bulk Order")))</f>
        <v>Small Order</v>
      </c>
      <c r="M248" s="10">
        <v>50</v>
      </c>
      <c r="N248" s="10">
        <v>100</v>
      </c>
    </row>
    <row r="249" spans="1:14" x14ac:dyDescent="0.2">
      <c r="A249">
        <v>102</v>
      </c>
      <c r="B249" s="5">
        <v>45044</v>
      </c>
      <c r="C249" s="5" t="str">
        <f>TEXT(Table2[[#This Row],[Date]], "MMM")</f>
        <v>Apr</v>
      </c>
      <c r="D249" s="8">
        <f>MONTH(Table2[[#This Row],[Date]])</f>
        <v>4</v>
      </c>
      <c r="E249" s="8">
        <f>YEAR(Table2[[#This Row],[Date]])</f>
        <v>2023</v>
      </c>
      <c r="F249" s="7" t="s">
        <v>115</v>
      </c>
      <c r="G249" s="7" t="s">
        <v>13</v>
      </c>
      <c r="H249" s="8">
        <v>47</v>
      </c>
      <c r="I249" s="8" t="str">
        <f>IF(Table2[[#This Row],[Age]] &lt; 19, "Teenagers", IF(Table2[[#This Row],[Age]] &lt;= 34, "Young Adults", IF(Table2[[#This Row],[Age]] &lt;= 45, "Adults", IF(Table2[[#This Row],[Age]] &lt;= 55, "Seniors", "Elderly")) ))</f>
        <v>Seniors</v>
      </c>
      <c r="J249" s="7" t="s">
        <v>11</v>
      </c>
      <c r="K249" s="8">
        <v>2</v>
      </c>
      <c r="L249" s="8" t="str">
        <f>IF(Table2[[#This Row],[Quantity]]=1, "Single Order", IF(Table2[[#This Row],[Quantity]]=2, "Small Order", IF(Table2[[#This Row],[Quantity]]=3, "Medium Order", "Bulk Order")))</f>
        <v>Small Order</v>
      </c>
      <c r="M249" s="10">
        <v>25</v>
      </c>
      <c r="N249" s="10">
        <v>50</v>
      </c>
    </row>
    <row r="250" spans="1:14" x14ac:dyDescent="0.2">
      <c r="A250">
        <v>108</v>
      </c>
      <c r="B250" s="5">
        <v>45035</v>
      </c>
      <c r="C250" s="5" t="str">
        <f>TEXT(Table2[[#This Row],[Date]], "MMM")</f>
        <v>Apr</v>
      </c>
      <c r="D250" s="8">
        <f>MONTH(Table2[[#This Row],[Date]])</f>
        <v>4</v>
      </c>
      <c r="E250" s="8">
        <f>YEAR(Table2[[#This Row],[Date]])</f>
        <v>2023</v>
      </c>
      <c r="F250" s="7" t="s">
        <v>121</v>
      </c>
      <c r="G250" s="7" t="s">
        <v>13</v>
      </c>
      <c r="H250" s="8">
        <v>27</v>
      </c>
      <c r="I250" s="8" t="str">
        <f>IF(Table2[[#This Row],[Age]] &lt; 19, "Teenagers", IF(Table2[[#This Row],[Age]] &lt;= 34, "Young Adults", IF(Table2[[#This Row],[Age]] &lt;= 45, "Adults", IF(Table2[[#This Row],[Age]] &lt;= 55, "Seniors", "Elderly")) ))</f>
        <v>Young Adults</v>
      </c>
      <c r="J250" s="7" t="s">
        <v>11</v>
      </c>
      <c r="K250" s="8">
        <v>3</v>
      </c>
      <c r="L250" s="8" t="str">
        <f>IF(Table2[[#This Row],[Quantity]]=1, "Single Order", IF(Table2[[#This Row],[Quantity]]=2, "Small Order", IF(Table2[[#This Row],[Quantity]]=3, "Medium Order", "Bulk Order")))</f>
        <v>Medium Order</v>
      </c>
      <c r="M250" s="10">
        <v>25</v>
      </c>
      <c r="N250" s="10">
        <v>75</v>
      </c>
    </row>
    <row r="251" spans="1:14" x14ac:dyDescent="0.2">
      <c r="A251">
        <v>111</v>
      </c>
      <c r="B251" s="5">
        <v>45035</v>
      </c>
      <c r="C251" s="5" t="str">
        <f>TEXT(Table2[[#This Row],[Date]], "MMM")</f>
        <v>Apr</v>
      </c>
      <c r="D251" s="8">
        <f>MONTH(Table2[[#This Row],[Date]])</f>
        <v>4</v>
      </c>
      <c r="E251" s="8">
        <f>YEAR(Table2[[#This Row],[Date]])</f>
        <v>2023</v>
      </c>
      <c r="F251" s="7" t="s">
        <v>124</v>
      </c>
      <c r="G251" s="7" t="s">
        <v>13</v>
      </c>
      <c r="H251" s="8">
        <v>34</v>
      </c>
      <c r="I251" s="8" t="str">
        <f>IF(Table2[[#This Row],[Age]] &lt; 19, "Teenagers", IF(Table2[[#This Row],[Age]] &lt;= 34, "Young Adults", IF(Table2[[#This Row],[Age]] &lt;= 45, "Adults", IF(Table2[[#This Row],[Age]] &lt;= 55, "Seniors", "Elderly")) ))</f>
        <v>Young Adults</v>
      </c>
      <c r="J251" s="7" t="s">
        <v>16</v>
      </c>
      <c r="K251" s="8">
        <v>3</v>
      </c>
      <c r="L251" s="8" t="str">
        <f>IF(Table2[[#This Row],[Quantity]]=1, "Single Order", IF(Table2[[#This Row],[Quantity]]=2, "Small Order", IF(Table2[[#This Row],[Quantity]]=3, "Medium Order", "Bulk Order")))</f>
        <v>Medium Order</v>
      </c>
      <c r="M251" s="10">
        <v>500</v>
      </c>
      <c r="N251" s="10">
        <v>1500</v>
      </c>
    </row>
    <row r="252" spans="1:14" x14ac:dyDescent="0.2">
      <c r="A252">
        <v>129</v>
      </c>
      <c r="B252" s="5">
        <v>45039</v>
      </c>
      <c r="C252" s="5" t="str">
        <f>TEXT(Table2[[#This Row],[Date]], "MMM")</f>
        <v>Apr</v>
      </c>
      <c r="D252" s="8">
        <f>MONTH(Table2[[#This Row],[Date]])</f>
        <v>4</v>
      </c>
      <c r="E252" s="8">
        <f>YEAR(Table2[[#This Row],[Date]])</f>
        <v>2023</v>
      </c>
      <c r="F252" s="7" t="s">
        <v>142</v>
      </c>
      <c r="G252" s="7" t="s">
        <v>13</v>
      </c>
      <c r="H252" s="8">
        <v>21</v>
      </c>
      <c r="I252" s="8" t="str">
        <f>IF(Table2[[#This Row],[Age]] &lt; 19, "Teenagers", IF(Table2[[#This Row],[Age]] &lt;= 34, "Young Adults", IF(Table2[[#This Row],[Age]] &lt;= 45, "Adults", IF(Table2[[#This Row],[Age]] &lt;= 55, "Seniors", "Elderly")) ))</f>
        <v>Young Adults</v>
      </c>
      <c r="J252" s="7" t="s">
        <v>11</v>
      </c>
      <c r="K252" s="8">
        <v>2</v>
      </c>
      <c r="L252" s="8" t="str">
        <f>IF(Table2[[#This Row],[Quantity]]=1, "Single Order", IF(Table2[[#This Row],[Quantity]]=2, "Small Order", IF(Table2[[#This Row],[Quantity]]=3, "Medium Order", "Bulk Order")))</f>
        <v>Small Order</v>
      </c>
      <c r="M252" s="10">
        <v>300</v>
      </c>
      <c r="N252" s="10">
        <v>600</v>
      </c>
    </row>
    <row r="253" spans="1:14" x14ac:dyDescent="0.2">
      <c r="A253">
        <v>166</v>
      </c>
      <c r="B253" s="5">
        <v>45018</v>
      </c>
      <c r="C253" s="5" t="str">
        <f>TEXT(Table2[[#This Row],[Date]], "MMM")</f>
        <v>Apr</v>
      </c>
      <c r="D253" s="8">
        <f>MONTH(Table2[[#This Row],[Date]])</f>
        <v>4</v>
      </c>
      <c r="E253" s="8">
        <f>YEAR(Table2[[#This Row],[Date]])</f>
        <v>2023</v>
      </c>
      <c r="F253" s="7" t="s">
        <v>179</v>
      </c>
      <c r="G253" s="7" t="s">
        <v>10</v>
      </c>
      <c r="H253" s="8">
        <v>34</v>
      </c>
      <c r="I253" s="8" t="str">
        <f>IF(Table2[[#This Row],[Age]] &lt; 19, "Teenagers", IF(Table2[[#This Row],[Age]] &lt;= 34, "Young Adults", IF(Table2[[#This Row],[Age]] &lt;= 45, "Adults", IF(Table2[[#This Row],[Age]] &lt;= 55, "Seniors", "Elderly")) ))</f>
        <v>Young Adults</v>
      </c>
      <c r="J253" s="7" t="s">
        <v>14</v>
      </c>
      <c r="K253" s="8">
        <v>4</v>
      </c>
      <c r="L253" s="8" t="str">
        <f>IF(Table2[[#This Row],[Quantity]]=1, "Single Order", IF(Table2[[#This Row],[Quantity]]=2, "Small Order", IF(Table2[[#This Row],[Quantity]]=3, "Medium Order", "Bulk Order")))</f>
        <v>Bulk Order</v>
      </c>
      <c r="M253" s="10">
        <v>500</v>
      </c>
      <c r="N253" s="10">
        <v>2000</v>
      </c>
    </row>
    <row r="254" spans="1:14" x14ac:dyDescent="0.2">
      <c r="A254">
        <v>174</v>
      </c>
      <c r="B254" s="5">
        <v>45028</v>
      </c>
      <c r="C254" s="5" t="str">
        <f>TEXT(Table2[[#This Row],[Date]], "MMM")</f>
        <v>Apr</v>
      </c>
      <c r="D254" s="8">
        <f>MONTH(Table2[[#This Row],[Date]])</f>
        <v>4</v>
      </c>
      <c r="E254" s="8">
        <f>YEAR(Table2[[#This Row],[Date]])</f>
        <v>2023</v>
      </c>
      <c r="F254" s="7" t="s">
        <v>187</v>
      </c>
      <c r="G254" s="7" t="s">
        <v>13</v>
      </c>
      <c r="H254" s="8">
        <v>39</v>
      </c>
      <c r="I254" s="8" t="str">
        <f>IF(Table2[[#This Row],[Age]] &lt; 19, "Teenagers", IF(Table2[[#This Row],[Age]] &lt;= 34, "Young Adults", IF(Table2[[#This Row],[Age]] &lt;= 45, "Adults", IF(Table2[[#This Row],[Age]] &lt;= 55, "Seniors", "Elderly")) ))</f>
        <v>Adults</v>
      </c>
      <c r="J254" s="7" t="s">
        <v>11</v>
      </c>
      <c r="K254" s="8">
        <v>1</v>
      </c>
      <c r="L254" s="8" t="str">
        <f>IF(Table2[[#This Row],[Quantity]]=1, "Single Order", IF(Table2[[#This Row],[Quantity]]=2, "Small Order", IF(Table2[[#This Row],[Quantity]]=3, "Medium Order", "Bulk Order")))</f>
        <v>Single Order</v>
      </c>
      <c r="M254" s="10">
        <v>300</v>
      </c>
      <c r="N254" s="10">
        <v>300</v>
      </c>
    </row>
    <row r="255" spans="1:14" x14ac:dyDescent="0.2">
      <c r="A255">
        <v>207</v>
      </c>
      <c r="B255" s="5">
        <v>45035</v>
      </c>
      <c r="C255" s="5" t="str">
        <f>TEXT(Table2[[#This Row],[Date]], "MMM")</f>
        <v>Apr</v>
      </c>
      <c r="D255" s="8">
        <f>MONTH(Table2[[#This Row],[Date]])</f>
        <v>4</v>
      </c>
      <c r="E255" s="8">
        <f>YEAR(Table2[[#This Row],[Date]])</f>
        <v>2023</v>
      </c>
      <c r="F255" s="7" t="s">
        <v>220</v>
      </c>
      <c r="G255" s="7" t="s">
        <v>13</v>
      </c>
      <c r="H255" s="8">
        <v>42</v>
      </c>
      <c r="I255" s="8" t="str">
        <f>IF(Table2[[#This Row],[Age]] &lt; 19, "Teenagers", IF(Table2[[#This Row],[Age]] &lt;= 34, "Young Adults", IF(Table2[[#This Row],[Age]] &lt;= 45, "Adults", IF(Table2[[#This Row],[Age]] &lt;= 55, "Seniors", "Elderly")) ))</f>
        <v>Adults</v>
      </c>
      <c r="J255" s="7" t="s">
        <v>11</v>
      </c>
      <c r="K255" s="8">
        <v>2</v>
      </c>
      <c r="L255" s="8" t="str">
        <f>IF(Table2[[#This Row],[Quantity]]=1, "Single Order", IF(Table2[[#This Row],[Quantity]]=2, "Small Order", IF(Table2[[#This Row],[Quantity]]=3, "Medium Order", "Bulk Order")))</f>
        <v>Small Order</v>
      </c>
      <c r="M255" s="10">
        <v>25</v>
      </c>
      <c r="N255" s="10">
        <v>50</v>
      </c>
    </row>
    <row r="256" spans="1:14" x14ac:dyDescent="0.2">
      <c r="A256">
        <v>210</v>
      </c>
      <c r="B256" s="5">
        <v>45029</v>
      </c>
      <c r="C256" s="5" t="str">
        <f>TEXT(Table2[[#This Row],[Date]], "MMM")</f>
        <v>Apr</v>
      </c>
      <c r="D256" s="8">
        <f>MONTH(Table2[[#This Row],[Date]])</f>
        <v>4</v>
      </c>
      <c r="E256" s="8">
        <f>YEAR(Table2[[#This Row],[Date]])</f>
        <v>2023</v>
      </c>
      <c r="F256" s="7" t="s">
        <v>223</v>
      </c>
      <c r="G256" s="7" t="s">
        <v>10</v>
      </c>
      <c r="H256" s="8">
        <v>37</v>
      </c>
      <c r="I256" s="8" t="str">
        <f>IF(Table2[[#This Row],[Age]] &lt; 19, "Teenagers", IF(Table2[[#This Row],[Age]] &lt;= 34, "Young Adults", IF(Table2[[#This Row],[Age]] &lt;= 45, "Adults", IF(Table2[[#This Row],[Age]] &lt;= 55, "Seniors", "Elderly")) ))</f>
        <v>Adults</v>
      </c>
      <c r="J256" s="7" t="s">
        <v>16</v>
      </c>
      <c r="K256" s="8">
        <v>4</v>
      </c>
      <c r="L256" s="8" t="str">
        <f>IF(Table2[[#This Row],[Quantity]]=1, "Single Order", IF(Table2[[#This Row],[Quantity]]=2, "Small Order", IF(Table2[[#This Row],[Quantity]]=3, "Medium Order", "Bulk Order")))</f>
        <v>Bulk Order</v>
      </c>
      <c r="M256" s="10">
        <v>50</v>
      </c>
      <c r="N256" s="10">
        <v>200</v>
      </c>
    </row>
    <row r="257" spans="1:14" x14ac:dyDescent="0.2">
      <c r="A257">
        <v>222</v>
      </c>
      <c r="B257" s="5">
        <v>45042</v>
      </c>
      <c r="C257" s="5" t="str">
        <f>TEXT(Table2[[#This Row],[Date]], "MMM")</f>
        <v>Apr</v>
      </c>
      <c r="D257" s="8">
        <f>MONTH(Table2[[#This Row],[Date]])</f>
        <v>4</v>
      </c>
      <c r="E257" s="8">
        <f>YEAR(Table2[[#This Row],[Date]])</f>
        <v>2023</v>
      </c>
      <c r="F257" s="7" t="s">
        <v>235</v>
      </c>
      <c r="G257" s="7" t="s">
        <v>10</v>
      </c>
      <c r="H257" s="8">
        <v>51</v>
      </c>
      <c r="I257" s="8" t="str">
        <f>IF(Table2[[#This Row],[Age]] &lt; 19, "Teenagers", IF(Table2[[#This Row],[Age]] &lt;= 34, "Young Adults", IF(Table2[[#This Row],[Age]] &lt;= 45, "Adults", IF(Table2[[#This Row],[Age]] &lt;= 55, "Seniors", "Elderly")) ))</f>
        <v>Seniors</v>
      </c>
      <c r="J257" s="7" t="s">
        <v>14</v>
      </c>
      <c r="K257" s="8">
        <v>4</v>
      </c>
      <c r="L257" s="8" t="str">
        <f>IF(Table2[[#This Row],[Quantity]]=1, "Single Order", IF(Table2[[#This Row],[Quantity]]=2, "Small Order", IF(Table2[[#This Row],[Quantity]]=3, "Medium Order", "Bulk Order")))</f>
        <v>Bulk Order</v>
      </c>
      <c r="M257" s="10">
        <v>30</v>
      </c>
      <c r="N257" s="10">
        <v>120</v>
      </c>
    </row>
    <row r="258" spans="1:14" x14ac:dyDescent="0.2">
      <c r="A258">
        <v>228</v>
      </c>
      <c r="B258" s="5">
        <v>45044</v>
      </c>
      <c r="C258" s="5" t="str">
        <f>TEXT(Table2[[#This Row],[Date]], "MMM")</f>
        <v>Apr</v>
      </c>
      <c r="D258" s="8">
        <f>MONTH(Table2[[#This Row],[Date]])</f>
        <v>4</v>
      </c>
      <c r="E258" s="8">
        <f>YEAR(Table2[[#This Row],[Date]])</f>
        <v>2023</v>
      </c>
      <c r="F258" s="7" t="s">
        <v>241</v>
      </c>
      <c r="G258" s="7" t="s">
        <v>13</v>
      </c>
      <c r="H258" s="8">
        <v>59</v>
      </c>
      <c r="I258" s="8" t="str">
        <f>IF(Table2[[#This Row],[Age]] &lt; 19, "Teenagers", IF(Table2[[#This Row],[Age]] &lt;= 34, "Young Adults", IF(Table2[[#This Row],[Age]] &lt;= 45, "Adults", IF(Table2[[#This Row],[Age]] &lt;= 55, "Seniors", "Elderly")) ))</f>
        <v>Elderly</v>
      </c>
      <c r="J258" s="7" t="s">
        <v>16</v>
      </c>
      <c r="K258" s="8">
        <v>2</v>
      </c>
      <c r="L258" s="8" t="str">
        <f>IF(Table2[[#This Row],[Quantity]]=1, "Single Order", IF(Table2[[#This Row],[Quantity]]=2, "Small Order", IF(Table2[[#This Row],[Quantity]]=3, "Medium Order", "Bulk Order")))</f>
        <v>Small Order</v>
      </c>
      <c r="M258" s="10">
        <v>30</v>
      </c>
      <c r="N258" s="10">
        <v>60</v>
      </c>
    </row>
    <row r="259" spans="1:14" x14ac:dyDescent="0.2">
      <c r="A259">
        <v>230</v>
      </c>
      <c r="B259" s="5">
        <v>45039</v>
      </c>
      <c r="C259" s="5" t="str">
        <f>TEXT(Table2[[#This Row],[Date]], "MMM")</f>
        <v>Apr</v>
      </c>
      <c r="D259" s="8">
        <f>MONTH(Table2[[#This Row],[Date]])</f>
        <v>4</v>
      </c>
      <c r="E259" s="8">
        <f>YEAR(Table2[[#This Row],[Date]])</f>
        <v>2023</v>
      </c>
      <c r="F259" s="7" t="s">
        <v>243</v>
      </c>
      <c r="G259" s="7" t="s">
        <v>10</v>
      </c>
      <c r="H259" s="8">
        <v>54</v>
      </c>
      <c r="I259" s="8" t="str">
        <f>IF(Table2[[#This Row],[Age]] &lt; 19, "Teenagers", IF(Table2[[#This Row],[Age]] &lt;= 34, "Young Adults", IF(Table2[[#This Row],[Age]] &lt;= 45, "Adults", IF(Table2[[#This Row],[Age]] &lt;= 55, "Seniors", "Elderly")) ))</f>
        <v>Seniors</v>
      </c>
      <c r="J259" s="7" t="s">
        <v>11</v>
      </c>
      <c r="K259" s="8">
        <v>1</v>
      </c>
      <c r="L259" s="8" t="str">
        <f>IF(Table2[[#This Row],[Quantity]]=1, "Single Order", IF(Table2[[#This Row],[Quantity]]=2, "Small Order", IF(Table2[[#This Row],[Quantity]]=3, "Medium Order", "Bulk Order")))</f>
        <v>Single Order</v>
      </c>
      <c r="M259" s="10">
        <v>25</v>
      </c>
      <c r="N259" s="10">
        <v>25</v>
      </c>
    </row>
    <row r="260" spans="1:14" x14ac:dyDescent="0.2">
      <c r="A260">
        <v>236</v>
      </c>
      <c r="B260" s="5">
        <v>45044</v>
      </c>
      <c r="C260" s="5" t="str">
        <f>TEXT(Table2[[#This Row],[Date]], "MMM")</f>
        <v>Apr</v>
      </c>
      <c r="D260" s="8">
        <f>MONTH(Table2[[#This Row],[Date]])</f>
        <v>4</v>
      </c>
      <c r="E260" s="8">
        <f>YEAR(Table2[[#This Row],[Date]])</f>
        <v>2023</v>
      </c>
      <c r="F260" s="7" t="s">
        <v>249</v>
      </c>
      <c r="G260" s="7" t="s">
        <v>13</v>
      </c>
      <c r="H260" s="8">
        <v>54</v>
      </c>
      <c r="I260" s="8" t="str">
        <f>IF(Table2[[#This Row],[Age]] &lt; 19, "Teenagers", IF(Table2[[#This Row],[Age]] &lt;= 34, "Young Adults", IF(Table2[[#This Row],[Age]] &lt;= 45, "Adults", IF(Table2[[#This Row],[Age]] &lt;= 55, "Seniors", "Elderly")) ))</f>
        <v>Seniors</v>
      </c>
      <c r="J260" s="7" t="s">
        <v>14</v>
      </c>
      <c r="K260" s="8">
        <v>1</v>
      </c>
      <c r="L260" s="8" t="str">
        <f>IF(Table2[[#This Row],[Quantity]]=1, "Single Order", IF(Table2[[#This Row],[Quantity]]=2, "Small Order", IF(Table2[[#This Row],[Quantity]]=3, "Medium Order", "Bulk Order")))</f>
        <v>Single Order</v>
      </c>
      <c r="M260" s="10">
        <v>25</v>
      </c>
      <c r="N260" s="10">
        <v>25</v>
      </c>
    </row>
    <row r="261" spans="1:14" x14ac:dyDescent="0.2">
      <c r="A261">
        <v>246</v>
      </c>
      <c r="B261" s="5">
        <v>45036</v>
      </c>
      <c r="C261" s="5" t="str">
        <f>TEXT(Table2[[#This Row],[Date]], "MMM")</f>
        <v>Apr</v>
      </c>
      <c r="D261" s="8">
        <f>MONTH(Table2[[#This Row],[Date]])</f>
        <v>4</v>
      </c>
      <c r="E261" s="8">
        <f>YEAR(Table2[[#This Row],[Date]])</f>
        <v>2023</v>
      </c>
      <c r="F261" s="7" t="s">
        <v>259</v>
      </c>
      <c r="G261" s="7" t="s">
        <v>13</v>
      </c>
      <c r="H261" s="8">
        <v>48</v>
      </c>
      <c r="I261" s="8" t="str">
        <f>IF(Table2[[#This Row],[Age]] &lt; 19, "Teenagers", IF(Table2[[#This Row],[Age]] &lt;= 34, "Young Adults", IF(Table2[[#This Row],[Age]] &lt;= 45, "Adults", IF(Table2[[#This Row],[Age]] &lt;= 55, "Seniors", "Elderly")) ))</f>
        <v>Seniors</v>
      </c>
      <c r="J261" s="7" t="s">
        <v>16</v>
      </c>
      <c r="K261" s="8">
        <v>2</v>
      </c>
      <c r="L261" s="8" t="str">
        <f>IF(Table2[[#This Row],[Quantity]]=1, "Single Order", IF(Table2[[#This Row],[Quantity]]=2, "Small Order", IF(Table2[[#This Row],[Quantity]]=3, "Medium Order", "Bulk Order")))</f>
        <v>Small Order</v>
      </c>
      <c r="M261" s="10">
        <v>25</v>
      </c>
      <c r="N261" s="10">
        <v>50</v>
      </c>
    </row>
    <row r="262" spans="1:14" x14ac:dyDescent="0.2">
      <c r="A262">
        <v>255</v>
      </c>
      <c r="B262" s="5">
        <v>45024</v>
      </c>
      <c r="C262" s="5" t="str">
        <f>TEXT(Table2[[#This Row],[Date]], "MMM")</f>
        <v>Apr</v>
      </c>
      <c r="D262" s="8">
        <f>MONTH(Table2[[#This Row],[Date]])</f>
        <v>4</v>
      </c>
      <c r="E262" s="8">
        <f>YEAR(Table2[[#This Row],[Date]])</f>
        <v>2023</v>
      </c>
      <c r="F262" s="7" t="s">
        <v>268</v>
      </c>
      <c r="G262" s="7" t="s">
        <v>10</v>
      </c>
      <c r="H262" s="8">
        <v>48</v>
      </c>
      <c r="I262" s="8" t="str">
        <f>IF(Table2[[#This Row],[Age]] &lt; 19, "Teenagers", IF(Table2[[#This Row],[Age]] &lt;= 34, "Young Adults", IF(Table2[[#This Row],[Age]] &lt;= 45, "Adults", IF(Table2[[#This Row],[Age]] &lt;= 55, "Seniors", "Elderly")) ))</f>
        <v>Seniors</v>
      </c>
      <c r="J262" s="7" t="s">
        <v>14</v>
      </c>
      <c r="K262" s="8">
        <v>1</v>
      </c>
      <c r="L262" s="8" t="str">
        <f>IF(Table2[[#This Row],[Quantity]]=1, "Single Order", IF(Table2[[#This Row],[Quantity]]=2, "Small Order", IF(Table2[[#This Row],[Quantity]]=3, "Medium Order", "Bulk Order")))</f>
        <v>Single Order</v>
      </c>
      <c r="M262" s="10">
        <v>30</v>
      </c>
      <c r="N262" s="10">
        <v>30</v>
      </c>
    </row>
    <row r="263" spans="1:14" x14ac:dyDescent="0.2">
      <c r="A263">
        <v>274</v>
      </c>
      <c r="B263" s="5">
        <v>45025</v>
      </c>
      <c r="C263" s="5" t="str">
        <f>TEXT(Table2[[#This Row],[Date]], "MMM")</f>
        <v>Apr</v>
      </c>
      <c r="D263" s="8">
        <f>MONTH(Table2[[#This Row],[Date]])</f>
        <v>4</v>
      </c>
      <c r="E263" s="8">
        <f>YEAR(Table2[[#This Row],[Date]])</f>
        <v>2023</v>
      </c>
      <c r="F263" s="7" t="s">
        <v>287</v>
      </c>
      <c r="G263" s="7" t="s">
        <v>13</v>
      </c>
      <c r="H263" s="8">
        <v>23</v>
      </c>
      <c r="I263" s="8" t="str">
        <f>IF(Table2[[#This Row],[Age]] &lt; 19, "Teenagers", IF(Table2[[#This Row],[Age]] &lt;= 34, "Young Adults", IF(Table2[[#This Row],[Age]] &lt;= 45, "Adults", IF(Table2[[#This Row],[Age]] &lt;= 55, "Seniors", "Elderly")) ))</f>
        <v>Young Adults</v>
      </c>
      <c r="J263" s="7" t="s">
        <v>14</v>
      </c>
      <c r="K263" s="8">
        <v>2</v>
      </c>
      <c r="L263" s="8" t="str">
        <f>IF(Table2[[#This Row],[Quantity]]=1, "Single Order", IF(Table2[[#This Row],[Quantity]]=2, "Small Order", IF(Table2[[#This Row],[Quantity]]=3, "Medium Order", "Bulk Order")))</f>
        <v>Small Order</v>
      </c>
      <c r="M263" s="10">
        <v>500</v>
      </c>
      <c r="N263" s="10">
        <v>1000</v>
      </c>
    </row>
    <row r="264" spans="1:14" x14ac:dyDescent="0.2">
      <c r="A264">
        <v>275</v>
      </c>
      <c r="B264" s="5">
        <v>45024</v>
      </c>
      <c r="C264" s="5" t="str">
        <f>TEXT(Table2[[#This Row],[Date]], "MMM")</f>
        <v>Apr</v>
      </c>
      <c r="D264" s="8">
        <f>MONTH(Table2[[#This Row],[Date]])</f>
        <v>4</v>
      </c>
      <c r="E264" s="8">
        <f>YEAR(Table2[[#This Row],[Date]])</f>
        <v>2023</v>
      </c>
      <c r="F264" s="7" t="s">
        <v>288</v>
      </c>
      <c r="G264" s="7" t="s">
        <v>10</v>
      </c>
      <c r="H264" s="8">
        <v>43</v>
      </c>
      <c r="I264" s="8" t="str">
        <f>IF(Table2[[#This Row],[Age]] &lt; 19, "Teenagers", IF(Table2[[#This Row],[Age]] &lt;= 34, "Young Adults", IF(Table2[[#This Row],[Age]] &lt;= 45, "Adults", IF(Table2[[#This Row],[Age]] &lt;= 55, "Seniors", "Elderly")) ))</f>
        <v>Adults</v>
      </c>
      <c r="J264" s="7" t="s">
        <v>14</v>
      </c>
      <c r="K264" s="8">
        <v>2</v>
      </c>
      <c r="L264" s="8" t="str">
        <f>IF(Table2[[#This Row],[Quantity]]=1, "Single Order", IF(Table2[[#This Row],[Quantity]]=2, "Small Order", IF(Table2[[#This Row],[Quantity]]=3, "Medium Order", "Bulk Order")))</f>
        <v>Small Order</v>
      </c>
      <c r="M264" s="10">
        <v>500</v>
      </c>
      <c r="N264" s="10">
        <v>1000</v>
      </c>
    </row>
    <row r="265" spans="1:14" x14ac:dyDescent="0.2">
      <c r="A265">
        <v>280</v>
      </c>
      <c r="B265" s="5">
        <v>45020</v>
      </c>
      <c r="C265" s="5" t="str">
        <f>TEXT(Table2[[#This Row],[Date]], "MMM")</f>
        <v>Apr</v>
      </c>
      <c r="D265" s="8">
        <f>MONTH(Table2[[#This Row],[Date]])</f>
        <v>4</v>
      </c>
      <c r="E265" s="8">
        <f>YEAR(Table2[[#This Row],[Date]])</f>
        <v>2023</v>
      </c>
      <c r="F265" s="7" t="s">
        <v>293</v>
      </c>
      <c r="G265" s="7" t="s">
        <v>13</v>
      </c>
      <c r="H265" s="8">
        <v>37</v>
      </c>
      <c r="I265" s="8" t="str">
        <f>IF(Table2[[#This Row],[Age]] &lt; 19, "Teenagers", IF(Table2[[#This Row],[Age]] &lt;= 34, "Young Adults", IF(Table2[[#This Row],[Age]] &lt;= 45, "Adults", IF(Table2[[#This Row],[Age]] &lt;= 55, "Seniors", "Elderly")) ))</f>
        <v>Adults</v>
      </c>
      <c r="J265" s="7" t="s">
        <v>14</v>
      </c>
      <c r="K265" s="8">
        <v>3</v>
      </c>
      <c r="L265" s="8" t="str">
        <f>IF(Table2[[#This Row],[Quantity]]=1, "Single Order", IF(Table2[[#This Row],[Quantity]]=2, "Small Order", IF(Table2[[#This Row],[Quantity]]=3, "Medium Order", "Bulk Order")))</f>
        <v>Medium Order</v>
      </c>
      <c r="M265" s="10">
        <v>500</v>
      </c>
      <c r="N265" s="10">
        <v>1500</v>
      </c>
    </row>
    <row r="266" spans="1:14" x14ac:dyDescent="0.2">
      <c r="A266">
        <v>298</v>
      </c>
      <c r="B266" s="5">
        <v>45036</v>
      </c>
      <c r="C266" s="5" t="str">
        <f>TEXT(Table2[[#This Row],[Date]], "MMM")</f>
        <v>Apr</v>
      </c>
      <c r="D266" s="8">
        <f>MONTH(Table2[[#This Row],[Date]])</f>
        <v>4</v>
      </c>
      <c r="E266" s="8">
        <f>YEAR(Table2[[#This Row],[Date]])</f>
        <v>2023</v>
      </c>
      <c r="F266" s="7" t="s">
        <v>311</v>
      </c>
      <c r="G266" s="7" t="s">
        <v>10</v>
      </c>
      <c r="H266" s="8">
        <v>27</v>
      </c>
      <c r="I266" s="8" t="str">
        <f>IF(Table2[[#This Row],[Age]] &lt; 19, "Teenagers", IF(Table2[[#This Row],[Age]] &lt;= 34, "Young Adults", IF(Table2[[#This Row],[Age]] &lt;= 45, "Adults", IF(Table2[[#This Row],[Age]] &lt;= 55, "Seniors", "Elderly")) ))</f>
        <v>Young Adults</v>
      </c>
      <c r="J266" s="7" t="s">
        <v>11</v>
      </c>
      <c r="K266" s="8">
        <v>4</v>
      </c>
      <c r="L266" s="8" t="str">
        <f>IF(Table2[[#This Row],[Quantity]]=1, "Single Order", IF(Table2[[#This Row],[Quantity]]=2, "Small Order", IF(Table2[[#This Row],[Quantity]]=3, "Medium Order", "Bulk Order")))</f>
        <v>Bulk Order</v>
      </c>
      <c r="M266" s="10">
        <v>300</v>
      </c>
      <c r="N266" s="10">
        <v>1200</v>
      </c>
    </row>
    <row r="267" spans="1:14" x14ac:dyDescent="0.2">
      <c r="A267">
        <v>314</v>
      </c>
      <c r="B267" s="5">
        <v>45024</v>
      </c>
      <c r="C267" s="5" t="str">
        <f>TEXT(Table2[[#This Row],[Date]], "MMM")</f>
        <v>Apr</v>
      </c>
      <c r="D267" s="8">
        <f>MONTH(Table2[[#This Row],[Date]])</f>
        <v>4</v>
      </c>
      <c r="E267" s="8">
        <f>YEAR(Table2[[#This Row],[Date]])</f>
        <v>2023</v>
      </c>
      <c r="F267" s="7" t="s">
        <v>327</v>
      </c>
      <c r="G267" s="7" t="s">
        <v>10</v>
      </c>
      <c r="H267" s="8">
        <v>52</v>
      </c>
      <c r="I267" s="8" t="str">
        <f>IF(Table2[[#This Row],[Age]] &lt; 19, "Teenagers", IF(Table2[[#This Row],[Age]] &lt;= 34, "Young Adults", IF(Table2[[#This Row],[Age]] &lt;= 45, "Adults", IF(Table2[[#This Row],[Age]] &lt;= 55, "Seniors", "Elderly")) ))</f>
        <v>Seniors</v>
      </c>
      <c r="J267" s="7" t="s">
        <v>14</v>
      </c>
      <c r="K267" s="8">
        <v>4</v>
      </c>
      <c r="L267" s="8" t="str">
        <f>IF(Table2[[#This Row],[Quantity]]=1, "Single Order", IF(Table2[[#This Row],[Quantity]]=2, "Small Order", IF(Table2[[#This Row],[Quantity]]=3, "Medium Order", "Bulk Order")))</f>
        <v>Bulk Order</v>
      </c>
      <c r="M267" s="10">
        <v>30</v>
      </c>
      <c r="N267" s="10">
        <v>120</v>
      </c>
    </row>
    <row r="268" spans="1:14" x14ac:dyDescent="0.2">
      <c r="A268">
        <v>316</v>
      </c>
      <c r="B268" s="5">
        <v>45038</v>
      </c>
      <c r="C268" s="5" t="str">
        <f>TEXT(Table2[[#This Row],[Date]], "MMM")</f>
        <v>Apr</v>
      </c>
      <c r="D268" s="8">
        <f>MONTH(Table2[[#This Row],[Date]])</f>
        <v>4</v>
      </c>
      <c r="E268" s="8">
        <f>YEAR(Table2[[#This Row],[Date]])</f>
        <v>2023</v>
      </c>
      <c r="F268" s="7" t="s">
        <v>329</v>
      </c>
      <c r="G268" s="7" t="s">
        <v>13</v>
      </c>
      <c r="H268" s="8">
        <v>48</v>
      </c>
      <c r="I268" s="8" t="str">
        <f>IF(Table2[[#This Row],[Age]] &lt; 19, "Teenagers", IF(Table2[[#This Row],[Age]] &lt;= 34, "Young Adults", IF(Table2[[#This Row],[Age]] &lt;= 45, "Adults", IF(Table2[[#This Row],[Age]] &lt;= 55, "Seniors", "Elderly")) ))</f>
        <v>Seniors</v>
      </c>
      <c r="J268" s="7" t="s">
        <v>14</v>
      </c>
      <c r="K268" s="8">
        <v>2</v>
      </c>
      <c r="L268" s="8" t="str">
        <f>IF(Table2[[#This Row],[Quantity]]=1, "Single Order", IF(Table2[[#This Row],[Quantity]]=2, "Small Order", IF(Table2[[#This Row],[Quantity]]=3, "Medium Order", "Bulk Order")))</f>
        <v>Small Order</v>
      </c>
      <c r="M268" s="10">
        <v>25</v>
      </c>
      <c r="N268" s="10">
        <v>50</v>
      </c>
    </row>
    <row r="269" spans="1:14" x14ac:dyDescent="0.2">
      <c r="A269">
        <v>332</v>
      </c>
      <c r="B269" s="5">
        <v>45022</v>
      </c>
      <c r="C269" s="5" t="str">
        <f>TEXT(Table2[[#This Row],[Date]], "MMM")</f>
        <v>Apr</v>
      </c>
      <c r="D269" s="8">
        <f>MONTH(Table2[[#This Row],[Date]])</f>
        <v>4</v>
      </c>
      <c r="E269" s="8">
        <f>YEAR(Table2[[#This Row],[Date]])</f>
        <v>2023</v>
      </c>
      <c r="F269" s="7" t="s">
        <v>345</v>
      </c>
      <c r="G269" s="7" t="s">
        <v>10</v>
      </c>
      <c r="H269" s="8">
        <v>58</v>
      </c>
      <c r="I269" s="8" t="str">
        <f>IF(Table2[[#This Row],[Age]] &lt; 19, "Teenagers", IF(Table2[[#This Row],[Age]] &lt;= 34, "Young Adults", IF(Table2[[#This Row],[Age]] &lt;= 45, "Adults", IF(Table2[[#This Row],[Age]] &lt;= 55, "Seniors", "Elderly")) ))</f>
        <v>Elderly</v>
      </c>
      <c r="J269" s="7" t="s">
        <v>16</v>
      </c>
      <c r="K269" s="8">
        <v>4</v>
      </c>
      <c r="L269" s="8" t="str">
        <f>IF(Table2[[#This Row],[Quantity]]=1, "Single Order", IF(Table2[[#This Row],[Quantity]]=2, "Small Order", IF(Table2[[#This Row],[Quantity]]=3, "Medium Order", "Bulk Order")))</f>
        <v>Bulk Order</v>
      </c>
      <c r="M269" s="10">
        <v>300</v>
      </c>
      <c r="N269" s="10">
        <v>1200</v>
      </c>
    </row>
    <row r="270" spans="1:14" x14ac:dyDescent="0.2">
      <c r="A270">
        <v>354</v>
      </c>
      <c r="B270" s="5">
        <v>45031</v>
      </c>
      <c r="C270" s="5" t="str">
        <f>TEXT(Table2[[#This Row],[Date]], "MMM")</f>
        <v>Apr</v>
      </c>
      <c r="D270" s="8">
        <f>MONTH(Table2[[#This Row],[Date]])</f>
        <v>4</v>
      </c>
      <c r="E270" s="8">
        <f>YEAR(Table2[[#This Row],[Date]])</f>
        <v>2023</v>
      </c>
      <c r="F270" s="7" t="s">
        <v>367</v>
      </c>
      <c r="G270" s="7" t="s">
        <v>13</v>
      </c>
      <c r="H270" s="8">
        <v>49</v>
      </c>
      <c r="I270" s="8" t="str">
        <f>IF(Table2[[#This Row],[Age]] &lt; 19, "Teenagers", IF(Table2[[#This Row],[Age]] &lt;= 34, "Young Adults", IF(Table2[[#This Row],[Age]] &lt;= 45, "Adults", IF(Table2[[#This Row],[Age]] &lt;= 55, "Seniors", "Elderly")) ))</f>
        <v>Seniors</v>
      </c>
      <c r="J270" s="7" t="s">
        <v>11</v>
      </c>
      <c r="K270" s="8">
        <v>4</v>
      </c>
      <c r="L270" s="8" t="str">
        <f>IF(Table2[[#This Row],[Quantity]]=1, "Single Order", IF(Table2[[#This Row],[Quantity]]=2, "Small Order", IF(Table2[[#This Row],[Quantity]]=3, "Medium Order", "Bulk Order")))</f>
        <v>Bulk Order</v>
      </c>
      <c r="M270" s="10">
        <v>50</v>
      </c>
      <c r="N270" s="10">
        <v>200</v>
      </c>
    </row>
    <row r="271" spans="1:14" x14ac:dyDescent="0.2">
      <c r="A271">
        <v>374</v>
      </c>
      <c r="B271" s="5">
        <v>45036</v>
      </c>
      <c r="C271" s="5" t="str">
        <f>TEXT(Table2[[#This Row],[Date]], "MMM")</f>
        <v>Apr</v>
      </c>
      <c r="D271" s="8">
        <f>MONTH(Table2[[#This Row],[Date]])</f>
        <v>4</v>
      </c>
      <c r="E271" s="8">
        <f>YEAR(Table2[[#This Row],[Date]])</f>
        <v>2023</v>
      </c>
      <c r="F271" s="7" t="s">
        <v>387</v>
      </c>
      <c r="G271" s="7" t="s">
        <v>13</v>
      </c>
      <c r="H271" s="8">
        <v>59</v>
      </c>
      <c r="I271" s="8" t="str">
        <f>IF(Table2[[#This Row],[Age]] &lt; 19, "Teenagers", IF(Table2[[#This Row],[Age]] &lt;= 34, "Young Adults", IF(Table2[[#This Row],[Age]] &lt;= 45, "Adults", IF(Table2[[#This Row],[Age]] &lt;= 55, "Seniors", "Elderly")) ))</f>
        <v>Elderly</v>
      </c>
      <c r="J271" s="7" t="s">
        <v>11</v>
      </c>
      <c r="K271" s="8">
        <v>3</v>
      </c>
      <c r="L271" s="8" t="str">
        <f>IF(Table2[[#This Row],[Quantity]]=1, "Single Order", IF(Table2[[#This Row],[Quantity]]=2, "Small Order", IF(Table2[[#This Row],[Quantity]]=3, "Medium Order", "Bulk Order")))</f>
        <v>Medium Order</v>
      </c>
      <c r="M271" s="10">
        <v>25</v>
      </c>
      <c r="N271" s="10">
        <v>75</v>
      </c>
    </row>
    <row r="272" spans="1:14" x14ac:dyDescent="0.2">
      <c r="A272">
        <v>406</v>
      </c>
      <c r="B272" s="5">
        <v>45034</v>
      </c>
      <c r="C272" s="5" t="str">
        <f>TEXT(Table2[[#This Row],[Date]], "MMM")</f>
        <v>Apr</v>
      </c>
      <c r="D272" s="8">
        <f>MONTH(Table2[[#This Row],[Date]])</f>
        <v>4</v>
      </c>
      <c r="E272" s="8">
        <f>YEAR(Table2[[#This Row],[Date]])</f>
        <v>2023</v>
      </c>
      <c r="F272" s="7" t="s">
        <v>419</v>
      </c>
      <c r="G272" s="7" t="s">
        <v>13</v>
      </c>
      <c r="H272" s="8">
        <v>22</v>
      </c>
      <c r="I272" s="8" t="str">
        <f>IF(Table2[[#This Row],[Age]] &lt; 19, "Teenagers", IF(Table2[[#This Row],[Age]] &lt;= 34, "Young Adults", IF(Table2[[#This Row],[Age]] &lt;= 45, "Adults", IF(Table2[[#This Row],[Age]] &lt;= 55, "Seniors", "Elderly")) ))</f>
        <v>Young Adults</v>
      </c>
      <c r="J272" s="7" t="s">
        <v>11</v>
      </c>
      <c r="K272" s="8">
        <v>4</v>
      </c>
      <c r="L272" s="8" t="str">
        <f>IF(Table2[[#This Row],[Quantity]]=1, "Single Order", IF(Table2[[#This Row],[Quantity]]=2, "Small Order", IF(Table2[[#This Row],[Quantity]]=3, "Medium Order", "Bulk Order")))</f>
        <v>Bulk Order</v>
      </c>
      <c r="M272" s="10">
        <v>25</v>
      </c>
      <c r="N272" s="10">
        <v>100</v>
      </c>
    </row>
    <row r="273" spans="1:14" x14ac:dyDescent="0.2">
      <c r="A273">
        <v>408</v>
      </c>
      <c r="B273" s="5">
        <v>45031</v>
      </c>
      <c r="C273" s="5" t="str">
        <f>TEXT(Table2[[#This Row],[Date]], "MMM")</f>
        <v>Apr</v>
      </c>
      <c r="D273" s="8">
        <f>MONTH(Table2[[#This Row],[Date]])</f>
        <v>4</v>
      </c>
      <c r="E273" s="8">
        <f>YEAR(Table2[[#This Row],[Date]])</f>
        <v>2023</v>
      </c>
      <c r="F273" s="7" t="s">
        <v>421</v>
      </c>
      <c r="G273" s="7" t="s">
        <v>13</v>
      </c>
      <c r="H273" s="8">
        <v>64</v>
      </c>
      <c r="I273" s="8" t="str">
        <f>IF(Table2[[#This Row],[Age]] &lt; 19, "Teenagers", IF(Table2[[#This Row],[Age]] &lt;= 34, "Young Adults", IF(Table2[[#This Row],[Age]] &lt;= 45, "Adults", IF(Table2[[#This Row],[Age]] &lt;= 55, "Seniors", "Elderly")) ))</f>
        <v>Elderly</v>
      </c>
      <c r="J273" s="7" t="s">
        <v>11</v>
      </c>
      <c r="K273" s="8">
        <v>1</v>
      </c>
      <c r="L273" s="8" t="str">
        <f>IF(Table2[[#This Row],[Quantity]]=1, "Single Order", IF(Table2[[#This Row],[Quantity]]=2, "Small Order", IF(Table2[[#This Row],[Quantity]]=3, "Medium Order", "Bulk Order")))</f>
        <v>Single Order</v>
      </c>
      <c r="M273" s="10">
        <v>500</v>
      </c>
      <c r="N273" s="10">
        <v>500</v>
      </c>
    </row>
    <row r="274" spans="1:14" x14ac:dyDescent="0.2">
      <c r="A274">
        <v>450</v>
      </c>
      <c r="B274" s="5">
        <v>45034</v>
      </c>
      <c r="C274" s="5" t="str">
        <f>TEXT(Table2[[#This Row],[Date]], "MMM")</f>
        <v>Apr</v>
      </c>
      <c r="D274" s="8">
        <f>MONTH(Table2[[#This Row],[Date]])</f>
        <v>4</v>
      </c>
      <c r="E274" s="8">
        <f>YEAR(Table2[[#This Row],[Date]])</f>
        <v>2023</v>
      </c>
      <c r="F274" s="7" t="s">
        <v>463</v>
      </c>
      <c r="G274" s="7" t="s">
        <v>13</v>
      </c>
      <c r="H274" s="8">
        <v>59</v>
      </c>
      <c r="I274" s="8" t="str">
        <f>IF(Table2[[#This Row],[Age]] &lt; 19, "Teenagers", IF(Table2[[#This Row],[Age]] &lt;= 34, "Young Adults", IF(Table2[[#This Row],[Age]] &lt;= 45, "Adults", IF(Table2[[#This Row],[Age]] &lt;= 55, "Seniors", "Elderly")) ))</f>
        <v>Elderly</v>
      </c>
      <c r="J274" s="7" t="s">
        <v>11</v>
      </c>
      <c r="K274" s="8">
        <v>2</v>
      </c>
      <c r="L274" s="8" t="str">
        <f>IF(Table2[[#This Row],[Quantity]]=1, "Single Order", IF(Table2[[#This Row],[Quantity]]=2, "Small Order", IF(Table2[[#This Row],[Quantity]]=3, "Medium Order", "Bulk Order")))</f>
        <v>Small Order</v>
      </c>
      <c r="M274" s="10">
        <v>25</v>
      </c>
      <c r="N274" s="10">
        <v>50</v>
      </c>
    </row>
    <row r="275" spans="1:14" x14ac:dyDescent="0.2">
      <c r="A275">
        <v>462</v>
      </c>
      <c r="B275" s="5">
        <v>45017</v>
      </c>
      <c r="C275" s="5" t="str">
        <f>TEXT(Table2[[#This Row],[Date]], "MMM")</f>
        <v>Apr</v>
      </c>
      <c r="D275" s="8">
        <f>MONTH(Table2[[#This Row],[Date]])</f>
        <v>4</v>
      </c>
      <c r="E275" s="8">
        <f>YEAR(Table2[[#This Row],[Date]])</f>
        <v>2023</v>
      </c>
      <c r="F275" s="7" t="s">
        <v>475</v>
      </c>
      <c r="G275" s="7" t="s">
        <v>10</v>
      </c>
      <c r="H275" s="8">
        <v>63</v>
      </c>
      <c r="I275" s="8" t="str">
        <f>IF(Table2[[#This Row],[Age]] &lt; 19, "Teenagers", IF(Table2[[#This Row],[Age]] &lt;= 34, "Young Adults", IF(Table2[[#This Row],[Age]] &lt;= 45, "Adults", IF(Table2[[#This Row],[Age]] &lt;= 55, "Seniors", "Elderly")) ))</f>
        <v>Elderly</v>
      </c>
      <c r="J275" s="7" t="s">
        <v>16</v>
      </c>
      <c r="K275" s="8">
        <v>4</v>
      </c>
      <c r="L275" s="8" t="str">
        <f>IF(Table2[[#This Row],[Quantity]]=1, "Single Order", IF(Table2[[#This Row],[Quantity]]=2, "Small Order", IF(Table2[[#This Row],[Quantity]]=3, "Medium Order", "Bulk Order")))</f>
        <v>Bulk Order</v>
      </c>
      <c r="M275" s="10">
        <v>300</v>
      </c>
      <c r="N275" s="10">
        <v>1200</v>
      </c>
    </row>
    <row r="276" spans="1:14" x14ac:dyDescent="0.2">
      <c r="A276">
        <v>465</v>
      </c>
      <c r="B276" s="5">
        <v>45018</v>
      </c>
      <c r="C276" s="5" t="str">
        <f>TEXT(Table2[[#This Row],[Date]], "MMM")</f>
        <v>Apr</v>
      </c>
      <c r="D276" s="8">
        <f>MONTH(Table2[[#This Row],[Date]])</f>
        <v>4</v>
      </c>
      <c r="E276" s="8">
        <f>YEAR(Table2[[#This Row],[Date]])</f>
        <v>2023</v>
      </c>
      <c r="F276" s="7" t="s">
        <v>478</v>
      </c>
      <c r="G276" s="7" t="s">
        <v>13</v>
      </c>
      <c r="H276" s="8">
        <v>43</v>
      </c>
      <c r="I276" s="8" t="str">
        <f>IF(Table2[[#This Row],[Age]] &lt; 19, "Teenagers", IF(Table2[[#This Row],[Age]] &lt;= 34, "Young Adults", IF(Table2[[#This Row],[Age]] &lt;= 45, "Adults", IF(Table2[[#This Row],[Age]] &lt;= 55, "Seniors", "Elderly")) ))</f>
        <v>Adults</v>
      </c>
      <c r="J276" s="7" t="s">
        <v>16</v>
      </c>
      <c r="K276" s="8">
        <v>3</v>
      </c>
      <c r="L276" s="8" t="str">
        <f>IF(Table2[[#This Row],[Quantity]]=1, "Single Order", IF(Table2[[#This Row],[Quantity]]=2, "Small Order", IF(Table2[[#This Row],[Quantity]]=3, "Medium Order", "Bulk Order")))</f>
        <v>Medium Order</v>
      </c>
      <c r="M276" s="10">
        <v>50</v>
      </c>
      <c r="N276" s="10">
        <v>150</v>
      </c>
    </row>
    <row r="277" spans="1:14" x14ac:dyDescent="0.2">
      <c r="A277">
        <v>477</v>
      </c>
      <c r="B277" s="5">
        <v>45040</v>
      </c>
      <c r="C277" s="5" t="str">
        <f>TEXT(Table2[[#This Row],[Date]], "MMM")</f>
        <v>Apr</v>
      </c>
      <c r="D277" s="8">
        <f>MONTH(Table2[[#This Row],[Date]])</f>
        <v>4</v>
      </c>
      <c r="E277" s="8">
        <f>YEAR(Table2[[#This Row],[Date]])</f>
        <v>2023</v>
      </c>
      <c r="F277" s="7" t="s">
        <v>490</v>
      </c>
      <c r="G277" s="7" t="s">
        <v>10</v>
      </c>
      <c r="H277" s="8">
        <v>43</v>
      </c>
      <c r="I277" s="8" t="str">
        <f>IF(Table2[[#This Row],[Age]] &lt; 19, "Teenagers", IF(Table2[[#This Row],[Age]] &lt;= 34, "Young Adults", IF(Table2[[#This Row],[Age]] &lt;= 45, "Adults", IF(Table2[[#This Row],[Age]] &lt;= 55, "Seniors", "Elderly")) ))</f>
        <v>Adults</v>
      </c>
      <c r="J277" s="7" t="s">
        <v>14</v>
      </c>
      <c r="K277" s="8">
        <v>4</v>
      </c>
      <c r="L277" s="8" t="str">
        <f>IF(Table2[[#This Row],[Quantity]]=1, "Single Order", IF(Table2[[#This Row],[Quantity]]=2, "Small Order", IF(Table2[[#This Row],[Quantity]]=3, "Medium Order", "Bulk Order")))</f>
        <v>Bulk Order</v>
      </c>
      <c r="M277" s="10">
        <v>30</v>
      </c>
      <c r="N277" s="10">
        <v>120</v>
      </c>
    </row>
    <row r="278" spans="1:14" x14ac:dyDescent="0.2">
      <c r="A278">
        <v>478</v>
      </c>
      <c r="B278" s="5">
        <v>45029</v>
      </c>
      <c r="C278" s="5" t="str">
        <f>TEXT(Table2[[#This Row],[Date]], "MMM")</f>
        <v>Apr</v>
      </c>
      <c r="D278" s="8">
        <f>MONTH(Table2[[#This Row],[Date]])</f>
        <v>4</v>
      </c>
      <c r="E278" s="8">
        <f>YEAR(Table2[[#This Row],[Date]])</f>
        <v>2023</v>
      </c>
      <c r="F278" s="7" t="s">
        <v>491</v>
      </c>
      <c r="G278" s="7" t="s">
        <v>13</v>
      </c>
      <c r="H278" s="8">
        <v>58</v>
      </c>
      <c r="I278" s="8" t="str">
        <f>IF(Table2[[#This Row],[Age]] &lt; 19, "Teenagers", IF(Table2[[#This Row],[Age]] &lt;= 34, "Young Adults", IF(Table2[[#This Row],[Age]] &lt;= 45, "Adults", IF(Table2[[#This Row],[Age]] &lt;= 55, "Seniors", "Elderly")) ))</f>
        <v>Elderly</v>
      </c>
      <c r="J278" s="7" t="s">
        <v>14</v>
      </c>
      <c r="K278" s="8">
        <v>2</v>
      </c>
      <c r="L278" s="8" t="str">
        <f>IF(Table2[[#This Row],[Quantity]]=1, "Single Order", IF(Table2[[#This Row],[Quantity]]=2, "Small Order", IF(Table2[[#This Row],[Quantity]]=3, "Medium Order", "Bulk Order")))</f>
        <v>Small Order</v>
      </c>
      <c r="M278" s="10">
        <v>30</v>
      </c>
      <c r="N278" s="10">
        <v>60</v>
      </c>
    </row>
    <row r="279" spans="1:14" x14ac:dyDescent="0.2">
      <c r="A279">
        <v>482</v>
      </c>
      <c r="B279" s="5">
        <v>45043</v>
      </c>
      <c r="C279" s="5" t="str">
        <f>TEXT(Table2[[#This Row],[Date]], "MMM")</f>
        <v>Apr</v>
      </c>
      <c r="D279" s="8">
        <f>MONTH(Table2[[#This Row],[Date]])</f>
        <v>4</v>
      </c>
      <c r="E279" s="8">
        <f>YEAR(Table2[[#This Row],[Date]])</f>
        <v>2023</v>
      </c>
      <c r="F279" s="7" t="s">
        <v>495</v>
      </c>
      <c r="G279" s="7" t="s">
        <v>13</v>
      </c>
      <c r="H279" s="8">
        <v>28</v>
      </c>
      <c r="I279" s="8" t="str">
        <f>IF(Table2[[#This Row],[Age]] &lt; 19, "Teenagers", IF(Table2[[#This Row],[Age]] &lt;= 34, "Young Adults", IF(Table2[[#This Row],[Age]] &lt;= 45, "Adults", IF(Table2[[#This Row],[Age]] &lt;= 55, "Seniors", "Elderly")) ))</f>
        <v>Young Adults</v>
      </c>
      <c r="J279" s="7" t="s">
        <v>14</v>
      </c>
      <c r="K279" s="8">
        <v>4</v>
      </c>
      <c r="L279" s="8" t="str">
        <f>IF(Table2[[#This Row],[Quantity]]=1, "Single Order", IF(Table2[[#This Row],[Quantity]]=2, "Small Order", IF(Table2[[#This Row],[Quantity]]=3, "Medium Order", "Bulk Order")))</f>
        <v>Bulk Order</v>
      </c>
      <c r="M279" s="10">
        <v>300</v>
      </c>
      <c r="N279" s="10">
        <v>1200</v>
      </c>
    </row>
    <row r="280" spans="1:14" x14ac:dyDescent="0.2">
      <c r="A280">
        <v>483</v>
      </c>
      <c r="B280" s="5">
        <v>45041</v>
      </c>
      <c r="C280" s="5" t="str">
        <f>TEXT(Table2[[#This Row],[Date]], "MMM")</f>
        <v>Apr</v>
      </c>
      <c r="D280" s="8">
        <f>MONTH(Table2[[#This Row],[Date]])</f>
        <v>4</v>
      </c>
      <c r="E280" s="8">
        <f>YEAR(Table2[[#This Row],[Date]])</f>
        <v>2023</v>
      </c>
      <c r="F280" s="7" t="s">
        <v>496</v>
      </c>
      <c r="G280" s="7" t="s">
        <v>10</v>
      </c>
      <c r="H280" s="8">
        <v>55</v>
      </c>
      <c r="I280" s="8" t="str">
        <f>IF(Table2[[#This Row],[Age]] &lt; 19, "Teenagers", IF(Table2[[#This Row],[Age]] &lt;= 34, "Young Adults", IF(Table2[[#This Row],[Age]] &lt;= 45, "Adults", IF(Table2[[#This Row],[Age]] &lt;= 55, "Seniors", "Elderly")) ))</f>
        <v>Seniors</v>
      </c>
      <c r="J280" s="7" t="s">
        <v>14</v>
      </c>
      <c r="K280" s="8">
        <v>1</v>
      </c>
      <c r="L280" s="8" t="str">
        <f>IF(Table2[[#This Row],[Quantity]]=1, "Single Order", IF(Table2[[#This Row],[Quantity]]=2, "Small Order", IF(Table2[[#This Row],[Quantity]]=3, "Medium Order", "Bulk Order")))</f>
        <v>Single Order</v>
      </c>
      <c r="M280" s="10">
        <v>30</v>
      </c>
      <c r="N280" s="10">
        <v>30</v>
      </c>
    </row>
    <row r="281" spans="1:14" x14ac:dyDescent="0.2">
      <c r="A281">
        <v>486</v>
      </c>
      <c r="B281" s="5">
        <v>45025</v>
      </c>
      <c r="C281" s="5" t="str">
        <f>TEXT(Table2[[#This Row],[Date]], "MMM")</f>
        <v>Apr</v>
      </c>
      <c r="D281" s="8">
        <f>MONTH(Table2[[#This Row],[Date]])</f>
        <v>4</v>
      </c>
      <c r="E281" s="8">
        <f>YEAR(Table2[[#This Row],[Date]])</f>
        <v>2023</v>
      </c>
      <c r="F281" s="7" t="s">
        <v>499</v>
      </c>
      <c r="G281" s="7" t="s">
        <v>13</v>
      </c>
      <c r="H281" s="8">
        <v>35</v>
      </c>
      <c r="I281" s="8" t="str">
        <f>IF(Table2[[#This Row],[Age]] &lt; 19, "Teenagers", IF(Table2[[#This Row],[Age]] &lt;= 34, "Young Adults", IF(Table2[[#This Row],[Age]] &lt;= 45, "Adults", IF(Table2[[#This Row],[Age]] &lt;= 55, "Seniors", "Elderly")) ))</f>
        <v>Adults</v>
      </c>
      <c r="J281" s="7" t="s">
        <v>16</v>
      </c>
      <c r="K281" s="8">
        <v>1</v>
      </c>
      <c r="L281" s="8" t="str">
        <f>IF(Table2[[#This Row],[Quantity]]=1, "Single Order", IF(Table2[[#This Row],[Quantity]]=2, "Small Order", IF(Table2[[#This Row],[Quantity]]=3, "Medium Order", "Bulk Order")))</f>
        <v>Single Order</v>
      </c>
      <c r="M281" s="10">
        <v>25</v>
      </c>
      <c r="N281" s="10">
        <v>25</v>
      </c>
    </row>
    <row r="282" spans="1:14" x14ac:dyDescent="0.2">
      <c r="A282">
        <v>502</v>
      </c>
      <c r="B282" s="5">
        <v>45018</v>
      </c>
      <c r="C282" s="5" t="str">
        <f>TEXT(Table2[[#This Row],[Date]], "MMM")</f>
        <v>Apr</v>
      </c>
      <c r="D282" s="8">
        <f>MONTH(Table2[[#This Row],[Date]])</f>
        <v>4</v>
      </c>
      <c r="E282" s="8">
        <f>YEAR(Table2[[#This Row],[Date]])</f>
        <v>2023</v>
      </c>
      <c r="F282" s="7" t="s">
        <v>515</v>
      </c>
      <c r="G282" s="7" t="s">
        <v>10</v>
      </c>
      <c r="H282" s="8">
        <v>43</v>
      </c>
      <c r="I282" s="8" t="str">
        <f>IF(Table2[[#This Row],[Age]] &lt; 19, "Teenagers", IF(Table2[[#This Row],[Age]] &lt;= 34, "Young Adults", IF(Table2[[#This Row],[Age]] &lt;= 45, "Adults", IF(Table2[[#This Row],[Age]] &lt;= 55, "Seniors", "Elderly")) ))</f>
        <v>Adults</v>
      </c>
      <c r="J282" s="7" t="s">
        <v>16</v>
      </c>
      <c r="K282" s="8">
        <v>3</v>
      </c>
      <c r="L282" s="8" t="str">
        <f>IF(Table2[[#This Row],[Quantity]]=1, "Single Order", IF(Table2[[#This Row],[Quantity]]=2, "Small Order", IF(Table2[[#This Row],[Quantity]]=3, "Medium Order", "Bulk Order")))</f>
        <v>Medium Order</v>
      </c>
      <c r="M282" s="10">
        <v>50</v>
      </c>
      <c r="N282" s="10">
        <v>150</v>
      </c>
    </row>
    <row r="283" spans="1:14" x14ac:dyDescent="0.2">
      <c r="A283">
        <v>517</v>
      </c>
      <c r="B283" s="5">
        <v>45024</v>
      </c>
      <c r="C283" s="5" t="str">
        <f>TEXT(Table2[[#This Row],[Date]], "MMM")</f>
        <v>Apr</v>
      </c>
      <c r="D283" s="8">
        <f>MONTH(Table2[[#This Row],[Date]])</f>
        <v>4</v>
      </c>
      <c r="E283" s="8">
        <f>YEAR(Table2[[#This Row],[Date]])</f>
        <v>2023</v>
      </c>
      <c r="F283" s="7" t="s">
        <v>530</v>
      </c>
      <c r="G283" s="7" t="s">
        <v>13</v>
      </c>
      <c r="H283" s="8">
        <v>47</v>
      </c>
      <c r="I283" s="8" t="str">
        <f>IF(Table2[[#This Row],[Age]] &lt; 19, "Teenagers", IF(Table2[[#This Row],[Age]] &lt;= 34, "Young Adults", IF(Table2[[#This Row],[Age]] &lt;= 45, "Adults", IF(Table2[[#This Row],[Age]] &lt;= 55, "Seniors", "Elderly")) ))</f>
        <v>Seniors</v>
      </c>
      <c r="J283" s="7" t="s">
        <v>14</v>
      </c>
      <c r="K283" s="8">
        <v>4</v>
      </c>
      <c r="L283" s="8" t="str">
        <f>IF(Table2[[#This Row],[Quantity]]=1, "Single Order", IF(Table2[[#This Row],[Quantity]]=2, "Small Order", IF(Table2[[#This Row],[Quantity]]=3, "Medium Order", "Bulk Order")))</f>
        <v>Bulk Order</v>
      </c>
      <c r="M283" s="10">
        <v>25</v>
      </c>
      <c r="N283" s="10">
        <v>100</v>
      </c>
    </row>
    <row r="284" spans="1:14" x14ac:dyDescent="0.2">
      <c r="A284">
        <v>527</v>
      </c>
      <c r="B284" s="5">
        <v>45027</v>
      </c>
      <c r="C284" s="5" t="str">
        <f>TEXT(Table2[[#This Row],[Date]], "MMM")</f>
        <v>Apr</v>
      </c>
      <c r="D284" s="8">
        <f>MONTH(Table2[[#This Row],[Date]])</f>
        <v>4</v>
      </c>
      <c r="E284" s="8">
        <f>YEAR(Table2[[#This Row],[Date]])</f>
        <v>2023</v>
      </c>
      <c r="F284" s="7" t="s">
        <v>540</v>
      </c>
      <c r="G284" s="7" t="s">
        <v>10</v>
      </c>
      <c r="H284" s="8">
        <v>57</v>
      </c>
      <c r="I284" s="8" t="str">
        <f>IF(Table2[[#This Row],[Age]] &lt; 19, "Teenagers", IF(Table2[[#This Row],[Age]] &lt;= 34, "Young Adults", IF(Table2[[#This Row],[Age]] &lt;= 45, "Adults", IF(Table2[[#This Row],[Age]] &lt;= 55, "Seniors", "Elderly")) ))</f>
        <v>Elderly</v>
      </c>
      <c r="J284" s="7" t="s">
        <v>14</v>
      </c>
      <c r="K284" s="8">
        <v>2</v>
      </c>
      <c r="L284" s="8" t="str">
        <f>IF(Table2[[#This Row],[Quantity]]=1, "Single Order", IF(Table2[[#This Row],[Quantity]]=2, "Small Order", IF(Table2[[#This Row],[Quantity]]=3, "Medium Order", "Bulk Order")))</f>
        <v>Small Order</v>
      </c>
      <c r="M284" s="10">
        <v>25</v>
      </c>
      <c r="N284" s="10">
        <v>50</v>
      </c>
    </row>
    <row r="285" spans="1:14" x14ac:dyDescent="0.2">
      <c r="A285">
        <v>548</v>
      </c>
      <c r="B285" s="5">
        <v>45025</v>
      </c>
      <c r="C285" s="5" t="str">
        <f>TEXT(Table2[[#This Row],[Date]], "MMM")</f>
        <v>Apr</v>
      </c>
      <c r="D285" s="8">
        <f>MONTH(Table2[[#This Row],[Date]])</f>
        <v>4</v>
      </c>
      <c r="E285" s="8">
        <f>YEAR(Table2[[#This Row],[Date]])</f>
        <v>2023</v>
      </c>
      <c r="F285" s="7" t="s">
        <v>561</v>
      </c>
      <c r="G285" s="7" t="s">
        <v>13</v>
      </c>
      <c r="H285" s="8">
        <v>51</v>
      </c>
      <c r="I285" s="8" t="str">
        <f>IF(Table2[[#This Row],[Age]] &lt; 19, "Teenagers", IF(Table2[[#This Row],[Age]] &lt;= 34, "Young Adults", IF(Table2[[#This Row],[Age]] &lt;= 45, "Adults", IF(Table2[[#This Row],[Age]] &lt;= 55, "Seniors", "Elderly")) ))</f>
        <v>Seniors</v>
      </c>
      <c r="J285" s="7" t="s">
        <v>14</v>
      </c>
      <c r="K285" s="8">
        <v>2</v>
      </c>
      <c r="L285" s="8" t="str">
        <f>IF(Table2[[#This Row],[Quantity]]=1, "Single Order", IF(Table2[[#This Row],[Quantity]]=2, "Small Order", IF(Table2[[#This Row],[Quantity]]=3, "Medium Order", "Bulk Order")))</f>
        <v>Small Order</v>
      </c>
      <c r="M285" s="10">
        <v>30</v>
      </c>
      <c r="N285" s="10">
        <v>60</v>
      </c>
    </row>
    <row r="286" spans="1:14" x14ac:dyDescent="0.2">
      <c r="A286">
        <v>562</v>
      </c>
      <c r="B286" s="5">
        <v>45034</v>
      </c>
      <c r="C286" s="5" t="str">
        <f>TEXT(Table2[[#This Row],[Date]], "MMM")</f>
        <v>Apr</v>
      </c>
      <c r="D286" s="8">
        <f>MONTH(Table2[[#This Row],[Date]])</f>
        <v>4</v>
      </c>
      <c r="E286" s="8">
        <f>YEAR(Table2[[#This Row],[Date]])</f>
        <v>2023</v>
      </c>
      <c r="F286" s="7" t="s">
        <v>575</v>
      </c>
      <c r="G286" s="7" t="s">
        <v>10</v>
      </c>
      <c r="H286" s="8">
        <v>54</v>
      </c>
      <c r="I286" s="8" t="str">
        <f>IF(Table2[[#This Row],[Age]] &lt; 19, "Teenagers", IF(Table2[[#This Row],[Age]] &lt;= 34, "Young Adults", IF(Table2[[#This Row],[Age]] &lt;= 45, "Adults", IF(Table2[[#This Row],[Age]] &lt;= 55, "Seniors", "Elderly")) ))</f>
        <v>Seniors</v>
      </c>
      <c r="J286" s="7" t="s">
        <v>16</v>
      </c>
      <c r="K286" s="8">
        <v>2</v>
      </c>
      <c r="L286" s="8" t="str">
        <f>IF(Table2[[#This Row],[Quantity]]=1, "Single Order", IF(Table2[[#This Row],[Quantity]]=2, "Small Order", IF(Table2[[#This Row],[Quantity]]=3, "Medium Order", "Bulk Order")))</f>
        <v>Small Order</v>
      </c>
      <c r="M286" s="10">
        <v>25</v>
      </c>
      <c r="N286" s="10">
        <v>50</v>
      </c>
    </row>
    <row r="287" spans="1:14" x14ac:dyDescent="0.2">
      <c r="A287">
        <v>572</v>
      </c>
      <c r="B287" s="5">
        <v>45036</v>
      </c>
      <c r="C287" s="5" t="str">
        <f>TEXT(Table2[[#This Row],[Date]], "MMM")</f>
        <v>Apr</v>
      </c>
      <c r="D287" s="8">
        <f>MONTH(Table2[[#This Row],[Date]])</f>
        <v>4</v>
      </c>
      <c r="E287" s="8">
        <f>YEAR(Table2[[#This Row],[Date]])</f>
        <v>2023</v>
      </c>
      <c r="F287" s="7" t="s">
        <v>585</v>
      </c>
      <c r="G287" s="7" t="s">
        <v>10</v>
      </c>
      <c r="H287" s="8">
        <v>31</v>
      </c>
      <c r="I287" s="8" t="str">
        <f>IF(Table2[[#This Row],[Age]] &lt; 19, "Teenagers", IF(Table2[[#This Row],[Age]] &lt;= 34, "Young Adults", IF(Table2[[#This Row],[Age]] &lt;= 45, "Adults", IF(Table2[[#This Row],[Age]] &lt;= 55, "Seniors", "Elderly")) ))</f>
        <v>Young Adults</v>
      </c>
      <c r="J287" s="7" t="s">
        <v>14</v>
      </c>
      <c r="K287" s="8">
        <v>4</v>
      </c>
      <c r="L287" s="8" t="str">
        <f>IF(Table2[[#This Row],[Quantity]]=1, "Single Order", IF(Table2[[#This Row],[Quantity]]=2, "Small Order", IF(Table2[[#This Row],[Quantity]]=3, "Medium Order", "Bulk Order")))</f>
        <v>Bulk Order</v>
      </c>
      <c r="M287" s="10">
        <v>500</v>
      </c>
      <c r="N287" s="10">
        <v>2000</v>
      </c>
    </row>
    <row r="288" spans="1:14" x14ac:dyDescent="0.2">
      <c r="A288">
        <v>588</v>
      </c>
      <c r="B288" s="5">
        <v>45042</v>
      </c>
      <c r="C288" s="5" t="str">
        <f>TEXT(Table2[[#This Row],[Date]], "MMM")</f>
        <v>Apr</v>
      </c>
      <c r="D288" s="8">
        <f>MONTH(Table2[[#This Row],[Date]])</f>
        <v>4</v>
      </c>
      <c r="E288" s="8">
        <f>YEAR(Table2[[#This Row],[Date]])</f>
        <v>2023</v>
      </c>
      <c r="F288" s="7" t="s">
        <v>601</v>
      </c>
      <c r="G288" s="7" t="s">
        <v>10</v>
      </c>
      <c r="H288" s="8">
        <v>38</v>
      </c>
      <c r="I288" s="8" t="str">
        <f>IF(Table2[[#This Row],[Age]] &lt; 19, "Teenagers", IF(Table2[[#This Row],[Age]] &lt;= 34, "Young Adults", IF(Table2[[#This Row],[Age]] &lt;= 45, "Adults", IF(Table2[[#This Row],[Age]] &lt;= 55, "Seniors", "Elderly")) ))</f>
        <v>Adults</v>
      </c>
      <c r="J288" s="7" t="s">
        <v>16</v>
      </c>
      <c r="K288" s="8">
        <v>2</v>
      </c>
      <c r="L288" s="8" t="str">
        <f>IF(Table2[[#This Row],[Quantity]]=1, "Single Order", IF(Table2[[#This Row],[Quantity]]=2, "Small Order", IF(Table2[[#This Row],[Quantity]]=3, "Medium Order", "Bulk Order")))</f>
        <v>Small Order</v>
      </c>
      <c r="M288" s="10">
        <v>30</v>
      </c>
      <c r="N288" s="10">
        <v>60</v>
      </c>
    </row>
    <row r="289" spans="1:14" x14ac:dyDescent="0.2">
      <c r="A289">
        <v>589</v>
      </c>
      <c r="B289" s="5">
        <v>45028</v>
      </c>
      <c r="C289" s="5" t="str">
        <f>TEXT(Table2[[#This Row],[Date]], "MMM")</f>
        <v>Apr</v>
      </c>
      <c r="D289" s="8">
        <f>MONTH(Table2[[#This Row],[Date]])</f>
        <v>4</v>
      </c>
      <c r="E289" s="8">
        <f>YEAR(Table2[[#This Row],[Date]])</f>
        <v>2023</v>
      </c>
      <c r="F289" s="7" t="s">
        <v>602</v>
      </c>
      <c r="G289" s="7" t="s">
        <v>13</v>
      </c>
      <c r="H289" s="8">
        <v>36</v>
      </c>
      <c r="I289" s="8" t="str">
        <f>IF(Table2[[#This Row],[Age]] &lt; 19, "Teenagers", IF(Table2[[#This Row],[Age]] &lt;= 34, "Young Adults", IF(Table2[[#This Row],[Age]] &lt;= 45, "Adults", IF(Table2[[#This Row],[Age]] &lt;= 55, "Seniors", "Elderly")) ))</f>
        <v>Adults</v>
      </c>
      <c r="J289" s="7" t="s">
        <v>11</v>
      </c>
      <c r="K289" s="8">
        <v>2</v>
      </c>
      <c r="L289" s="8" t="str">
        <f>IF(Table2[[#This Row],[Quantity]]=1, "Single Order", IF(Table2[[#This Row],[Quantity]]=2, "Small Order", IF(Table2[[#This Row],[Quantity]]=3, "Medium Order", "Bulk Order")))</f>
        <v>Small Order</v>
      </c>
      <c r="M289" s="10">
        <v>500</v>
      </c>
      <c r="N289" s="10">
        <v>1000</v>
      </c>
    </row>
    <row r="290" spans="1:14" x14ac:dyDescent="0.2">
      <c r="A290">
        <v>601</v>
      </c>
      <c r="B290" s="5">
        <v>45026</v>
      </c>
      <c r="C290" s="5" t="str">
        <f>TEXT(Table2[[#This Row],[Date]], "MMM")</f>
        <v>Apr</v>
      </c>
      <c r="D290" s="8">
        <f>MONTH(Table2[[#This Row],[Date]])</f>
        <v>4</v>
      </c>
      <c r="E290" s="8">
        <f>YEAR(Table2[[#This Row],[Date]])</f>
        <v>2023</v>
      </c>
      <c r="F290" s="7" t="s">
        <v>614</v>
      </c>
      <c r="G290" s="7" t="s">
        <v>10</v>
      </c>
      <c r="H290" s="8">
        <v>19</v>
      </c>
      <c r="I290" s="8" t="str">
        <f>IF(Table2[[#This Row],[Age]] &lt; 19, "Teenagers", IF(Table2[[#This Row],[Age]] &lt;= 34, "Young Adults", IF(Table2[[#This Row],[Age]] &lt;= 45, "Adults", IF(Table2[[#This Row],[Age]] &lt;= 55, "Seniors", "Elderly")) ))</f>
        <v>Young Adults</v>
      </c>
      <c r="J290" s="7" t="s">
        <v>14</v>
      </c>
      <c r="K290" s="8">
        <v>1</v>
      </c>
      <c r="L290" s="8" t="str">
        <f>IF(Table2[[#This Row],[Quantity]]=1, "Single Order", IF(Table2[[#This Row],[Quantity]]=2, "Small Order", IF(Table2[[#This Row],[Quantity]]=3, "Medium Order", "Bulk Order")))</f>
        <v>Single Order</v>
      </c>
      <c r="M290" s="10">
        <v>30</v>
      </c>
      <c r="N290" s="10">
        <v>30</v>
      </c>
    </row>
    <row r="291" spans="1:14" x14ac:dyDescent="0.2">
      <c r="A291">
        <v>613</v>
      </c>
      <c r="B291" s="5">
        <v>45039</v>
      </c>
      <c r="C291" s="5" t="str">
        <f>TEXT(Table2[[#This Row],[Date]], "MMM")</f>
        <v>Apr</v>
      </c>
      <c r="D291" s="8">
        <f>MONTH(Table2[[#This Row],[Date]])</f>
        <v>4</v>
      </c>
      <c r="E291" s="8">
        <f>YEAR(Table2[[#This Row],[Date]])</f>
        <v>2023</v>
      </c>
      <c r="F291" s="7" t="s">
        <v>626</v>
      </c>
      <c r="G291" s="7" t="s">
        <v>13</v>
      </c>
      <c r="H291" s="8">
        <v>52</v>
      </c>
      <c r="I291" s="8" t="str">
        <f>IF(Table2[[#This Row],[Age]] &lt; 19, "Teenagers", IF(Table2[[#This Row],[Age]] &lt;= 34, "Young Adults", IF(Table2[[#This Row],[Age]] &lt;= 45, "Adults", IF(Table2[[#This Row],[Age]] &lt;= 55, "Seniors", "Elderly")) ))</f>
        <v>Seniors</v>
      </c>
      <c r="J291" s="7" t="s">
        <v>14</v>
      </c>
      <c r="K291" s="8">
        <v>3</v>
      </c>
      <c r="L291" s="8" t="str">
        <f>IF(Table2[[#This Row],[Quantity]]=1, "Single Order", IF(Table2[[#This Row],[Quantity]]=2, "Small Order", IF(Table2[[#This Row],[Quantity]]=3, "Medium Order", "Bulk Order")))</f>
        <v>Medium Order</v>
      </c>
      <c r="M291" s="10">
        <v>30</v>
      </c>
      <c r="N291" s="10">
        <v>90</v>
      </c>
    </row>
    <row r="292" spans="1:14" x14ac:dyDescent="0.2">
      <c r="A292">
        <v>614</v>
      </c>
      <c r="B292" s="5">
        <v>45017</v>
      </c>
      <c r="C292" s="5" t="str">
        <f>TEXT(Table2[[#This Row],[Date]], "MMM")</f>
        <v>Apr</v>
      </c>
      <c r="D292" s="8">
        <f>MONTH(Table2[[#This Row],[Date]])</f>
        <v>4</v>
      </c>
      <c r="E292" s="8">
        <f>YEAR(Table2[[#This Row],[Date]])</f>
        <v>2023</v>
      </c>
      <c r="F292" s="7" t="s">
        <v>627</v>
      </c>
      <c r="G292" s="7" t="s">
        <v>13</v>
      </c>
      <c r="H292" s="8">
        <v>39</v>
      </c>
      <c r="I292" s="8" t="str">
        <f>IF(Table2[[#This Row],[Age]] &lt; 19, "Teenagers", IF(Table2[[#This Row],[Age]] &lt;= 34, "Young Adults", IF(Table2[[#This Row],[Age]] &lt;= 45, "Adults", IF(Table2[[#This Row],[Age]] &lt;= 55, "Seniors", "Elderly")) ))</f>
        <v>Adults</v>
      </c>
      <c r="J292" s="7" t="s">
        <v>11</v>
      </c>
      <c r="K292" s="8">
        <v>4</v>
      </c>
      <c r="L292" s="8" t="str">
        <f>IF(Table2[[#This Row],[Quantity]]=1, "Single Order", IF(Table2[[#This Row],[Quantity]]=2, "Small Order", IF(Table2[[#This Row],[Quantity]]=3, "Medium Order", "Bulk Order")))</f>
        <v>Bulk Order</v>
      </c>
      <c r="M292" s="10">
        <v>300</v>
      </c>
      <c r="N292" s="10">
        <v>1200</v>
      </c>
    </row>
    <row r="293" spans="1:14" x14ac:dyDescent="0.2">
      <c r="A293">
        <v>660</v>
      </c>
      <c r="B293" s="5">
        <v>45045</v>
      </c>
      <c r="C293" s="5" t="str">
        <f>TEXT(Table2[[#This Row],[Date]], "MMM")</f>
        <v>Apr</v>
      </c>
      <c r="D293" s="8">
        <f>MONTH(Table2[[#This Row],[Date]])</f>
        <v>4</v>
      </c>
      <c r="E293" s="8">
        <f>YEAR(Table2[[#This Row],[Date]])</f>
        <v>2023</v>
      </c>
      <c r="F293" s="7" t="s">
        <v>673</v>
      </c>
      <c r="G293" s="7" t="s">
        <v>13</v>
      </c>
      <c r="H293" s="8">
        <v>38</v>
      </c>
      <c r="I293" s="8" t="str">
        <f>IF(Table2[[#This Row],[Age]] &lt; 19, "Teenagers", IF(Table2[[#This Row],[Age]] &lt;= 34, "Young Adults", IF(Table2[[#This Row],[Age]] &lt;= 45, "Adults", IF(Table2[[#This Row],[Age]] &lt;= 55, "Seniors", "Elderly")) ))</f>
        <v>Adults</v>
      </c>
      <c r="J293" s="7" t="s">
        <v>11</v>
      </c>
      <c r="K293" s="8">
        <v>2</v>
      </c>
      <c r="L293" s="8" t="str">
        <f>IF(Table2[[#This Row],[Quantity]]=1, "Single Order", IF(Table2[[#This Row],[Quantity]]=2, "Small Order", IF(Table2[[#This Row],[Quantity]]=3, "Medium Order", "Bulk Order")))</f>
        <v>Small Order</v>
      </c>
      <c r="M293" s="10">
        <v>500</v>
      </c>
      <c r="N293" s="10">
        <v>1000</v>
      </c>
    </row>
    <row r="294" spans="1:14" x14ac:dyDescent="0.2">
      <c r="A294">
        <v>665</v>
      </c>
      <c r="B294" s="5">
        <v>45036</v>
      </c>
      <c r="C294" s="5" t="str">
        <f>TEXT(Table2[[#This Row],[Date]], "MMM")</f>
        <v>Apr</v>
      </c>
      <c r="D294" s="8">
        <f>MONTH(Table2[[#This Row],[Date]])</f>
        <v>4</v>
      </c>
      <c r="E294" s="8">
        <f>YEAR(Table2[[#This Row],[Date]])</f>
        <v>2023</v>
      </c>
      <c r="F294" s="7" t="s">
        <v>678</v>
      </c>
      <c r="G294" s="7" t="s">
        <v>10</v>
      </c>
      <c r="H294" s="8">
        <v>57</v>
      </c>
      <c r="I294" s="8" t="str">
        <f>IF(Table2[[#This Row],[Age]] &lt; 19, "Teenagers", IF(Table2[[#This Row],[Age]] &lt;= 34, "Young Adults", IF(Table2[[#This Row],[Age]] &lt;= 45, "Adults", IF(Table2[[#This Row],[Age]] &lt;= 55, "Seniors", "Elderly")) ))</f>
        <v>Elderly</v>
      </c>
      <c r="J294" s="7" t="s">
        <v>14</v>
      </c>
      <c r="K294" s="8">
        <v>1</v>
      </c>
      <c r="L294" s="8" t="str">
        <f>IF(Table2[[#This Row],[Quantity]]=1, "Single Order", IF(Table2[[#This Row],[Quantity]]=2, "Small Order", IF(Table2[[#This Row],[Quantity]]=3, "Medium Order", "Bulk Order")))</f>
        <v>Single Order</v>
      </c>
      <c r="M294" s="10">
        <v>50</v>
      </c>
      <c r="N294" s="10">
        <v>50</v>
      </c>
    </row>
    <row r="295" spans="1:14" x14ac:dyDescent="0.2">
      <c r="A295">
        <v>674</v>
      </c>
      <c r="B295" s="5">
        <v>45032</v>
      </c>
      <c r="C295" s="5" t="str">
        <f>TEXT(Table2[[#This Row],[Date]], "MMM")</f>
        <v>Apr</v>
      </c>
      <c r="D295" s="8">
        <f>MONTH(Table2[[#This Row],[Date]])</f>
        <v>4</v>
      </c>
      <c r="E295" s="8">
        <f>YEAR(Table2[[#This Row],[Date]])</f>
        <v>2023</v>
      </c>
      <c r="F295" s="7" t="s">
        <v>687</v>
      </c>
      <c r="G295" s="7" t="s">
        <v>13</v>
      </c>
      <c r="H295" s="8">
        <v>38</v>
      </c>
      <c r="I295" s="8" t="str">
        <f>IF(Table2[[#This Row],[Age]] &lt; 19, "Teenagers", IF(Table2[[#This Row],[Age]] &lt;= 34, "Young Adults", IF(Table2[[#This Row],[Age]] &lt;= 45, "Adults", IF(Table2[[#This Row],[Age]] &lt;= 55, "Seniors", "Elderly")) ))</f>
        <v>Adults</v>
      </c>
      <c r="J295" s="7" t="s">
        <v>14</v>
      </c>
      <c r="K295" s="8">
        <v>1</v>
      </c>
      <c r="L295" s="8" t="str">
        <f>IF(Table2[[#This Row],[Quantity]]=1, "Single Order", IF(Table2[[#This Row],[Quantity]]=2, "Small Order", IF(Table2[[#This Row],[Quantity]]=3, "Medium Order", "Bulk Order")))</f>
        <v>Single Order</v>
      </c>
      <c r="M295" s="10">
        <v>300</v>
      </c>
      <c r="N295" s="10">
        <v>300</v>
      </c>
    </row>
    <row r="296" spans="1:14" x14ac:dyDescent="0.2">
      <c r="A296">
        <v>691</v>
      </c>
      <c r="B296" s="5">
        <v>45039</v>
      </c>
      <c r="C296" s="5" t="str">
        <f>TEXT(Table2[[#This Row],[Date]], "MMM")</f>
        <v>Apr</v>
      </c>
      <c r="D296" s="8">
        <f>MONTH(Table2[[#This Row],[Date]])</f>
        <v>4</v>
      </c>
      <c r="E296" s="8">
        <f>YEAR(Table2[[#This Row],[Date]])</f>
        <v>2023</v>
      </c>
      <c r="F296" s="7" t="s">
        <v>704</v>
      </c>
      <c r="G296" s="7" t="s">
        <v>13</v>
      </c>
      <c r="H296" s="8">
        <v>51</v>
      </c>
      <c r="I296" s="8" t="str">
        <f>IF(Table2[[#This Row],[Age]] &lt; 19, "Teenagers", IF(Table2[[#This Row],[Age]] &lt;= 34, "Young Adults", IF(Table2[[#This Row],[Age]] &lt;= 45, "Adults", IF(Table2[[#This Row],[Age]] &lt;= 55, "Seniors", "Elderly")) ))</f>
        <v>Seniors</v>
      </c>
      <c r="J296" s="7" t="s">
        <v>14</v>
      </c>
      <c r="K296" s="8">
        <v>3</v>
      </c>
      <c r="L296" s="8" t="str">
        <f>IF(Table2[[#This Row],[Quantity]]=1, "Single Order", IF(Table2[[#This Row],[Quantity]]=2, "Small Order", IF(Table2[[#This Row],[Quantity]]=3, "Medium Order", "Bulk Order")))</f>
        <v>Medium Order</v>
      </c>
      <c r="M296" s="10">
        <v>30</v>
      </c>
      <c r="N296" s="10">
        <v>90</v>
      </c>
    </row>
    <row r="297" spans="1:14" x14ac:dyDescent="0.2">
      <c r="A297">
        <v>693</v>
      </c>
      <c r="B297" s="5">
        <v>45039</v>
      </c>
      <c r="C297" s="5" t="str">
        <f>TEXT(Table2[[#This Row],[Date]], "MMM")</f>
        <v>Apr</v>
      </c>
      <c r="D297" s="8">
        <f>MONTH(Table2[[#This Row],[Date]])</f>
        <v>4</v>
      </c>
      <c r="E297" s="8">
        <f>YEAR(Table2[[#This Row],[Date]])</f>
        <v>2023</v>
      </c>
      <c r="F297" s="7" t="s">
        <v>706</v>
      </c>
      <c r="G297" s="7" t="s">
        <v>10</v>
      </c>
      <c r="H297" s="8">
        <v>41</v>
      </c>
      <c r="I297" s="8" t="str">
        <f>IF(Table2[[#This Row],[Age]] &lt; 19, "Teenagers", IF(Table2[[#This Row],[Age]] &lt;= 34, "Young Adults", IF(Table2[[#This Row],[Age]] &lt;= 45, "Adults", IF(Table2[[#This Row],[Age]] &lt;= 55, "Seniors", "Elderly")) ))</f>
        <v>Adults</v>
      </c>
      <c r="J297" s="7" t="s">
        <v>11</v>
      </c>
      <c r="K297" s="8">
        <v>3</v>
      </c>
      <c r="L297" s="8" t="str">
        <f>IF(Table2[[#This Row],[Quantity]]=1, "Single Order", IF(Table2[[#This Row],[Quantity]]=2, "Small Order", IF(Table2[[#This Row],[Quantity]]=3, "Medium Order", "Bulk Order")))</f>
        <v>Medium Order</v>
      </c>
      <c r="M297" s="10">
        <v>500</v>
      </c>
      <c r="N297" s="10">
        <v>1500</v>
      </c>
    </row>
    <row r="298" spans="1:14" x14ac:dyDescent="0.2">
      <c r="A298">
        <v>719</v>
      </c>
      <c r="B298" s="5">
        <v>45020</v>
      </c>
      <c r="C298" s="5" t="str">
        <f>TEXT(Table2[[#This Row],[Date]], "MMM")</f>
        <v>Apr</v>
      </c>
      <c r="D298" s="8">
        <f>MONTH(Table2[[#This Row],[Date]])</f>
        <v>4</v>
      </c>
      <c r="E298" s="8">
        <f>YEAR(Table2[[#This Row],[Date]])</f>
        <v>2023</v>
      </c>
      <c r="F298" s="7" t="s">
        <v>732</v>
      </c>
      <c r="G298" s="7" t="s">
        <v>13</v>
      </c>
      <c r="H298" s="8">
        <v>42</v>
      </c>
      <c r="I298" s="8" t="str">
        <f>IF(Table2[[#This Row],[Age]] &lt; 19, "Teenagers", IF(Table2[[#This Row],[Age]] &lt;= 34, "Young Adults", IF(Table2[[#This Row],[Age]] &lt;= 45, "Adults", IF(Table2[[#This Row],[Age]] &lt;= 55, "Seniors", "Elderly")) ))</f>
        <v>Adults</v>
      </c>
      <c r="J298" s="7" t="s">
        <v>14</v>
      </c>
      <c r="K298" s="8">
        <v>2</v>
      </c>
      <c r="L298" s="8" t="str">
        <f>IF(Table2[[#This Row],[Quantity]]=1, "Single Order", IF(Table2[[#This Row],[Quantity]]=2, "Small Order", IF(Table2[[#This Row],[Quantity]]=3, "Medium Order", "Bulk Order")))</f>
        <v>Small Order</v>
      </c>
      <c r="M298" s="10">
        <v>30</v>
      </c>
      <c r="N298" s="10">
        <v>60</v>
      </c>
    </row>
    <row r="299" spans="1:14" x14ac:dyDescent="0.2">
      <c r="A299">
        <v>724</v>
      </c>
      <c r="B299" s="5">
        <v>45035</v>
      </c>
      <c r="C299" s="5" t="str">
        <f>TEXT(Table2[[#This Row],[Date]], "MMM")</f>
        <v>Apr</v>
      </c>
      <c r="D299" s="8">
        <f>MONTH(Table2[[#This Row],[Date]])</f>
        <v>4</v>
      </c>
      <c r="E299" s="8">
        <f>YEAR(Table2[[#This Row],[Date]])</f>
        <v>2023</v>
      </c>
      <c r="F299" s="7" t="s">
        <v>737</v>
      </c>
      <c r="G299" s="7" t="s">
        <v>10</v>
      </c>
      <c r="H299" s="8">
        <v>61</v>
      </c>
      <c r="I299" s="8" t="str">
        <f>IF(Table2[[#This Row],[Age]] &lt; 19, "Teenagers", IF(Table2[[#This Row],[Age]] &lt;= 34, "Young Adults", IF(Table2[[#This Row],[Age]] &lt;= 45, "Adults", IF(Table2[[#This Row],[Age]] &lt;= 55, "Seniors", "Elderly")) ))</f>
        <v>Elderly</v>
      </c>
      <c r="J299" s="7" t="s">
        <v>14</v>
      </c>
      <c r="K299" s="8">
        <v>3</v>
      </c>
      <c r="L299" s="8" t="str">
        <f>IF(Table2[[#This Row],[Quantity]]=1, "Single Order", IF(Table2[[#This Row],[Quantity]]=2, "Small Order", IF(Table2[[#This Row],[Quantity]]=3, "Medium Order", "Bulk Order")))</f>
        <v>Medium Order</v>
      </c>
      <c r="M299" s="10">
        <v>50</v>
      </c>
      <c r="N299" s="10">
        <v>150</v>
      </c>
    </row>
    <row r="300" spans="1:14" x14ac:dyDescent="0.2">
      <c r="A300">
        <v>738</v>
      </c>
      <c r="B300" s="5">
        <v>45041</v>
      </c>
      <c r="C300" s="5" t="str">
        <f>TEXT(Table2[[#This Row],[Date]], "MMM")</f>
        <v>Apr</v>
      </c>
      <c r="D300" s="8">
        <f>MONTH(Table2[[#This Row],[Date]])</f>
        <v>4</v>
      </c>
      <c r="E300" s="8">
        <f>YEAR(Table2[[#This Row],[Date]])</f>
        <v>2023</v>
      </c>
      <c r="F300" s="7" t="s">
        <v>751</v>
      </c>
      <c r="G300" s="7" t="s">
        <v>10</v>
      </c>
      <c r="H300" s="8">
        <v>41</v>
      </c>
      <c r="I300" s="8" t="str">
        <f>IF(Table2[[#This Row],[Age]] &lt; 19, "Teenagers", IF(Table2[[#This Row],[Age]] &lt;= 34, "Young Adults", IF(Table2[[#This Row],[Age]] &lt;= 45, "Adults", IF(Table2[[#This Row],[Age]] &lt;= 55, "Seniors", "Elderly")) ))</f>
        <v>Adults</v>
      </c>
      <c r="J300" s="7" t="s">
        <v>14</v>
      </c>
      <c r="K300" s="8">
        <v>2</v>
      </c>
      <c r="L300" s="8" t="str">
        <f>IF(Table2[[#This Row],[Quantity]]=1, "Single Order", IF(Table2[[#This Row],[Quantity]]=2, "Small Order", IF(Table2[[#This Row],[Quantity]]=3, "Medium Order", "Bulk Order")))</f>
        <v>Small Order</v>
      </c>
      <c r="M300" s="10">
        <v>50</v>
      </c>
      <c r="N300" s="10">
        <v>100</v>
      </c>
    </row>
    <row r="301" spans="1:14" x14ac:dyDescent="0.2">
      <c r="A301">
        <v>745</v>
      </c>
      <c r="B301" s="5">
        <v>45029</v>
      </c>
      <c r="C301" s="5" t="str">
        <f>TEXT(Table2[[#This Row],[Date]], "MMM")</f>
        <v>Apr</v>
      </c>
      <c r="D301" s="8">
        <f>MONTH(Table2[[#This Row],[Date]])</f>
        <v>4</v>
      </c>
      <c r="E301" s="8">
        <f>YEAR(Table2[[#This Row],[Date]])</f>
        <v>2023</v>
      </c>
      <c r="F301" s="7" t="s">
        <v>758</v>
      </c>
      <c r="G301" s="7" t="s">
        <v>10</v>
      </c>
      <c r="H301" s="8">
        <v>54</v>
      </c>
      <c r="I301" s="8" t="str">
        <f>IF(Table2[[#This Row],[Age]] &lt; 19, "Teenagers", IF(Table2[[#This Row],[Age]] &lt;= 34, "Young Adults", IF(Table2[[#This Row],[Age]] &lt;= 45, "Adults", IF(Table2[[#This Row],[Age]] &lt;= 55, "Seniors", "Elderly")) ))</f>
        <v>Seniors</v>
      </c>
      <c r="J301" s="7" t="s">
        <v>11</v>
      </c>
      <c r="K301" s="8">
        <v>2</v>
      </c>
      <c r="L301" s="8" t="str">
        <f>IF(Table2[[#This Row],[Quantity]]=1, "Single Order", IF(Table2[[#This Row],[Quantity]]=2, "Small Order", IF(Table2[[#This Row],[Quantity]]=3, "Medium Order", "Bulk Order")))</f>
        <v>Small Order</v>
      </c>
      <c r="M301" s="10">
        <v>50</v>
      </c>
      <c r="N301" s="10">
        <v>100</v>
      </c>
    </row>
    <row r="302" spans="1:14" x14ac:dyDescent="0.2">
      <c r="A302">
        <v>755</v>
      </c>
      <c r="B302" s="5">
        <v>45038</v>
      </c>
      <c r="C302" s="5" t="str">
        <f>TEXT(Table2[[#This Row],[Date]], "MMM")</f>
        <v>Apr</v>
      </c>
      <c r="D302" s="8">
        <f>MONTH(Table2[[#This Row],[Date]])</f>
        <v>4</v>
      </c>
      <c r="E302" s="8">
        <f>YEAR(Table2[[#This Row],[Date]])</f>
        <v>2023</v>
      </c>
      <c r="F302" s="7" t="s">
        <v>768</v>
      </c>
      <c r="G302" s="7" t="s">
        <v>13</v>
      </c>
      <c r="H302" s="8">
        <v>58</v>
      </c>
      <c r="I302" s="8" t="str">
        <f>IF(Table2[[#This Row],[Age]] &lt; 19, "Teenagers", IF(Table2[[#This Row],[Age]] &lt;= 34, "Young Adults", IF(Table2[[#This Row],[Age]] &lt;= 45, "Adults", IF(Table2[[#This Row],[Age]] &lt;= 55, "Seniors", "Elderly")) ))</f>
        <v>Elderly</v>
      </c>
      <c r="J302" s="7" t="s">
        <v>14</v>
      </c>
      <c r="K302" s="8">
        <v>3</v>
      </c>
      <c r="L302" s="8" t="str">
        <f>IF(Table2[[#This Row],[Quantity]]=1, "Single Order", IF(Table2[[#This Row],[Quantity]]=2, "Small Order", IF(Table2[[#This Row],[Quantity]]=3, "Medium Order", "Bulk Order")))</f>
        <v>Medium Order</v>
      </c>
      <c r="M302" s="10">
        <v>25</v>
      </c>
      <c r="N302" s="10">
        <v>75</v>
      </c>
    </row>
    <row r="303" spans="1:14" x14ac:dyDescent="0.2">
      <c r="A303">
        <v>774</v>
      </c>
      <c r="B303" s="5">
        <v>45028</v>
      </c>
      <c r="C303" s="5" t="str">
        <f>TEXT(Table2[[#This Row],[Date]], "MMM")</f>
        <v>Apr</v>
      </c>
      <c r="D303" s="8">
        <f>MONTH(Table2[[#This Row],[Date]])</f>
        <v>4</v>
      </c>
      <c r="E303" s="8">
        <f>YEAR(Table2[[#This Row],[Date]])</f>
        <v>2023</v>
      </c>
      <c r="F303" s="7" t="s">
        <v>787</v>
      </c>
      <c r="G303" s="7" t="s">
        <v>13</v>
      </c>
      <c r="H303" s="8">
        <v>40</v>
      </c>
      <c r="I303" s="8" t="str">
        <f>IF(Table2[[#This Row],[Age]] &lt; 19, "Teenagers", IF(Table2[[#This Row],[Age]] &lt;= 34, "Young Adults", IF(Table2[[#This Row],[Age]] &lt;= 45, "Adults", IF(Table2[[#This Row],[Age]] &lt;= 55, "Seniors", "Elderly")) ))</f>
        <v>Adults</v>
      </c>
      <c r="J303" s="7" t="s">
        <v>14</v>
      </c>
      <c r="K303" s="8">
        <v>2</v>
      </c>
      <c r="L303" s="8" t="str">
        <f>IF(Table2[[#This Row],[Quantity]]=1, "Single Order", IF(Table2[[#This Row],[Quantity]]=2, "Small Order", IF(Table2[[#This Row],[Quantity]]=3, "Medium Order", "Bulk Order")))</f>
        <v>Small Order</v>
      </c>
      <c r="M303" s="10">
        <v>25</v>
      </c>
      <c r="N303" s="10">
        <v>50</v>
      </c>
    </row>
    <row r="304" spans="1:14" x14ac:dyDescent="0.2">
      <c r="A304">
        <v>808</v>
      </c>
      <c r="B304" s="5">
        <v>45017</v>
      </c>
      <c r="C304" s="5" t="str">
        <f>TEXT(Table2[[#This Row],[Date]], "MMM")</f>
        <v>Apr</v>
      </c>
      <c r="D304" s="8">
        <f>MONTH(Table2[[#This Row],[Date]])</f>
        <v>4</v>
      </c>
      <c r="E304" s="8">
        <f>YEAR(Table2[[#This Row],[Date]])</f>
        <v>2023</v>
      </c>
      <c r="F304" s="7" t="s">
        <v>821</v>
      </c>
      <c r="G304" s="7" t="s">
        <v>10</v>
      </c>
      <c r="H304" s="8">
        <v>33</v>
      </c>
      <c r="I304" s="8" t="str">
        <f>IF(Table2[[#This Row],[Age]] &lt; 19, "Teenagers", IF(Table2[[#This Row],[Age]] &lt;= 34, "Young Adults", IF(Table2[[#This Row],[Age]] &lt;= 45, "Adults", IF(Table2[[#This Row],[Age]] &lt;= 55, "Seniors", "Elderly")) ))</f>
        <v>Young Adults</v>
      </c>
      <c r="J304" s="7" t="s">
        <v>11</v>
      </c>
      <c r="K304" s="8">
        <v>4</v>
      </c>
      <c r="L304" s="8" t="str">
        <f>IF(Table2[[#This Row],[Quantity]]=1, "Single Order", IF(Table2[[#This Row],[Quantity]]=2, "Small Order", IF(Table2[[#This Row],[Quantity]]=3, "Medium Order", "Bulk Order")))</f>
        <v>Bulk Order</v>
      </c>
      <c r="M304" s="10">
        <v>500</v>
      </c>
      <c r="N304" s="10">
        <v>2000</v>
      </c>
    </row>
    <row r="305" spans="1:14" x14ac:dyDescent="0.2">
      <c r="A305">
        <v>834</v>
      </c>
      <c r="B305" s="5">
        <v>45020</v>
      </c>
      <c r="C305" s="5" t="str">
        <f>TEXT(Table2[[#This Row],[Date]], "MMM")</f>
        <v>Apr</v>
      </c>
      <c r="D305" s="8">
        <f>MONTH(Table2[[#This Row],[Date]])</f>
        <v>4</v>
      </c>
      <c r="E305" s="8">
        <f>YEAR(Table2[[#This Row],[Date]])</f>
        <v>2023</v>
      </c>
      <c r="F305" s="7" t="s">
        <v>847</v>
      </c>
      <c r="G305" s="7" t="s">
        <v>13</v>
      </c>
      <c r="H305" s="8">
        <v>56</v>
      </c>
      <c r="I305" s="8" t="str">
        <f>IF(Table2[[#This Row],[Age]] &lt; 19, "Teenagers", IF(Table2[[#This Row],[Age]] &lt;= 34, "Young Adults", IF(Table2[[#This Row],[Age]] &lt;= 45, "Adults", IF(Table2[[#This Row],[Age]] &lt;= 55, "Seniors", "Elderly")) ))</f>
        <v>Elderly</v>
      </c>
      <c r="J305" s="7" t="s">
        <v>11</v>
      </c>
      <c r="K305" s="8">
        <v>2</v>
      </c>
      <c r="L305" s="8" t="str">
        <f>IF(Table2[[#This Row],[Quantity]]=1, "Single Order", IF(Table2[[#This Row],[Quantity]]=2, "Small Order", IF(Table2[[#This Row],[Quantity]]=3, "Medium Order", "Bulk Order")))</f>
        <v>Small Order</v>
      </c>
      <c r="M305" s="10">
        <v>30</v>
      </c>
      <c r="N305" s="10">
        <v>60</v>
      </c>
    </row>
    <row r="306" spans="1:14" x14ac:dyDescent="0.2">
      <c r="A306">
        <v>836</v>
      </c>
      <c r="B306" s="5">
        <v>45035</v>
      </c>
      <c r="C306" s="5" t="str">
        <f>TEXT(Table2[[#This Row],[Date]], "MMM")</f>
        <v>Apr</v>
      </c>
      <c r="D306" s="8">
        <f>MONTH(Table2[[#This Row],[Date]])</f>
        <v>4</v>
      </c>
      <c r="E306" s="8">
        <f>YEAR(Table2[[#This Row],[Date]])</f>
        <v>2023</v>
      </c>
      <c r="F306" s="7" t="s">
        <v>849</v>
      </c>
      <c r="G306" s="7" t="s">
        <v>13</v>
      </c>
      <c r="H306" s="8">
        <v>22</v>
      </c>
      <c r="I306" s="8" t="str">
        <f>IF(Table2[[#This Row],[Age]] &lt; 19, "Teenagers", IF(Table2[[#This Row],[Age]] &lt;= 34, "Young Adults", IF(Table2[[#This Row],[Age]] &lt;= 45, "Adults", IF(Table2[[#This Row],[Age]] &lt;= 55, "Seniors", "Elderly")) ))</f>
        <v>Young Adults</v>
      </c>
      <c r="J306" s="7" t="s">
        <v>14</v>
      </c>
      <c r="K306" s="8">
        <v>1</v>
      </c>
      <c r="L306" s="8" t="str">
        <f>IF(Table2[[#This Row],[Quantity]]=1, "Single Order", IF(Table2[[#This Row],[Quantity]]=2, "Small Order", IF(Table2[[#This Row],[Quantity]]=3, "Medium Order", "Bulk Order")))</f>
        <v>Single Order</v>
      </c>
      <c r="M306" s="10">
        <v>50</v>
      </c>
      <c r="N306" s="10">
        <v>50</v>
      </c>
    </row>
    <row r="307" spans="1:14" x14ac:dyDescent="0.2">
      <c r="A307">
        <v>847</v>
      </c>
      <c r="B307" s="5">
        <v>45024</v>
      </c>
      <c r="C307" s="5" t="str">
        <f>TEXT(Table2[[#This Row],[Date]], "MMM")</f>
        <v>Apr</v>
      </c>
      <c r="D307" s="8">
        <f>MONTH(Table2[[#This Row],[Date]])</f>
        <v>4</v>
      </c>
      <c r="E307" s="8">
        <f>YEAR(Table2[[#This Row],[Date]])</f>
        <v>2023</v>
      </c>
      <c r="F307" s="7" t="s">
        <v>860</v>
      </c>
      <c r="G307" s="7" t="s">
        <v>13</v>
      </c>
      <c r="H307" s="8">
        <v>18</v>
      </c>
      <c r="I307" s="8" t="str">
        <f>IF(Table2[[#This Row],[Age]] &lt; 19, "Teenagers", IF(Table2[[#This Row],[Age]] &lt;= 34, "Young Adults", IF(Table2[[#This Row],[Age]] &lt;= 45, "Adults", IF(Table2[[#This Row],[Age]] &lt;= 55, "Seniors", "Elderly")) ))</f>
        <v>Teenagers</v>
      </c>
      <c r="J307" s="7" t="s">
        <v>16</v>
      </c>
      <c r="K307" s="8">
        <v>4</v>
      </c>
      <c r="L307" s="8" t="str">
        <f>IF(Table2[[#This Row],[Quantity]]=1, "Single Order", IF(Table2[[#This Row],[Quantity]]=2, "Small Order", IF(Table2[[#This Row],[Quantity]]=3, "Medium Order", "Bulk Order")))</f>
        <v>Bulk Order</v>
      </c>
      <c r="M307" s="10">
        <v>300</v>
      </c>
      <c r="N307" s="10">
        <v>1200</v>
      </c>
    </row>
    <row r="308" spans="1:14" x14ac:dyDescent="0.2">
      <c r="A308">
        <v>863</v>
      </c>
      <c r="B308" s="5">
        <v>45040</v>
      </c>
      <c r="C308" s="5" t="str">
        <f>TEXT(Table2[[#This Row],[Date]], "MMM")</f>
        <v>Apr</v>
      </c>
      <c r="D308" s="8">
        <f>MONTH(Table2[[#This Row],[Date]])</f>
        <v>4</v>
      </c>
      <c r="E308" s="8">
        <f>YEAR(Table2[[#This Row],[Date]])</f>
        <v>2023</v>
      </c>
      <c r="F308" s="7" t="s">
        <v>876</v>
      </c>
      <c r="G308" s="7" t="s">
        <v>13</v>
      </c>
      <c r="H308" s="8">
        <v>30</v>
      </c>
      <c r="I308" s="8" t="str">
        <f>IF(Table2[[#This Row],[Age]] &lt; 19, "Teenagers", IF(Table2[[#This Row],[Age]] &lt;= 34, "Young Adults", IF(Table2[[#This Row],[Age]] &lt;= 45, "Adults", IF(Table2[[#This Row],[Age]] &lt;= 55, "Seniors", "Elderly")) ))</f>
        <v>Young Adults</v>
      </c>
      <c r="J308" s="7" t="s">
        <v>16</v>
      </c>
      <c r="K308" s="8">
        <v>2</v>
      </c>
      <c r="L308" s="8" t="str">
        <f>IF(Table2[[#This Row],[Quantity]]=1, "Single Order", IF(Table2[[#This Row],[Quantity]]=2, "Small Order", IF(Table2[[#This Row],[Quantity]]=3, "Medium Order", "Bulk Order")))</f>
        <v>Small Order</v>
      </c>
      <c r="M308" s="10">
        <v>25</v>
      </c>
      <c r="N308" s="10">
        <v>50</v>
      </c>
    </row>
    <row r="309" spans="1:14" x14ac:dyDescent="0.2">
      <c r="A309">
        <v>884</v>
      </c>
      <c r="B309" s="5">
        <v>45045</v>
      </c>
      <c r="C309" s="5" t="str">
        <f>TEXT(Table2[[#This Row],[Date]], "MMM")</f>
        <v>Apr</v>
      </c>
      <c r="D309" s="8">
        <f>MONTH(Table2[[#This Row],[Date]])</f>
        <v>4</v>
      </c>
      <c r="E309" s="8">
        <f>YEAR(Table2[[#This Row],[Date]])</f>
        <v>2023</v>
      </c>
      <c r="F309" s="7" t="s">
        <v>897</v>
      </c>
      <c r="G309" s="7" t="s">
        <v>13</v>
      </c>
      <c r="H309" s="8">
        <v>26</v>
      </c>
      <c r="I309" s="8" t="str">
        <f>IF(Table2[[#This Row],[Age]] &lt; 19, "Teenagers", IF(Table2[[#This Row],[Age]] &lt;= 34, "Young Adults", IF(Table2[[#This Row],[Age]] &lt;= 45, "Adults", IF(Table2[[#This Row],[Age]] &lt;= 55, "Seniors", "Elderly")) ))</f>
        <v>Young Adults</v>
      </c>
      <c r="J309" s="7" t="s">
        <v>14</v>
      </c>
      <c r="K309" s="8">
        <v>2</v>
      </c>
      <c r="L309" s="8" t="str">
        <f>IF(Table2[[#This Row],[Quantity]]=1, "Single Order", IF(Table2[[#This Row],[Quantity]]=2, "Small Order", IF(Table2[[#This Row],[Quantity]]=3, "Medium Order", "Bulk Order")))</f>
        <v>Small Order</v>
      </c>
      <c r="M309" s="10">
        <v>30</v>
      </c>
      <c r="N309" s="10">
        <v>60</v>
      </c>
    </row>
    <row r="310" spans="1:14" x14ac:dyDescent="0.2">
      <c r="A310">
        <v>886</v>
      </c>
      <c r="B310" s="5">
        <v>45025</v>
      </c>
      <c r="C310" s="5" t="str">
        <f>TEXT(Table2[[#This Row],[Date]], "MMM")</f>
        <v>Apr</v>
      </c>
      <c r="D310" s="8">
        <f>MONTH(Table2[[#This Row],[Date]])</f>
        <v>4</v>
      </c>
      <c r="E310" s="8">
        <f>YEAR(Table2[[#This Row],[Date]])</f>
        <v>2023</v>
      </c>
      <c r="F310" s="7" t="s">
        <v>899</v>
      </c>
      <c r="G310" s="7" t="s">
        <v>10</v>
      </c>
      <c r="H310" s="8">
        <v>37</v>
      </c>
      <c r="I310" s="8" t="str">
        <f>IF(Table2[[#This Row],[Age]] &lt; 19, "Teenagers", IF(Table2[[#This Row],[Age]] &lt;= 34, "Young Adults", IF(Table2[[#This Row],[Age]] &lt;= 45, "Adults", IF(Table2[[#This Row],[Age]] &lt;= 55, "Seniors", "Elderly")) ))</f>
        <v>Adults</v>
      </c>
      <c r="J310" s="7" t="s">
        <v>16</v>
      </c>
      <c r="K310" s="8">
        <v>3</v>
      </c>
      <c r="L310" s="8" t="str">
        <f>IF(Table2[[#This Row],[Quantity]]=1, "Single Order", IF(Table2[[#This Row],[Quantity]]=2, "Small Order", IF(Table2[[#This Row],[Quantity]]=3, "Medium Order", "Bulk Order")))</f>
        <v>Medium Order</v>
      </c>
      <c r="M310" s="10">
        <v>300</v>
      </c>
      <c r="N310" s="10">
        <v>900</v>
      </c>
    </row>
    <row r="311" spans="1:14" x14ac:dyDescent="0.2">
      <c r="A311">
        <v>891</v>
      </c>
      <c r="B311" s="5">
        <v>45021</v>
      </c>
      <c r="C311" s="5" t="str">
        <f>TEXT(Table2[[#This Row],[Date]], "MMM")</f>
        <v>Apr</v>
      </c>
      <c r="D311" s="8">
        <f>MONTH(Table2[[#This Row],[Date]])</f>
        <v>4</v>
      </c>
      <c r="E311" s="8">
        <f>YEAR(Table2[[#This Row],[Date]])</f>
        <v>2023</v>
      </c>
      <c r="F311" s="7" t="s">
        <v>904</v>
      </c>
      <c r="G311" s="7" t="s">
        <v>10</v>
      </c>
      <c r="H311" s="8">
        <v>41</v>
      </c>
      <c r="I311" s="8" t="str">
        <f>IF(Table2[[#This Row],[Age]] &lt; 19, "Teenagers", IF(Table2[[#This Row],[Age]] &lt;= 34, "Young Adults", IF(Table2[[#This Row],[Age]] &lt;= 45, "Adults", IF(Table2[[#This Row],[Age]] &lt;= 55, "Seniors", "Elderly")) ))</f>
        <v>Adults</v>
      </c>
      <c r="J311" s="7" t="s">
        <v>16</v>
      </c>
      <c r="K311" s="8">
        <v>3</v>
      </c>
      <c r="L311" s="8" t="str">
        <f>IF(Table2[[#This Row],[Quantity]]=1, "Single Order", IF(Table2[[#This Row],[Quantity]]=2, "Small Order", IF(Table2[[#This Row],[Quantity]]=3, "Medium Order", "Bulk Order")))</f>
        <v>Medium Order</v>
      </c>
      <c r="M311" s="10">
        <v>300</v>
      </c>
      <c r="N311" s="10">
        <v>900</v>
      </c>
    </row>
    <row r="312" spans="1:14" x14ac:dyDescent="0.2">
      <c r="A312">
        <v>892</v>
      </c>
      <c r="B312" s="5">
        <v>45025</v>
      </c>
      <c r="C312" s="5" t="str">
        <f>TEXT(Table2[[#This Row],[Date]], "MMM")</f>
        <v>Apr</v>
      </c>
      <c r="D312" s="8">
        <f>MONTH(Table2[[#This Row],[Date]])</f>
        <v>4</v>
      </c>
      <c r="E312" s="8">
        <f>YEAR(Table2[[#This Row],[Date]])</f>
        <v>2023</v>
      </c>
      <c r="F312" s="7" t="s">
        <v>905</v>
      </c>
      <c r="G312" s="7" t="s">
        <v>10</v>
      </c>
      <c r="H312" s="8">
        <v>20</v>
      </c>
      <c r="I312" s="8" t="str">
        <f>IF(Table2[[#This Row],[Age]] &lt; 19, "Teenagers", IF(Table2[[#This Row],[Age]] &lt;= 34, "Young Adults", IF(Table2[[#This Row],[Age]] &lt;= 45, "Adults", IF(Table2[[#This Row],[Age]] &lt;= 55, "Seniors", "Elderly")) ))</f>
        <v>Young Adults</v>
      </c>
      <c r="J312" s="7" t="s">
        <v>16</v>
      </c>
      <c r="K312" s="8">
        <v>1</v>
      </c>
      <c r="L312" s="8" t="str">
        <f>IF(Table2[[#This Row],[Quantity]]=1, "Single Order", IF(Table2[[#This Row],[Quantity]]=2, "Small Order", IF(Table2[[#This Row],[Quantity]]=3, "Medium Order", "Bulk Order")))</f>
        <v>Single Order</v>
      </c>
      <c r="M312" s="10">
        <v>50</v>
      </c>
      <c r="N312" s="10">
        <v>50</v>
      </c>
    </row>
    <row r="313" spans="1:14" x14ac:dyDescent="0.2">
      <c r="A313">
        <v>893</v>
      </c>
      <c r="B313" s="5">
        <v>45037</v>
      </c>
      <c r="C313" s="5" t="str">
        <f>TEXT(Table2[[#This Row],[Date]], "MMM")</f>
        <v>Apr</v>
      </c>
      <c r="D313" s="8">
        <f>MONTH(Table2[[#This Row],[Date]])</f>
        <v>4</v>
      </c>
      <c r="E313" s="8">
        <f>YEAR(Table2[[#This Row],[Date]])</f>
        <v>2023</v>
      </c>
      <c r="F313" s="7" t="s">
        <v>906</v>
      </c>
      <c r="G313" s="7" t="s">
        <v>10</v>
      </c>
      <c r="H313" s="8">
        <v>49</v>
      </c>
      <c r="I313" s="8" t="str">
        <f>IF(Table2[[#This Row],[Age]] &lt; 19, "Teenagers", IF(Table2[[#This Row],[Age]] &lt;= 34, "Young Adults", IF(Table2[[#This Row],[Age]] &lt;= 45, "Adults", IF(Table2[[#This Row],[Age]] &lt;= 55, "Seniors", "Elderly")) ))</f>
        <v>Seniors</v>
      </c>
      <c r="J313" s="7" t="s">
        <v>16</v>
      </c>
      <c r="K313" s="8">
        <v>1</v>
      </c>
      <c r="L313" s="8" t="str">
        <f>IF(Table2[[#This Row],[Quantity]]=1, "Single Order", IF(Table2[[#This Row],[Quantity]]=2, "Small Order", IF(Table2[[#This Row],[Quantity]]=3, "Medium Order", "Bulk Order")))</f>
        <v>Single Order</v>
      </c>
      <c r="M313" s="10">
        <v>50</v>
      </c>
      <c r="N313" s="10">
        <v>50</v>
      </c>
    </row>
    <row r="314" spans="1:14" x14ac:dyDescent="0.2">
      <c r="A314">
        <v>901</v>
      </c>
      <c r="B314" s="5">
        <v>45026</v>
      </c>
      <c r="C314" s="5" t="str">
        <f>TEXT(Table2[[#This Row],[Date]], "MMM")</f>
        <v>Apr</v>
      </c>
      <c r="D314" s="8">
        <f>MONTH(Table2[[#This Row],[Date]])</f>
        <v>4</v>
      </c>
      <c r="E314" s="8">
        <f>YEAR(Table2[[#This Row],[Date]])</f>
        <v>2023</v>
      </c>
      <c r="F314" s="7" t="s">
        <v>914</v>
      </c>
      <c r="G314" s="7" t="s">
        <v>10</v>
      </c>
      <c r="H314" s="8">
        <v>31</v>
      </c>
      <c r="I314" s="8" t="str">
        <f>IF(Table2[[#This Row],[Age]] &lt; 19, "Teenagers", IF(Table2[[#This Row],[Age]] &lt;= 34, "Young Adults", IF(Table2[[#This Row],[Age]] &lt;= 45, "Adults", IF(Table2[[#This Row],[Age]] &lt;= 55, "Seniors", "Elderly")) ))</f>
        <v>Young Adults</v>
      </c>
      <c r="J314" s="7" t="s">
        <v>16</v>
      </c>
      <c r="K314" s="8">
        <v>1</v>
      </c>
      <c r="L314" s="8" t="str">
        <f>IF(Table2[[#This Row],[Quantity]]=1, "Single Order", IF(Table2[[#This Row],[Quantity]]=2, "Small Order", IF(Table2[[#This Row],[Quantity]]=3, "Medium Order", "Bulk Order")))</f>
        <v>Single Order</v>
      </c>
      <c r="M314" s="10">
        <v>30</v>
      </c>
      <c r="N314" s="10">
        <v>30</v>
      </c>
    </row>
    <row r="315" spans="1:14" x14ac:dyDescent="0.2">
      <c r="A315">
        <v>903</v>
      </c>
      <c r="B315" s="5">
        <v>45043</v>
      </c>
      <c r="C315" s="5" t="str">
        <f>TEXT(Table2[[#This Row],[Date]], "MMM")</f>
        <v>Apr</v>
      </c>
      <c r="D315" s="8">
        <f>MONTH(Table2[[#This Row],[Date]])</f>
        <v>4</v>
      </c>
      <c r="E315" s="8">
        <f>YEAR(Table2[[#This Row],[Date]])</f>
        <v>2023</v>
      </c>
      <c r="F315" s="7" t="s">
        <v>916</v>
      </c>
      <c r="G315" s="7" t="s">
        <v>13</v>
      </c>
      <c r="H315" s="8">
        <v>51</v>
      </c>
      <c r="I315" s="8" t="str">
        <f>IF(Table2[[#This Row],[Age]] &lt; 19, "Teenagers", IF(Table2[[#This Row],[Age]] &lt;= 34, "Young Adults", IF(Table2[[#This Row],[Age]] &lt;= 45, "Adults", IF(Table2[[#This Row],[Age]] &lt;= 55, "Seniors", "Elderly")) ))</f>
        <v>Seniors</v>
      </c>
      <c r="J315" s="7" t="s">
        <v>11</v>
      </c>
      <c r="K315" s="8">
        <v>4</v>
      </c>
      <c r="L315" s="8" t="str">
        <f>IF(Table2[[#This Row],[Quantity]]=1, "Single Order", IF(Table2[[#This Row],[Quantity]]=2, "Small Order", IF(Table2[[#This Row],[Quantity]]=3, "Medium Order", "Bulk Order")))</f>
        <v>Bulk Order</v>
      </c>
      <c r="M315" s="10">
        <v>50</v>
      </c>
      <c r="N315" s="10">
        <v>200</v>
      </c>
    </row>
    <row r="316" spans="1:14" x14ac:dyDescent="0.2">
      <c r="A316">
        <v>905</v>
      </c>
      <c r="B316" s="5">
        <v>45018</v>
      </c>
      <c r="C316" s="5" t="str">
        <f>TEXT(Table2[[#This Row],[Date]], "MMM")</f>
        <v>Apr</v>
      </c>
      <c r="D316" s="8">
        <f>MONTH(Table2[[#This Row],[Date]])</f>
        <v>4</v>
      </c>
      <c r="E316" s="8">
        <f>YEAR(Table2[[#This Row],[Date]])</f>
        <v>2023</v>
      </c>
      <c r="F316" s="7" t="s">
        <v>918</v>
      </c>
      <c r="G316" s="7" t="s">
        <v>10</v>
      </c>
      <c r="H316" s="8">
        <v>58</v>
      </c>
      <c r="I316" s="8" t="str">
        <f>IF(Table2[[#This Row],[Age]] &lt; 19, "Teenagers", IF(Table2[[#This Row],[Age]] &lt;= 34, "Young Adults", IF(Table2[[#This Row],[Age]] &lt;= 45, "Adults", IF(Table2[[#This Row],[Age]] &lt;= 55, "Seniors", "Elderly")) ))</f>
        <v>Elderly</v>
      </c>
      <c r="J316" s="7" t="s">
        <v>11</v>
      </c>
      <c r="K316" s="8">
        <v>1</v>
      </c>
      <c r="L316" s="8" t="str">
        <f>IF(Table2[[#This Row],[Quantity]]=1, "Single Order", IF(Table2[[#This Row],[Quantity]]=2, "Small Order", IF(Table2[[#This Row],[Quantity]]=3, "Medium Order", "Bulk Order")))</f>
        <v>Single Order</v>
      </c>
      <c r="M316" s="10">
        <v>300</v>
      </c>
      <c r="N316" s="10">
        <v>300</v>
      </c>
    </row>
    <row r="317" spans="1:14" x14ac:dyDescent="0.2">
      <c r="A317">
        <v>928</v>
      </c>
      <c r="B317" s="5">
        <v>45021</v>
      </c>
      <c r="C317" s="5" t="str">
        <f>TEXT(Table2[[#This Row],[Date]], "MMM")</f>
        <v>Apr</v>
      </c>
      <c r="D317" s="8">
        <f>MONTH(Table2[[#This Row],[Date]])</f>
        <v>4</v>
      </c>
      <c r="E317" s="8">
        <f>YEAR(Table2[[#This Row],[Date]])</f>
        <v>2023</v>
      </c>
      <c r="F317" s="7" t="s">
        <v>941</v>
      </c>
      <c r="G317" s="7" t="s">
        <v>13</v>
      </c>
      <c r="H317" s="8">
        <v>35</v>
      </c>
      <c r="I317" s="8" t="str">
        <f>IF(Table2[[#This Row],[Age]] &lt; 19, "Teenagers", IF(Table2[[#This Row],[Age]] &lt;= 34, "Young Adults", IF(Table2[[#This Row],[Age]] &lt;= 45, "Adults", IF(Table2[[#This Row],[Age]] &lt;= 55, "Seniors", "Elderly")) ))</f>
        <v>Adults</v>
      </c>
      <c r="J317" s="7" t="s">
        <v>14</v>
      </c>
      <c r="K317" s="8">
        <v>4</v>
      </c>
      <c r="L317" s="8" t="str">
        <f>IF(Table2[[#This Row],[Quantity]]=1, "Single Order", IF(Table2[[#This Row],[Quantity]]=2, "Small Order", IF(Table2[[#This Row],[Quantity]]=3, "Medium Order", "Bulk Order")))</f>
        <v>Bulk Order</v>
      </c>
      <c r="M317" s="10">
        <v>300</v>
      </c>
      <c r="N317" s="10">
        <v>1200</v>
      </c>
    </row>
    <row r="318" spans="1:14" x14ac:dyDescent="0.2">
      <c r="A318">
        <v>953</v>
      </c>
      <c r="B318" s="5">
        <v>45042</v>
      </c>
      <c r="C318" s="5" t="str">
        <f>TEXT(Table2[[#This Row],[Date]], "MMM")</f>
        <v>Apr</v>
      </c>
      <c r="D318" s="8">
        <f>MONTH(Table2[[#This Row],[Date]])</f>
        <v>4</v>
      </c>
      <c r="E318" s="8">
        <f>YEAR(Table2[[#This Row],[Date]])</f>
        <v>2023</v>
      </c>
      <c r="F318" s="7" t="s">
        <v>966</v>
      </c>
      <c r="G318" s="7" t="s">
        <v>10</v>
      </c>
      <c r="H318" s="8">
        <v>45</v>
      </c>
      <c r="I318" s="8" t="str">
        <f>IF(Table2[[#This Row],[Age]] &lt; 19, "Teenagers", IF(Table2[[#This Row],[Age]] &lt;= 34, "Young Adults", IF(Table2[[#This Row],[Age]] &lt;= 45, "Adults", IF(Table2[[#This Row],[Age]] &lt;= 55, "Seniors", "Elderly")) ))</f>
        <v>Adults</v>
      </c>
      <c r="J318" s="7" t="s">
        <v>11</v>
      </c>
      <c r="K318" s="8">
        <v>3</v>
      </c>
      <c r="L318" s="8" t="str">
        <f>IF(Table2[[#This Row],[Quantity]]=1, "Single Order", IF(Table2[[#This Row],[Quantity]]=2, "Small Order", IF(Table2[[#This Row],[Quantity]]=3, "Medium Order", "Bulk Order")))</f>
        <v>Medium Order</v>
      </c>
      <c r="M318" s="10">
        <v>30</v>
      </c>
      <c r="N318" s="10">
        <v>90</v>
      </c>
    </row>
    <row r="319" spans="1:14" x14ac:dyDescent="0.2">
      <c r="A319">
        <v>967</v>
      </c>
      <c r="B319" s="5">
        <v>45033</v>
      </c>
      <c r="C319" s="5" t="str">
        <f>TEXT(Table2[[#This Row],[Date]], "MMM")</f>
        <v>Apr</v>
      </c>
      <c r="D319" s="8">
        <f>MONTH(Table2[[#This Row],[Date]])</f>
        <v>4</v>
      </c>
      <c r="E319" s="8">
        <f>YEAR(Table2[[#This Row],[Date]])</f>
        <v>2023</v>
      </c>
      <c r="F319" s="7" t="s">
        <v>980</v>
      </c>
      <c r="G319" s="7" t="s">
        <v>10</v>
      </c>
      <c r="H319" s="8">
        <v>62</v>
      </c>
      <c r="I319" s="8" t="str">
        <f>IF(Table2[[#This Row],[Age]] &lt; 19, "Teenagers", IF(Table2[[#This Row],[Age]] &lt;= 34, "Young Adults", IF(Table2[[#This Row],[Age]] &lt;= 45, "Adults", IF(Table2[[#This Row],[Age]] &lt;= 55, "Seniors", "Elderly")) ))</f>
        <v>Elderly</v>
      </c>
      <c r="J319" s="7" t="s">
        <v>11</v>
      </c>
      <c r="K319" s="8">
        <v>1</v>
      </c>
      <c r="L319" s="8" t="str">
        <f>IF(Table2[[#This Row],[Quantity]]=1, "Single Order", IF(Table2[[#This Row],[Quantity]]=2, "Small Order", IF(Table2[[#This Row],[Quantity]]=3, "Medium Order", "Bulk Order")))</f>
        <v>Single Order</v>
      </c>
      <c r="M319" s="10">
        <v>25</v>
      </c>
      <c r="N319" s="10">
        <v>25</v>
      </c>
    </row>
    <row r="320" spans="1:14" x14ac:dyDescent="0.2">
      <c r="A320">
        <v>969</v>
      </c>
      <c r="B320" s="5">
        <v>45035</v>
      </c>
      <c r="C320" s="5" t="str">
        <f>TEXT(Table2[[#This Row],[Date]], "MMM")</f>
        <v>Apr</v>
      </c>
      <c r="D320" s="8">
        <f>MONTH(Table2[[#This Row],[Date]])</f>
        <v>4</v>
      </c>
      <c r="E320" s="8">
        <f>YEAR(Table2[[#This Row],[Date]])</f>
        <v>2023</v>
      </c>
      <c r="F320" s="7" t="s">
        <v>982</v>
      </c>
      <c r="G320" s="7" t="s">
        <v>13</v>
      </c>
      <c r="H320" s="8">
        <v>40</v>
      </c>
      <c r="I320" s="8" t="str">
        <f>IF(Table2[[#This Row],[Age]] &lt; 19, "Teenagers", IF(Table2[[#This Row],[Age]] &lt;= 34, "Young Adults", IF(Table2[[#This Row],[Age]] &lt;= 45, "Adults", IF(Table2[[#This Row],[Age]] &lt;= 55, "Seniors", "Elderly")) ))</f>
        <v>Adults</v>
      </c>
      <c r="J320" s="7" t="s">
        <v>14</v>
      </c>
      <c r="K320" s="8">
        <v>3</v>
      </c>
      <c r="L320" s="8" t="str">
        <f>IF(Table2[[#This Row],[Quantity]]=1, "Single Order", IF(Table2[[#This Row],[Quantity]]=2, "Small Order", IF(Table2[[#This Row],[Quantity]]=3, "Medium Order", "Bulk Order")))</f>
        <v>Medium Order</v>
      </c>
      <c r="M320" s="10">
        <v>300</v>
      </c>
      <c r="N320" s="10">
        <v>900</v>
      </c>
    </row>
    <row r="321" spans="1:14" x14ac:dyDescent="0.2">
      <c r="A321">
        <v>987</v>
      </c>
      <c r="B321" s="5">
        <v>45045</v>
      </c>
      <c r="C321" s="5" t="str">
        <f>TEXT(Table2[[#This Row],[Date]], "MMM")</f>
        <v>Apr</v>
      </c>
      <c r="D321" s="8">
        <f>MONTH(Table2[[#This Row],[Date]])</f>
        <v>4</v>
      </c>
      <c r="E321" s="8">
        <f>YEAR(Table2[[#This Row],[Date]])</f>
        <v>2023</v>
      </c>
      <c r="F321" s="7" t="s">
        <v>1000</v>
      </c>
      <c r="G321" s="7" t="s">
        <v>13</v>
      </c>
      <c r="H321" s="8">
        <v>30</v>
      </c>
      <c r="I321" s="8" t="str">
        <f>IF(Table2[[#This Row],[Age]] &lt; 19, "Teenagers", IF(Table2[[#This Row],[Age]] &lt;= 34, "Young Adults", IF(Table2[[#This Row],[Age]] &lt;= 45, "Adults", IF(Table2[[#This Row],[Age]] &lt;= 55, "Seniors", "Elderly")) ))</f>
        <v>Young Adults</v>
      </c>
      <c r="J321" s="7" t="s">
        <v>14</v>
      </c>
      <c r="K321" s="8">
        <v>3</v>
      </c>
      <c r="L321" s="8" t="str">
        <f>IF(Table2[[#This Row],[Quantity]]=1, "Single Order", IF(Table2[[#This Row],[Quantity]]=2, "Small Order", IF(Table2[[#This Row],[Quantity]]=3, "Medium Order", "Bulk Order")))</f>
        <v>Medium Order</v>
      </c>
      <c r="M321" s="10">
        <v>300</v>
      </c>
      <c r="N321" s="10">
        <v>900</v>
      </c>
    </row>
    <row r="322" spans="1:14" x14ac:dyDescent="0.2">
      <c r="A322">
        <v>995</v>
      </c>
      <c r="B322" s="5">
        <v>45046</v>
      </c>
      <c r="C322" s="5" t="str">
        <f>TEXT(Table2[[#This Row],[Date]], "MMM")</f>
        <v>Apr</v>
      </c>
      <c r="D322" s="8">
        <f>MONTH(Table2[[#This Row],[Date]])</f>
        <v>4</v>
      </c>
      <c r="E322" s="8">
        <f>YEAR(Table2[[#This Row],[Date]])</f>
        <v>2023</v>
      </c>
      <c r="F322" s="7" t="s">
        <v>1008</v>
      </c>
      <c r="G322" s="7" t="s">
        <v>13</v>
      </c>
      <c r="H322" s="8">
        <v>41</v>
      </c>
      <c r="I322" s="8" t="str">
        <f>IF(Table2[[#This Row],[Age]] &lt; 19, "Teenagers", IF(Table2[[#This Row],[Age]] &lt;= 34, "Young Adults", IF(Table2[[#This Row],[Age]] &lt;= 45, "Adults", IF(Table2[[#This Row],[Age]] &lt;= 55, "Seniors", "Elderly")) ))</f>
        <v>Adults</v>
      </c>
      <c r="J322" s="7" t="s">
        <v>14</v>
      </c>
      <c r="K322" s="8">
        <v>1</v>
      </c>
      <c r="L322" s="8" t="str">
        <f>IF(Table2[[#This Row],[Quantity]]=1, "Single Order", IF(Table2[[#This Row],[Quantity]]=2, "Small Order", IF(Table2[[#This Row],[Quantity]]=3, "Medium Order", "Bulk Order")))</f>
        <v>Single Order</v>
      </c>
      <c r="M322" s="10">
        <v>30</v>
      </c>
      <c r="N322" s="10">
        <v>30</v>
      </c>
    </row>
    <row r="323" spans="1:14" x14ac:dyDescent="0.2">
      <c r="A323">
        <v>1000</v>
      </c>
      <c r="B323" s="5">
        <v>45028</v>
      </c>
      <c r="C323" s="5" t="str">
        <f>TEXT(Table2[[#This Row],[Date]], "MMM")</f>
        <v>Apr</v>
      </c>
      <c r="D323" s="8">
        <f>MONTH(Table2[[#This Row],[Date]])</f>
        <v>4</v>
      </c>
      <c r="E323" s="8">
        <f>YEAR(Table2[[#This Row],[Date]])</f>
        <v>2023</v>
      </c>
      <c r="F323" s="7" t="s">
        <v>1013</v>
      </c>
      <c r="G323" s="7" t="s">
        <v>10</v>
      </c>
      <c r="H323" s="8">
        <v>47</v>
      </c>
      <c r="I323" s="8" t="str">
        <f>IF(Table2[[#This Row],[Age]] &lt; 19, "Teenagers", IF(Table2[[#This Row],[Age]] &lt;= 34, "Young Adults", IF(Table2[[#This Row],[Age]] &lt;= 45, "Adults", IF(Table2[[#This Row],[Age]] &lt;= 55, "Seniors", "Elderly")) ))</f>
        <v>Seniors</v>
      </c>
      <c r="J323" s="7" t="s">
        <v>16</v>
      </c>
      <c r="K323" s="8">
        <v>4</v>
      </c>
      <c r="L323" s="8" t="str">
        <f>IF(Table2[[#This Row],[Quantity]]=1, "Single Order", IF(Table2[[#This Row],[Quantity]]=2, "Small Order", IF(Table2[[#This Row],[Quantity]]=3, "Medium Order", "Bulk Order")))</f>
        <v>Bulk Order</v>
      </c>
      <c r="M323" s="10">
        <v>30</v>
      </c>
      <c r="N323" s="10">
        <v>120</v>
      </c>
    </row>
    <row r="324" spans="1:14" x14ac:dyDescent="0.2">
      <c r="A324">
        <v>4</v>
      </c>
      <c r="B324" s="5">
        <v>45067</v>
      </c>
      <c r="C324" s="5" t="str">
        <f>TEXT(Table2[[#This Row],[Date]], "MMM")</f>
        <v>May</v>
      </c>
      <c r="D324" s="8">
        <f>MONTH(Table2[[#This Row],[Date]])</f>
        <v>5</v>
      </c>
      <c r="E324" s="8">
        <f>YEAR(Table2[[#This Row],[Date]])</f>
        <v>2023</v>
      </c>
      <c r="F324" s="7" t="s">
        <v>17</v>
      </c>
      <c r="G324" s="7" t="s">
        <v>10</v>
      </c>
      <c r="H324" s="8">
        <v>37</v>
      </c>
      <c r="I324" s="8" t="str">
        <f>IF(Table2[[#This Row],[Age]] &lt; 19, "Teenagers", IF(Table2[[#This Row],[Age]] &lt;= 34, "Young Adults", IF(Table2[[#This Row],[Age]] &lt;= 45, "Adults", IF(Table2[[#This Row],[Age]] &lt;= 55, "Seniors", "Elderly")) ))</f>
        <v>Adults</v>
      </c>
      <c r="J324" s="7" t="s">
        <v>14</v>
      </c>
      <c r="K324" s="8">
        <v>1</v>
      </c>
      <c r="L324" s="8" t="str">
        <f>IF(Table2[[#This Row],[Quantity]]=1, "Single Order", IF(Table2[[#This Row],[Quantity]]=2, "Small Order", IF(Table2[[#This Row],[Quantity]]=3, "Medium Order", "Bulk Order")))</f>
        <v>Single Order</v>
      </c>
      <c r="M324" s="10">
        <v>500</v>
      </c>
      <c r="N324" s="10">
        <v>500</v>
      </c>
    </row>
    <row r="325" spans="1:14" x14ac:dyDescent="0.2">
      <c r="A325">
        <v>5</v>
      </c>
      <c r="B325" s="5">
        <v>45052</v>
      </c>
      <c r="C325" s="5" t="str">
        <f>TEXT(Table2[[#This Row],[Date]], "MMM")</f>
        <v>May</v>
      </c>
      <c r="D325" s="8">
        <f>MONTH(Table2[[#This Row],[Date]])</f>
        <v>5</v>
      </c>
      <c r="E325" s="8">
        <f>YEAR(Table2[[#This Row],[Date]])</f>
        <v>2023</v>
      </c>
      <c r="F325" s="7" t="s">
        <v>18</v>
      </c>
      <c r="G325" s="7" t="s">
        <v>10</v>
      </c>
      <c r="H325" s="8">
        <v>30</v>
      </c>
      <c r="I325" s="8" t="str">
        <f>IF(Table2[[#This Row],[Age]] &lt; 19, "Teenagers", IF(Table2[[#This Row],[Age]] &lt;= 34, "Young Adults", IF(Table2[[#This Row],[Age]] &lt;= 45, "Adults", IF(Table2[[#This Row],[Age]] &lt;= 55, "Seniors", "Elderly")) ))</f>
        <v>Young Adults</v>
      </c>
      <c r="J325" s="7" t="s">
        <v>11</v>
      </c>
      <c r="K325" s="8">
        <v>2</v>
      </c>
      <c r="L325" s="8" t="str">
        <f>IF(Table2[[#This Row],[Quantity]]=1, "Single Order", IF(Table2[[#This Row],[Quantity]]=2, "Small Order", IF(Table2[[#This Row],[Quantity]]=3, "Medium Order", "Bulk Order")))</f>
        <v>Small Order</v>
      </c>
      <c r="M325" s="10">
        <v>50</v>
      </c>
      <c r="N325" s="10">
        <v>100</v>
      </c>
    </row>
    <row r="326" spans="1:14" x14ac:dyDescent="0.2">
      <c r="A326">
        <v>31</v>
      </c>
      <c r="B326" s="5">
        <v>45069</v>
      </c>
      <c r="C326" s="5" t="str">
        <f>TEXT(Table2[[#This Row],[Date]], "MMM")</f>
        <v>May</v>
      </c>
      <c r="D326" s="8">
        <f>MONTH(Table2[[#This Row],[Date]])</f>
        <v>5</v>
      </c>
      <c r="E326" s="8">
        <f>YEAR(Table2[[#This Row],[Date]])</f>
        <v>2023</v>
      </c>
      <c r="F326" s="7" t="s">
        <v>44</v>
      </c>
      <c r="G326" s="7" t="s">
        <v>10</v>
      </c>
      <c r="H326" s="8">
        <v>44</v>
      </c>
      <c r="I326" s="8" t="str">
        <f>IF(Table2[[#This Row],[Age]] &lt; 19, "Teenagers", IF(Table2[[#This Row],[Age]] &lt;= 34, "Young Adults", IF(Table2[[#This Row],[Age]] &lt;= 45, "Adults", IF(Table2[[#This Row],[Age]] &lt;= 55, "Seniors", "Elderly")) ))</f>
        <v>Adults</v>
      </c>
      <c r="J326" s="7" t="s">
        <v>16</v>
      </c>
      <c r="K326" s="8">
        <v>4</v>
      </c>
      <c r="L326" s="8" t="str">
        <f>IF(Table2[[#This Row],[Quantity]]=1, "Single Order", IF(Table2[[#This Row],[Quantity]]=2, "Small Order", IF(Table2[[#This Row],[Quantity]]=3, "Medium Order", "Bulk Order")))</f>
        <v>Bulk Order</v>
      </c>
      <c r="M326" s="10">
        <v>300</v>
      </c>
      <c r="N326" s="10">
        <v>1200</v>
      </c>
    </row>
    <row r="327" spans="1:14" x14ac:dyDescent="0.2">
      <c r="A327">
        <v>37</v>
      </c>
      <c r="B327" s="5">
        <v>45069</v>
      </c>
      <c r="C327" s="5" t="str">
        <f>TEXT(Table2[[#This Row],[Date]], "MMM")</f>
        <v>May</v>
      </c>
      <c r="D327" s="8">
        <f>MONTH(Table2[[#This Row],[Date]])</f>
        <v>5</v>
      </c>
      <c r="E327" s="8">
        <f>YEAR(Table2[[#This Row],[Date]])</f>
        <v>2023</v>
      </c>
      <c r="F327" s="7" t="s">
        <v>50</v>
      </c>
      <c r="G327" s="7" t="s">
        <v>13</v>
      </c>
      <c r="H327" s="8">
        <v>18</v>
      </c>
      <c r="I327" s="8" t="str">
        <f>IF(Table2[[#This Row],[Age]] &lt; 19, "Teenagers", IF(Table2[[#This Row],[Age]] &lt;= 34, "Young Adults", IF(Table2[[#This Row],[Age]] &lt;= 45, "Adults", IF(Table2[[#This Row],[Age]] &lt;= 55, "Seniors", "Elderly")) ))</f>
        <v>Teenagers</v>
      </c>
      <c r="J327" s="7" t="s">
        <v>11</v>
      </c>
      <c r="K327" s="8">
        <v>3</v>
      </c>
      <c r="L327" s="8" t="str">
        <f>IF(Table2[[#This Row],[Quantity]]=1, "Single Order", IF(Table2[[#This Row],[Quantity]]=2, "Small Order", IF(Table2[[#This Row],[Quantity]]=3, "Medium Order", "Bulk Order")))</f>
        <v>Medium Order</v>
      </c>
      <c r="M327" s="10">
        <v>25</v>
      </c>
      <c r="N327" s="10">
        <v>75</v>
      </c>
    </row>
    <row r="328" spans="1:14" x14ac:dyDescent="0.2">
      <c r="A328">
        <v>48</v>
      </c>
      <c r="B328" s="5">
        <v>45062</v>
      </c>
      <c r="C328" s="5" t="str">
        <f>TEXT(Table2[[#This Row],[Date]], "MMM")</f>
        <v>May</v>
      </c>
      <c r="D328" s="8">
        <f>MONTH(Table2[[#This Row],[Date]])</f>
        <v>5</v>
      </c>
      <c r="E328" s="8">
        <f>YEAR(Table2[[#This Row],[Date]])</f>
        <v>2023</v>
      </c>
      <c r="F328" s="7" t="s">
        <v>61</v>
      </c>
      <c r="G328" s="7" t="s">
        <v>10</v>
      </c>
      <c r="H328" s="8">
        <v>54</v>
      </c>
      <c r="I328" s="8" t="str">
        <f>IF(Table2[[#This Row],[Age]] &lt; 19, "Teenagers", IF(Table2[[#This Row],[Age]] &lt;= 34, "Young Adults", IF(Table2[[#This Row],[Age]] &lt;= 45, "Adults", IF(Table2[[#This Row],[Age]] &lt;= 55, "Seniors", "Elderly")) ))</f>
        <v>Seniors</v>
      </c>
      <c r="J328" s="7" t="s">
        <v>16</v>
      </c>
      <c r="K328" s="8">
        <v>3</v>
      </c>
      <c r="L328" s="8" t="str">
        <f>IF(Table2[[#This Row],[Quantity]]=1, "Single Order", IF(Table2[[#This Row],[Quantity]]=2, "Small Order", IF(Table2[[#This Row],[Quantity]]=3, "Medium Order", "Bulk Order")))</f>
        <v>Medium Order</v>
      </c>
      <c r="M328" s="10">
        <v>300</v>
      </c>
      <c r="N328" s="10">
        <v>900</v>
      </c>
    </row>
    <row r="329" spans="1:14" x14ac:dyDescent="0.2">
      <c r="A329">
        <v>56</v>
      </c>
      <c r="B329" s="5">
        <v>45077</v>
      </c>
      <c r="C329" s="5" t="str">
        <f>TEXT(Table2[[#This Row],[Date]], "MMM")</f>
        <v>May</v>
      </c>
      <c r="D329" s="8">
        <f>MONTH(Table2[[#This Row],[Date]])</f>
        <v>5</v>
      </c>
      <c r="E329" s="8">
        <f>YEAR(Table2[[#This Row],[Date]])</f>
        <v>2023</v>
      </c>
      <c r="F329" s="7" t="s">
        <v>69</v>
      </c>
      <c r="G329" s="7" t="s">
        <v>13</v>
      </c>
      <c r="H329" s="8">
        <v>26</v>
      </c>
      <c r="I329" s="8" t="str">
        <f>IF(Table2[[#This Row],[Age]] &lt; 19, "Teenagers", IF(Table2[[#This Row],[Age]] &lt;= 34, "Young Adults", IF(Table2[[#This Row],[Age]] &lt;= 45, "Adults", IF(Table2[[#This Row],[Age]] &lt;= 55, "Seniors", "Elderly")) ))</f>
        <v>Young Adults</v>
      </c>
      <c r="J329" s="7" t="s">
        <v>14</v>
      </c>
      <c r="K329" s="8">
        <v>3</v>
      </c>
      <c r="L329" s="8" t="str">
        <f>IF(Table2[[#This Row],[Quantity]]=1, "Single Order", IF(Table2[[#This Row],[Quantity]]=2, "Small Order", IF(Table2[[#This Row],[Quantity]]=3, "Medium Order", "Bulk Order")))</f>
        <v>Medium Order</v>
      </c>
      <c r="M329" s="10">
        <v>300</v>
      </c>
      <c r="N329" s="10">
        <v>900</v>
      </c>
    </row>
    <row r="330" spans="1:14" x14ac:dyDescent="0.2">
      <c r="A330">
        <v>67</v>
      </c>
      <c r="B330" s="5">
        <v>45075</v>
      </c>
      <c r="C330" s="5" t="str">
        <f>TEXT(Table2[[#This Row],[Date]], "MMM")</f>
        <v>May</v>
      </c>
      <c r="D330" s="8">
        <f>MONTH(Table2[[#This Row],[Date]])</f>
        <v>5</v>
      </c>
      <c r="E330" s="8">
        <f>YEAR(Table2[[#This Row],[Date]])</f>
        <v>2023</v>
      </c>
      <c r="F330" s="7" t="s">
        <v>80</v>
      </c>
      <c r="G330" s="7" t="s">
        <v>13</v>
      </c>
      <c r="H330" s="8">
        <v>48</v>
      </c>
      <c r="I330" s="8" t="str">
        <f>IF(Table2[[#This Row],[Age]] &lt; 19, "Teenagers", IF(Table2[[#This Row],[Age]] &lt;= 34, "Young Adults", IF(Table2[[#This Row],[Age]] &lt;= 45, "Adults", IF(Table2[[#This Row],[Age]] &lt;= 55, "Seniors", "Elderly")) ))</f>
        <v>Seniors</v>
      </c>
      <c r="J330" s="7" t="s">
        <v>11</v>
      </c>
      <c r="K330" s="8">
        <v>4</v>
      </c>
      <c r="L330" s="8" t="str">
        <f>IF(Table2[[#This Row],[Quantity]]=1, "Single Order", IF(Table2[[#This Row],[Quantity]]=2, "Small Order", IF(Table2[[#This Row],[Quantity]]=3, "Medium Order", "Bulk Order")))</f>
        <v>Bulk Order</v>
      </c>
      <c r="M330" s="10">
        <v>300</v>
      </c>
      <c r="N330" s="10">
        <v>1200</v>
      </c>
    </row>
    <row r="331" spans="1:14" x14ac:dyDescent="0.2">
      <c r="A331">
        <v>72</v>
      </c>
      <c r="B331" s="5">
        <v>45069</v>
      </c>
      <c r="C331" s="5" t="str">
        <f>TEXT(Table2[[#This Row],[Date]], "MMM")</f>
        <v>May</v>
      </c>
      <c r="D331" s="8">
        <f>MONTH(Table2[[#This Row],[Date]])</f>
        <v>5</v>
      </c>
      <c r="E331" s="8">
        <f>YEAR(Table2[[#This Row],[Date]])</f>
        <v>2023</v>
      </c>
      <c r="F331" s="7" t="s">
        <v>85</v>
      </c>
      <c r="G331" s="7" t="s">
        <v>13</v>
      </c>
      <c r="H331" s="8">
        <v>20</v>
      </c>
      <c r="I331" s="8" t="str">
        <f>IF(Table2[[#This Row],[Age]] &lt; 19, "Teenagers", IF(Table2[[#This Row],[Age]] &lt;= 34, "Young Adults", IF(Table2[[#This Row],[Age]] &lt;= 45, "Adults", IF(Table2[[#This Row],[Age]] &lt;= 55, "Seniors", "Elderly")) ))</f>
        <v>Young Adults</v>
      </c>
      <c r="J331" s="7" t="s">
        <v>16</v>
      </c>
      <c r="K331" s="8">
        <v>4</v>
      </c>
      <c r="L331" s="8" t="str">
        <f>IF(Table2[[#This Row],[Quantity]]=1, "Single Order", IF(Table2[[#This Row],[Quantity]]=2, "Small Order", IF(Table2[[#This Row],[Quantity]]=3, "Medium Order", "Bulk Order")))</f>
        <v>Bulk Order</v>
      </c>
      <c r="M331" s="10">
        <v>500</v>
      </c>
      <c r="N331" s="10">
        <v>2000</v>
      </c>
    </row>
    <row r="332" spans="1:14" x14ac:dyDescent="0.2">
      <c r="A332">
        <v>81</v>
      </c>
      <c r="B332" s="5">
        <v>45063</v>
      </c>
      <c r="C332" s="5" t="str">
        <f>TEXT(Table2[[#This Row],[Date]], "MMM")</f>
        <v>May</v>
      </c>
      <c r="D332" s="8">
        <f>MONTH(Table2[[#This Row],[Date]])</f>
        <v>5</v>
      </c>
      <c r="E332" s="8">
        <f>YEAR(Table2[[#This Row],[Date]])</f>
        <v>2023</v>
      </c>
      <c r="F332" s="7" t="s">
        <v>94</v>
      </c>
      <c r="G332" s="7" t="s">
        <v>10</v>
      </c>
      <c r="H332" s="8">
        <v>40</v>
      </c>
      <c r="I332" s="8" t="str">
        <f>IF(Table2[[#This Row],[Age]] &lt; 19, "Teenagers", IF(Table2[[#This Row],[Age]] &lt;= 34, "Young Adults", IF(Table2[[#This Row],[Age]] &lt;= 45, "Adults", IF(Table2[[#This Row],[Age]] &lt;= 55, "Seniors", "Elderly")) ))</f>
        <v>Adults</v>
      </c>
      <c r="J332" s="7" t="s">
        <v>16</v>
      </c>
      <c r="K332" s="8">
        <v>1</v>
      </c>
      <c r="L332" s="8" t="str">
        <f>IF(Table2[[#This Row],[Quantity]]=1, "Single Order", IF(Table2[[#This Row],[Quantity]]=2, "Small Order", IF(Table2[[#This Row],[Quantity]]=3, "Medium Order", "Bulk Order")))</f>
        <v>Single Order</v>
      </c>
      <c r="M332" s="10">
        <v>50</v>
      </c>
      <c r="N332" s="10">
        <v>50</v>
      </c>
    </row>
    <row r="333" spans="1:14" x14ac:dyDescent="0.2">
      <c r="A333">
        <v>90</v>
      </c>
      <c r="B333" s="5">
        <v>45052</v>
      </c>
      <c r="C333" s="5" t="str">
        <f>TEXT(Table2[[#This Row],[Date]], "MMM")</f>
        <v>May</v>
      </c>
      <c r="D333" s="8">
        <f>MONTH(Table2[[#This Row],[Date]])</f>
        <v>5</v>
      </c>
      <c r="E333" s="8">
        <f>YEAR(Table2[[#This Row],[Date]])</f>
        <v>2023</v>
      </c>
      <c r="F333" s="7" t="s">
        <v>103</v>
      </c>
      <c r="G333" s="7" t="s">
        <v>13</v>
      </c>
      <c r="H333" s="8">
        <v>51</v>
      </c>
      <c r="I333" s="8" t="str">
        <f>IF(Table2[[#This Row],[Age]] &lt; 19, "Teenagers", IF(Table2[[#This Row],[Age]] &lt;= 34, "Young Adults", IF(Table2[[#This Row],[Age]] &lt;= 45, "Adults", IF(Table2[[#This Row],[Age]] &lt;= 55, "Seniors", "Elderly")) ))</f>
        <v>Seniors</v>
      </c>
      <c r="J333" s="7" t="s">
        <v>16</v>
      </c>
      <c r="K333" s="8">
        <v>1</v>
      </c>
      <c r="L333" s="8" t="str">
        <f>IF(Table2[[#This Row],[Quantity]]=1, "Single Order", IF(Table2[[#This Row],[Quantity]]=2, "Small Order", IF(Table2[[#This Row],[Quantity]]=3, "Medium Order", "Bulk Order")))</f>
        <v>Single Order</v>
      </c>
      <c r="M333" s="10">
        <v>30</v>
      </c>
      <c r="N333" s="10">
        <v>30</v>
      </c>
    </row>
    <row r="334" spans="1:14" x14ac:dyDescent="0.2">
      <c r="A334">
        <v>94</v>
      </c>
      <c r="B334" s="5">
        <v>45065</v>
      </c>
      <c r="C334" s="5" t="str">
        <f>TEXT(Table2[[#This Row],[Date]], "MMM")</f>
        <v>May</v>
      </c>
      <c r="D334" s="8">
        <f>MONTH(Table2[[#This Row],[Date]])</f>
        <v>5</v>
      </c>
      <c r="E334" s="8">
        <f>YEAR(Table2[[#This Row],[Date]])</f>
        <v>2023</v>
      </c>
      <c r="F334" s="7" t="s">
        <v>107</v>
      </c>
      <c r="G334" s="7" t="s">
        <v>13</v>
      </c>
      <c r="H334" s="8">
        <v>47</v>
      </c>
      <c r="I334" s="8" t="str">
        <f>IF(Table2[[#This Row],[Age]] &lt; 19, "Teenagers", IF(Table2[[#This Row],[Age]] &lt;= 34, "Young Adults", IF(Table2[[#This Row],[Age]] &lt;= 45, "Adults", IF(Table2[[#This Row],[Age]] &lt;= 55, "Seniors", "Elderly")) ))</f>
        <v>Seniors</v>
      </c>
      <c r="J334" s="7" t="s">
        <v>11</v>
      </c>
      <c r="K334" s="8">
        <v>2</v>
      </c>
      <c r="L334" s="8" t="str">
        <f>IF(Table2[[#This Row],[Quantity]]=1, "Single Order", IF(Table2[[#This Row],[Quantity]]=2, "Small Order", IF(Table2[[#This Row],[Quantity]]=3, "Medium Order", "Bulk Order")))</f>
        <v>Small Order</v>
      </c>
      <c r="M334" s="10">
        <v>500</v>
      </c>
      <c r="N334" s="10">
        <v>1000</v>
      </c>
    </row>
    <row r="335" spans="1:14" x14ac:dyDescent="0.2">
      <c r="A335">
        <v>106</v>
      </c>
      <c r="B335" s="5">
        <v>45064</v>
      </c>
      <c r="C335" s="5" t="str">
        <f>TEXT(Table2[[#This Row],[Date]], "MMM")</f>
        <v>May</v>
      </c>
      <c r="D335" s="8">
        <f>MONTH(Table2[[#This Row],[Date]])</f>
        <v>5</v>
      </c>
      <c r="E335" s="8">
        <f>YEAR(Table2[[#This Row],[Date]])</f>
        <v>2023</v>
      </c>
      <c r="F335" s="7" t="s">
        <v>119</v>
      </c>
      <c r="G335" s="7" t="s">
        <v>13</v>
      </c>
      <c r="H335" s="8">
        <v>46</v>
      </c>
      <c r="I335" s="8" t="str">
        <f>IF(Table2[[#This Row],[Age]] &lt; 19, "Teenagers", IF(Table2[[#This Row],[Age]] &lt;= 34, "Young Adults", IF(Table2[[#This Row],[Age]] &lt;= 45, "Adults", IF(Table2[[#This Row],[Age]] &lt;= 55, "Seniors", "Elderly")) ))</f>
        <v>Seniors</v>
      </c>
      <c r="J335" s="7" t="s">
        <v>14</v>
      </c>
      <c r="K335" s="8">
        <v>1</v>
      </c>
      <c r="L335" s="8" t="str">
        <f>IF(Table2[[#This Row],[Quantity]]=1, "Single Order", IF(Table2[[#This Row],[Quantity]]=2, "Small Order", IF(Table2[[#This Row],[Quantity]]=3, "Medium Order", "Bulk Order")))</f>
        <v>Single Order</v>
      </c>
      <c r="M335" s="10">
        <v>50</v>
      </c>
      <c r="N335" s="10">
        <v>50</v>
      </c>
    </row>
    <row r="336" spans="1:14" x14ac:dyDescent="0.2">
      <c r="A336">
        <v>118</v>
      </c>
      <c r="B336" s="5">
        <v>45062</v>
      </c>
      <c r="C336" s="5" t="str">
        <f>TEXT(Table2[[#This Row],[Date]], "MMM")</f>
        <v>May</v>
      </c>
      <c r="D336" s="8">
        <f>MONTH(Table2[[#This Row],[Date]])</f>
        <v>5</v>
      </c>
      <c r="E336" s="8">
        <f>YEAR(Table2[[#This Row],[Date]])</f>
        <v>2023</v>
      </c>
      <c r="F336" s="7" t="s">
        <v>131</v>
      </c>
      <c r="G336" s="7" t="s">
        <v>13</v>
      </c>
      <c r="H336" s="8">
        <v>30</v>
      </c>
      <c r="I336" s="8" t="str">
        <f>IF(Table2[[#This Row],[Age]] &lt; 19, "Teenagers", IF(Table2[[#This Row],[Age]] &lt;= 34, "Young Adults", IF(Table2[[#This Row],[Age]] &lt;= 45, "Adults", IF(Table2[[#This Row],[Age]] &lt;= 55, "Seniors", "Elderly")) ))</f>
        <v>Young Adults</v>
      </c>
      <c r="J336" s="7" t="s">
        <v>16</v>
      </c>
      <c r="K336" s="8">
        <v>4</v>
      </c>
      <c r="L336" s="8" t="str">
        <f>IF(Table2[[#This Row],[Quantity]]=1, "Single Order", IF(Table2[[#This Row],[Quantity]]=2, "Small Order", IF(Table2[[#This Row],[Quantity]]=3, "Medium Order", "Bulk Order")))</f>
        <v>Bulk Order</v>
      </c>
      <c r="M336" s="10">
        <v>500</v>
      </c>
      <c r="N336" s="10">
        <v>2000</v>
      </c>
    </row>
    <row r="337" spans="1:14" x14ac:dyDescent="0.2">
      <c r="A337">
        <v>120</v>
      </c>
      <c r="B337" s="5">
        <v>45053</v>
      </c>
      <c r="C337" s="5" t="str">
        <f>TEXT(Table2[[#This Row],[Date]], "MMM")</f>
        <v>May</v>
      </c>
      <c r="D337" s="8">
        <f>MONTH(Table2[[#This Row],[Date]])</f>
        <v>5</v>
      </c>
      <c r="E337" s="8">
        <f>YEAR(Table2[[#This Row],[Date]])</f>
        <v>2023</v>
      </c>
      <c r="F337" s="7" t="s">
        <v>133</v>
      </c>
      <c r="G337" s="7" t="s">
        <v>10</v>
      </c>
      <c r="H337" s="8">
        <v>60</v>
      </c>
      <c r="I337" s="8" t="str">
        <f>IF(Table2[[#This Row],[Age]] &lt; 19, "Teenagers", IF(Table2[[#This Row],[Age]] &lt;= 34, "Young Adults", IF(Table2[[#This Row],[Age]] &lt;= 45, "Adults", IF(Table2[[#This Row],[Age]] &lt;= 55, "Seniors", "Elderly")) ))</f>
        <v>Elderly</v>
      </c>
      <c r="J337" s="7" t="s">
        <v>11</v>
      </c>
      <c r="K337" s="8">
        <v>1</v>
      </c>
      <c r="L337" s="8" t="str">
        <f>IF(Table2[[#This Row],[Quantity]]=1, "Single Order", IF(Table2[[#This Row],[Quantity]]=2, "Small Order", IF(Table2[[#This Row],[Quantity]]=3, "Medium Order", "Bulk Order")))</f>
        <v>Single Order</v>
      </c>
      <c r="M337" s="10">
        <v>50</v>
      </c>
      <c r="N337" s="10">
        <v>50</v>
      </c>
    </row>
    <row r="338" spans="1:14" x14ac:dyDescent="0.2">
      <c r="A338">
        <v>123</v>
      </c>
      <c r="B338" s="5">
        <v>45061</v>
      </c>
      <c r="C338" s="5" t="str">
        <f>TEXT(Table2[[#This Row],[Date]], "MMM")</f>
        <v>May</v>
      </c>
      <c r="D338" s="8">
        <f>MONTH(Table2[[#This Row],[Date]])</f>
        <v>5</v>
      </c>
      <c r="E338" s="8">
        <f>YEAR(Table2[[#This Row],[Date]])</f>
        <v>2023</v>
      </c>
      <c r="F338" s="7" t="s">
        <v>136</v>
      </c>
      <c r="G338" s="7" t="s">
        <v>13</v>
      </c>
      <c r="H338" s="8">
        <v>40</v>
      </c>
      <c r="I338" s="8" t="str">
        <f>IF(Table2[[#This Row],[Age]] &lt; 19, "Teenagers", IF(Table2[[#This Row],[Age]] &lt;= 34, "Young Adults", IF(Table2[[#This Row],[Age]] &lt;= 45, "Adults", IF(Table2[[#This Row],[Age]] &lt;= 55, "Seniors", "Elderly")) ))</f>
        <v>Adults</v>
      </c>
      <c r="J338" s="7" t="s">
        <v>16</v>
      </c>
      <c r="K338" s="8">
        <v>2</v>
      </c>
      <c r="L338" s="8" t="str">
        <f>IF(Table2[[#This Row],[Quantity]]=1, "Single Order", IF(Table2[[#This Row],[Quantity]]=2, "Small Order", IF(Table2[[#This Row],[Quantity]]=3, "Medium Order", "Bulk Order")))</f>
        <v>Small Order</v>
      </c>
      <c r="M338" s="10">
        <v>30</v>
      </c>
      <c r="N338" s="10">
        <v>60</v>
      </c>
    </row>
    <row r="339" spans="1:14" x14ac:dyDescent="0.2">
      <c r="A339">
        <v>148</v>
      </c>
      <c r="B339" s="5">
        <v>45055</v>
      </c>
      <c r="C339" s="5" t="str">
        <f>TEXT(Table2[[#This Row],[Date]], "MMM")</f>
        <v>May</v>
      </c>
      <c r="D339" s="8">
        <f>MONTH(Table2[[#This Row],[Date]])</f>
        <v>5</v>
      </c>
      <c r="E339" s="8">
        <f>YEAR(Table2[[#This Row],[Date]])</f>
        <v>2023</v>
      </c>
      <c r="F339" s="7" t="s">
        <v>161</v>
      </c>
      <c r="G339" s="7" t="s">
        <v>10</v>
      </c>
      <c r="H339" s="8">
        <v>18</v>
      </c>
      <c r="I339" s="8" t="str">
        <f>IF(Table2[[#This Row],[Age]] &lt; 19, "Teenagers", IF(Table2[[#This Row],[Age]] &lt;= 34, "Young Adults", IF(Table2[[#This Row],[Age]] &lt;= 45, "Adults", IF(Table2[[#This Row],[Age]] &lt;= 55, "Seniors", "Elderly")) ))</f>
        <v>Teenagers</v>
      </c>
      <c r="J339" s="7" t="s">
        <v>14</v>
      </c>
      <c r="K339" s="8">
        <v>2</v>
      </c>
      <c r="L339" s="8" t="str">
        <f>IF(Table2[[#This Row],[Quantity]]=1, "Single Order", IF(Table2[[#This Row],[Quantity]]=2, "Small Order", IF(Table2[[#This Row],[Quantity]]=3, "Medium Order", "Bulk Order")))</f>
        <v>Small Order</v>
      </c>
      <c r="M339" s="10">
        <v>30</v>
      </c>
      <c r="N339" s="10">
        <v>60</v>
      </c>
    </row>
    <row r="340" spans="1:14" x14ac:dyDescent="0.2">
      <c r="A340">
        <v>155</v>
      </c>
      <c r="B340" s="5">
        <v>45063</v>
      </c>
      <c r="C340" s="5" t="str">
        <f>TEXT(Table2[[#This Row],[Date]], "MMM")</f>
        <v>May</v>
      </c>
      <c r="D340" s="8">
        <f>MONTH(Table2[[#This Row],[Date]])</f>
        <v>5</v>
      </c>
      <c r="E340" s="8">
        <f>YEAR(Table2[[#This Row],[Date]])</f>
        <v>2023</v>
      </c>
      <c r="F340" s="7" t="s">
        <v>168</v>
      </c>
      <c r="G340" s="7" t="s">
        <v>10</v>
      </c>
      <c r="H340" s="8">
        <v>31</v>
      </c>
      <c r="I340" s="8" t="str">
        <f>IF(Table2[[#This Row],[Age]] &lt; 19, "Teenagers", IF(Table2[[#This Row],[Age]] &lt;= 34, "Young Adults", IF(Table2[[#This Row],[Age]] &lt;= 45, "Adults", IF(Table2[[#This Row],[Age]] &lt;= 55, "Seniors", "Elderly")) ))</f>
        <v>Young Adults</v>
      </c>
      <c r="J340" s="7" t="s">
        <v>16</v>
      </c>
      <c r="K340" s="8">
        <v>4</v>
      </c>
      <c r="L340" s="8" t="str">
        <f>IF(Table2[[#This Row],[Quantity]]=1, "Single Order", IF(Table2[[#This Row],[Quantity]]=2, "Small Order", IF(Table2[[#This Row],[Quantity]]=3, "Medium Order", "Bulk Order")))</f>
        <v>Bulk Order</v>
      </c>
      <c r="M340" s="10">
        <v>500</v>
      </c>
      <c r="N340" s="10">
        <v>2000</v>
      </c>
    </row>
    <row r="341" spans="1:14" x14ac:dyDescent="0.2">
      <c r="A341">
        <v>159</v>
      </c>
      <c r="B341" s="5">
        <v>45077</v>
      </c>
      <c r="C341" s="5" t="str">
        <f>TEXT(Table2[[#This Row],[Date]], "MMM")</f>
        <v>May</v>
      </c>
      <c r="D341" s="8">
        <f>MONTH(Table2[[#This Row],[Date]])</f>
        <v>5</v>
      </c>
      <c r="E341" s="8">
        <f>YEAR(Table2[[#This Row],[Date]])</f>
        <v>2023</v>
      </c>
      <c r="F341" s="7" t="s">
        <v>172</v>
      </c>
      <c r="G341" s="7" t="s">
        <v>10</v>
      </c>
      <c r="H341" s="8">
        <v>26</v>
      </c>
      <c r="I341" s="8" t="str">
        <f>IF(Table2[[#This Row],[Age]] &lt; 19, "Teenagers", IF(Table2[[#This Row],[Age]] &lt;= 34, "Young Adults", IF(Table2[[#This Row],[Age]] &lt;= 45, "Adults", IF(Table2[[#This Row],[Age]] &lt;= 55, "Seniors", "Elderly")) ))</f>
        <v>Young Adults</v>
      </c>
      <c r="J341" s="7" t="s">
        <v>14</v>
      </c>
      <c r="K341" s="8">
        <v>4</v>
      </c>
      <c r="L341" s="8" t="str">
        <f>IF(Table2[[#This Row],[Quantity]]=1, "Single Order", IF(Table2[[#This Row],[Quantity]]=2, "Small Order", IF(Table2[[#This Row],[Quantity]]=3, "Medium Order", "Bulk Order")))</f>
        <v>Bulk Order</v>
      </c>
      <c r="M341" s="10">
        <v>50</v>
      </c>
      <c r="N341" s="10">
        <v>200</v>
      </c>
    </row>
    <row r="342" spans="1:14" x14ac:dyDescent="0.2">
      <c r="A342">
        <v>164</v>
      </c>
      <c r="B342" s="5">
        <v>45061</v>
      </c>
      <c r="C342" s="5" t="str">
        <f>TEXT(Table2[[#This Row],[Date]], "MMM")</f>
        <v>May</v>
      </c>
      <c r="D342" s="8">
        <f>MONTH(Table2[[#This Row],[Date]])</f>
        <v>5</v>
      </c>
      <c r="E342" s="8">
        <f>YEAR(Table2[[#This Row],[Date]])</f>
        <v>2023</v>
      </c>
      <c r="F342" s="7" t="s">
        <v>177</v>
      </c>
      <c r="G342" s="7" t="s">
        <v>13</v>
      </c>
      <c r="H342" s="8">
        <v>47</v>
      </c>
      <c r="I342" s="8" t="str">
        <f>IF(Table2[[#This Row],[Age]] &lt; 19, "Teenagers", IF(Table2[[#This Row],[Age]] &lt;= 34, "Young Adults", IF(Table2[[#This Row],[Age]] &lt;= 45, "Adults", IF(Table2[[#This Row],[Age]] &lt;= 55, "Seniors", "Elderly")) ))</f>
        <v>Seniors</v>
      </c>
      <c r="J342" s="7" t="s">
        <v>11</v>
      </c>
      <c r="K342" s="8">
        <v>3</v>
      </c>
      <c r="L342" s="8" t="str">
        <f>IF(Table2[[#This Row],[Quantity]]=1, "Single Order", IF(Table2[[#This Row],[Quantity]]=2, "Small Order", IF(Table2[[#This Row],[Quantity]]=3, "Medium Order", "Bulk Order")))</f>
        <v>Medium Order</v>
      </c>
      <c r="M342" s="10">
        <v>500</v>
      </c>
      <c r="N342" s="10">
        <v>1500</v>
      </c>
    </row>
    <row r="343" spans="1:14" x14ac:dyDescent="0.2">
      <c r="A343">
        <v>188</v>
      </c>
      <c r="B343" s="5">
        <v>45049</v>
      </c>
      <c r="C343" s="5" t="str">
        <f>TEXT(Table2[[#This Row],[Date]], "MMM")</f>
        <v>May</v>
      </c>
      <c r="D343" s="8">
        <f>MONTH(Table2[[#This Row],[Date]])</f>
        <v>5</v>
      </c>
      <c r="E343" s="8">
        <f>YEAR(Table2[[#This Row],[Date]])</f>
        <v>2023</v>
      </c>
      <c r="F343" s="7" t="s">
        <v>201</v>
      </c>
      <c r="G343" s="7" t="s">
        <v>10</v>
      </c>
      <c r="H343" s="8">
        <v>40</v>
      </c>
      <c r="I343" s="8" t="str">
        <f>IF(Table2[[#This Row],[Age]] &lt; 19, "Teenagers", IF(Table2[[#This Row],[Age]] &lt;= 34, "Young Adults", IF(Table2[[#This Row],[Age]] &lt;= 45, "Adults", IF(Table2[[#This Row],[Age]] &lt;= 55, "Seniors", "Elderly")) ))</f>
        <v>Adults</v>
      </c>
      <c r="J343" s="7" t="s">
        <v>14</v>
      </c>
      <c r="K343" s="8">
        <v>3</v>
      </c>
      <c r="L343" s="8" t="str">
        <f>IF(Table2[[#This Row],[Quantity]]=1, "Single Order", IF(Table2[[#This Row],[Quantity]]=2, "Small Order", IF(Table2[[#This Row],[Quantity]]=3, "Medium Order", "Bulk Order")))</f>
        <v>Medium Order</v>
      </c>
      <c r="M343" s="10">
        <v>25</v>
      </c>
      <c r="N343" s="10">
        <v>75</v>
      </c>
    </row>
    <row r="344" spans="1:14" x14ac:dyDescent="0.2">
      <c r="A344">
        <v>190</v>
      </c>
      <c r="B344" s="5">
        <v>45050</v>
      </c>
      <c r="C344" s="5" t="str">
        <f>TEXT(Table2[[#This Row],[Date]], "MMM")</f>
        <v>May</v>
      </c>
      <c r="D344" s="8">
        <f>MONTH(Table2[[#This Row],[Date]])</f>
        <v>5</v>
      </c>
      <c r="E344" s="8">
        <f>YEAR(Table2[[#This Row],[Date]])</f>
        <v>2023</v>
      </c>
      <c r="F344" s="7" t="s">
        <v>203</v>
      </c>
      <c r="G344" s="7" t="s">
        <v>13</v>
      </c>
      <c r="H344" s="8">
        <v>60</v>
      </c>
      <c r="I344" s="8" t="str">
        <f>IF(Table2[[#This Row],[Age]] &lt; 19, "Teenagers", IF(Table2[[#This Row],[Age]] &lt;= 34, "Young Adults", IF(Table2[[#This Row],[Age]] &lt;= 45, "Adults", IF(Table2[[#This Row],[Age]] &lt;= 55, "Seniors", "Elderly")) ))</f>
        <v>Elderly</v>
      </c>
      <c r="J344" s="7" t="s">
        <v>11</v>
      </c>
      <c r="K344" s="8">
        <v>3</v>
      </c>
      <c r="L344" s="8" t="str">
        <f>IF(Table2[[#This Row],[Quantity]]=1, "Single Order", IF(Table2[[#This Row],[Quantity]]=2, "Small Order", IF(Table2[[#This Row],[Quantity]]=3, "Medium Order", "Bulk Order")))</f>
        <v>Medium Order</v>
      </c>
      <c r="M344" s="10">
        <v>30</v>
      </c>
      <c r="N344" s="10">
        <v>90</v>
      </c>
    </row>
    <row r="345" spans="1:14" x14ac:dyDescent="0.2">
      <c r="A345">
        <v>203</v>
      </c>
      <c r="B345" s="5">
        <v>45062</v>
      </c>
      <c r="C345" s="5" t="str">
        <f>TEXT(Table2[[#This Row],[Date]], "MMM")</f>
        <v>May</v>
      </c>
      <c r="D345" s="8">
        <f>MONTH(Table2[[#This Row],[Date]])</f>
        <v>5</v>
      </c>
      <c r="E345" s="8">
        <f>YEAR(Table2[[#This Row],[Date]])</f>
        <v>2023</v>
      </c>
      <c r="F345" s="7" t="s">
        <v>216</v>
      </c>
      <c r="G345" s="7" t="s">
        <v>10</v>
      </c>
      <c r="H345" s="8">
        <v>56</v>
      </c>
      <c r="I345" s="8" t="str">
        <f>IF(Table2[[#This Row],[Age]] &lt; 19, "Teenagers", IF(Table2[[#This Row],[Age]] &lt;= 34, "Young Adults", IF(Table2[[#This Row],[Age]] &lt;= 45, "Adults", IF(Table2[[#This Row],[Age]] &lt;= 55, "Seniors", "Elderly")) ))</f>
        <v>Elderly</v>
      </c>
      <c r="J345" s="7" t="s">
        <v>14</v>
      </c>
      <c r="K345" s="8">
        <v>2</v>
      </c>
      <c r="L345" s="8" t="str">
        <f>IF(Table2[[#This Row],[Quantity]]=1, "Single Order", IF(Table2[[#This Row],[Quantity]]=2, "Small Order", IF(Table2[[#This Row],[Quantity]]=3, "Medium Order", "Bulk Order")))</f>
        <v>Small Order</v>
      </c>
      <c r="M345" s="10">
        <v>500</v>
      </c>
      <c r="N345" s="10">
        <v>1000</v>
      </c>
    </row>
    <row r="346" spans="1:14" x14ac:dyDescent="0.2">
      <c r="A346">
        <v>221</v>
      </c>
      <c r="B346" s="5">
        <v>45053</v>
      </c>
      <c r="C346" s="5" t="str">
        <f>TEXT(Table2[[#This Row],[Date]], "MMM")</f>
        <v>May</v>
      </c>
      <c r="D346" s="8">
        <f>MONTH(Table2[[#This Row],[Date]])</f>
        <v>5</v>
      </c>
      <c r="E346" s="8">
        <f>YEAR(Table2[[#This Row],[Date]])</f>
        <v>2023</v>
      </c>
      <c r="F346" s="7" t="s">
        <v>234</v>
      </c>
      <c r="G346" s="7" t="s">
        <v>10</v>
      </c>
      <c r="H346" s="8">
        <v>39</v>
      </c>
      <c r="I346" s="8" t="str">
        <f>IF(Table2[[#This Row],[Age]] &lt; 19, "Teenagers", IF(Table2[[#This Row],[Age]] &lt;= 34, "Young Adults", IF(Table2[[#This Row],[Age]] &lt;= 45, "Adults", IF(Table2[[#This Row],[Age]] &lt;= 55, "Seniors", "Elderly")) ))</f>
        <v>Adults</v>
      </c>
      <c r="J346" s="7" t="s">
        <v>11</v>
      </c>
      <c r="K346" s="8">
        <v>2</v>
      </c>
      <c r="L346" s="8" t="str">
        <f>IF(Table2[[#This Row],[Quantity]]=1, "Single Order", IF(Table2[[#This Row],[Quantity]]=2, "Small Order", IF(Table2[[#This Row],[Quantity]]=3, "Medium Order", "Bulk Order")))</f>
        <v>Small Order</v>
      </c>
      <c r="M346" s="10">
        <v>300</v>
      </c>
      <c r="N346" s="10">
        <v>600</v>
      </c>
    </row>
    <row r="347" spans="1:14" x14ac:dyDescent="0.2">
      <c r="A347">
        <v>242</v>
      </c>
      <c r="B347" s="5">
        <v>45048</v>
      </c>
      <c r="C347" s="5" t="str">
        <f>TEXT(Table2[[#This Row],[Date]], "MMM")</f>
        <v>May</v>
      </c>
      <c r="D347" s="8">
        <f>MONTH(Table2[[#This Row],[Date]])</f>
        <v>5</v>
      </c>
      <c r="E347" s="8">
        <f>YEAR(Table2[[#This Row],[Date]])</f>
        <v>2023</v>
      </c>
      <c r="F347" s="7" t="s">
        <v>255</v>
      </c>
      <c r="G347" s="7" t="s">
        <v>10</v>
      </c>
      <c r="H347" s="8">
        <v>21</v>
      </c>
      <c r="I347" s="8" t="str">
        <f>IF(Table2[[#This Row],[Age]] &lt; 19, "Teenagers", IF(Table2[[#This Row],[Age]] &lt;= 34, "Young Adults", IF(Table2[[#This Row],[Age]] &lt;= 45, "Adults", IF(Table2[[#This Row],[Age]] &lt;= 55, "Seniors", "Elderly")) ))</f>
        <v>Young Adults</v>
      </c>
      <c r="J347" s="7" t="s">
        <v>14</v>
      </c>
      <c r="K347" s="8">
        <v>1</v>
      </c>
      <c r="L347" s="8" t="str">
        <f>IF(Table2[[#This Row],[Quantity]]=1, "Single Order", IF(Table2[[#This Row],[Quantity]]=2, "Small Order", IF(Table2[[#This Row],[Quantity]]=3, "Medium Order", "Bulk Order")))</f>
        <v>Single Order</v>
      </c>
      <c r="M347" s="10">
        <v>25</v>
      </c>
      <c r="N347" s="10">
        <v>25</v>
      </c>
    </row>
    <row r="348" spans="1:14" x14ac:dyDescent="0.2">
      <c r="A348">
        <v>243</v>
      </c>
      <c r="B348" s="5">
        <v>45069</v>
      </c>
      <c r="C348" s="5" t="str">
        <f>TEXT(Table2[[#This Row],[Date]], "MMM")</f>
        <v>May</v>
      </c>
      <c r="D348" s="8">
        <f>MONTH(Table2[[#This Row],[Date]])</f>
        <v>5</v>
      </c>
      <c r="E348" s="8">
        <f>YEAR(Table2[[#This Row],[Date]])</f>
        <v>2023</v>
      </c>
      <c r="F348" s="7" t="s">
        <v>256</v>
      </c>
      <c r="G348" s="7" t="s">
        <v>13</v>
      </c>
      <c r="H348" s="8">
        <v>47</v>
      </c>
      <c r="I348" s="8" t="str">
        <f>IF(Table2[[#This Row],[Age]] &lt; 19, "Teenagers", IF(Table2[[#This Row],[Age]] &lt;= 34, "Young Adults", IF(Table2[[#This Row],[Age]] &lt;= 45, "Adults", IF(Table2[[#This Row],[Age]] &lt;= 55, "Seniors", "Elderly")) ))</f>
        <v>Seniors</v>
      </c>
      <c r="J348" s="7" t="s">
        <v>16</v>
      </c>
      <c r="K348" s="8">
        <v>3</v>
      </c>
      <c r="L348" s="8" t="str">
        <f>IF(Table2[[#This Row],[Quantity]]=1, "Single Order", IF(Table2[[#This Row],[Quantity]]=2, "Small Order", IF(Table2[[#This Row],[Quantity]]=3, "Medium Order", "Bulk Order")))</f>
        <v>Medium Order</v>
      </c>
      <c r="M348" s="10">
        <v>300</v>
      </c>
      <c r="N348" s="10">
        <v>900</v>
      </c>
    </row>
    <row r="349" spans="1:14" x14ac:dyDescent="0.2">
      <c r="A349">
        <v>252</v>
      </c>
      <c r="B349" s="5">
        <v>45051</v>
      </c>
      <c r="C349" s="5" t="str">
        <f>TEXT(Table2[[#This Row],[Date]], "MMM")</f>
        <v>May</v>
      </c>
      <c r="D349" s="8">
        <f>MONTH(Table2[[#This Row],[Date]])</f>
        <v>5</v>
      </c>
      <c r="E349" s="8">
        <f>YEAR(Table2[[#This Row],[Date]])</f>
        <v>2023</v>
      </c>
      <c r="F349" s="7" t="s">
        <v>265</v>
      </c>
      <c r="G349" s="7" t="s">
        <v>10</v>
      </c>
      <c r="H349" s="8">
        <v>54</v>
      </c>
      <c r="I349" s="8" t="str">
        <f>IF(Table2[[#This Row],[Age]] &lt; 19, "Teenagers", IF(Table2[[#This Row],[Age]] &lt;= 34, "Young Adults", IF(Table2[[#This Row],[Age]] &lt;= 45, "Adults", IF(Table2[[#This Row],[Age]] &lt;= 55, "Seniors", "Elderly")) ))</f>
        <v>Seniors</v>
      </c>
      <c r="J349" s="7" t="s">
        <v>16</v>
      </c>
      <c r="K349" s="8">
        <v>1</v>
      </c>
      <c r="L349" s="8" t="str">
        <f>IF(Table2[[#This Row],[Quantity]]=1, "Single Order", IF(Table2[[#This Row],[Quantity]]=2, "Small Order", IF(Table2[[#This Row],[Quantity]]=3, "Medium Order", "Bulk Order")))</f>
        <v>Single Order</v>
      </c>
      <c r="M349" s="10">
        <v>300</v>
      </c>
      <c r="N349" s="10">
        <v>300</v>
      </c>
    </row>
    <row r="350" spans="1:14" x14ac:dyDescent="0.2">
      <c r="A350">
        <v>273</v>
      </c>
      <c r="B350" s="5">
        <v>45054</v>
      </c>
      <c r="C350" s="5" t="str">
        <f>TEXT(Table2[[#This Row],[Date]], "MMM")</f>
        <v>May</v>
      </c>
      <c r="D350" s="8">
        <f>MONTH(Table2[[#This Row],[Date]])</f>
        <v>5</v>
      </c>
      <c r="E350" s="8">
        <f>YEAR(Table2[[#This Row],[Date]])</f>
        <v>2023</v>
      </c>
      <c r="F350" s="7" t="s">
        <v>286</v>
      </c>
      <c r="G350" s="7" t="s">
        <v>13</v>
      </c>
      <c r="H350" s="8">
        <v>22</v>
      </c>
      <c r="I350" s="8" t="str">
        <f>IF(Table2[[#This Row],[Age]] &lt; 19, "Teenagers", IF(Table2[[#This Row],[Age]] &lt;= 34, "Young Adults", IF(Table2[[#This Row],[Age]] &lt;= 45, "Adults", IF(Table2[[#This Row],[Age]] &lt;= 55, "Seniors", "Elderly")) ))</f>
        <v>Young Adults</v>
      </c>
      <c r="J350" s="7" t="s">
        <v>11</v>
      </c>
      <c r="K350" s="8">
        <v>1</v>
      </c>
      <c r="L350" s="8" t="str">
        <f>IF(Table2[[#This Row],[Quantity]]=1, "Single Order", IF(Table2[[#This Row],[Quantity]]=2, "Small Order", IF(Table2[[#This Row],[Quantity]]=3, "Medium Order", "Bulk Order")))</f>
        <v>Single Order</v>
      </c>
      <c r="M350" s="10">
        <v>50</v>
      </c>
      <c r="N350" s="10">
        <v>50</v>
      </c>
    </row>
    <row r="351" spans="1:14" x14ac:dyDescent="0.2">
      <c r="A351">
        <v>281</v>
      </c>
      <c r="B351" s="5">
        <v>45069</v>
      </c>
      <c r="C351" s="5" t="str">
        <f>TEXT(Table2[[#This Row],[Date]], "MMM")</f>
        <v>May</v>
      </c>
      <c r="D351" s="8">
        <f>MONTH(Table2[[#This Row],[Date]])</f>
        <v>5</v>
      </c>
      <c r="E351" s="8">
        <f>YEAR(Table2[[#This Row],[Date]])</f>
        <v>2023</v>
      </c>
      <c r="F351" s="7" t="s">
        <v>294</v>
      </c>
      <c r="G351" s="7" t="s">
        <v>13</v>
      </c>
      <c r="H351" s="8">
        <v>29</v>
      </c>
      <c r="I351" s="8" t="str">
        <f>IF(Table2[[#This Row],[Age]] &lt; 19, "Teenagers", IF(Table2[[#This Row],[Age]] &lt;= 34, "Young Adults", IF(Table2[[#This Row],[Age]] &lt;= 45, "Adults", IF(Table2[[#This Row],[Age]] &lt;= 55, "Seniors", "Elderly")) ))</f>
        <v>Young Adults</v>
      </c>
      <c r="J351" s="7" t="s">
        <v>11</v>
      </c>
      <c r="K351" s="8">
        <v>4</v>
      </c>
      <c r="L351" s="8" t="str">
        <f>IF(Table2[[#This Row],[Quantity]]=1, "Single Order", IF(Table2[[#This Row],[Quantity]]=2, "Small Order", IF(Table2[[#This Row],[Quantity]]=3, "Medium Order", "Bulk Order")))</f>
        <v>Bulk Order</v>
      </c>
      <c r="M351" s="10">
        <v>500</v>
      </c>
      <c r="N351" s="10">
        <v>2000</v>
      </c>
    </row>
    <row r="352" spans="1:14" x14ac:dyDescent="0.2">
      <c r="A352">
        <v>283</v>
      </c>
      <c r="B352" s="5">
        <v>45054</v>
      </c>
      <c r="C352" s="5" t="str">
        <f>TEXT(Table2[[#This Row],[Date]], "MMM")</f>
        <v>May</v>
      </c>
      <c r="D352" s="8">
        <f>MONTH(Table2[[#This Row],[Date]])</f>
        <v>5</v>
      </c>
      <c r="E352" s="8">
        <f>YEAR(Table2[[#This Row],[Date]])</f>
        <v>2023</v>
      </c>
      <c r="F352" s="7" t="s">
        <v>296</v>
      </c>
      <c r="G352" s="7" t="s">
        <v>13</v>
      </c>
      <c r="H352" s="8">
        <v>18</v>
      </c>
      <c r="I352" s="8" t="str">
        <f>IF(Table2[[#This Row],[Age]] &lt; 19, "Teenagers", IF(Table2[[#This Row],[Age]] &lt;= 34, "Young Adults", IF(Table2[[#This Row],[Age]] &lt;= 45, "Adults", IF(Table2[[#This Row],[Age]] &lt;= 55, "Seniors", "Elderly")) ))</f>
        <v>Teenagers</v>
      </c>
      <c r="J352" s="7" t="s">
        <v>16</v>
      </c>
      <c r="K352" s="8">
        <v>1</v>
      </c>
      <c r="L352" s="8" t="str">
        <f>IF(Table2[[#This Row],[Quantity]]=1, "Single Order", IF(Table2[[#This Row],[Quantity]]=2, "Small Order", IF(Table2[[#This Row],[Quantity]]=3, "Medium Order", "Bulk Order")))</f>
        <v>Single Order</v>
      </c>
      <c r="M352" s="10">
        <v>500</v>
      </c>
      <c r="N352" s="10">
        <v>500</v>
      </c>
    </row>
    <row r="353" spans="1:14" x14ac:dyDescent="0.2">
      <c r="A353">
        <v>293</v>
      </c>
      <c r="B353" s="5">
        <v>45048</v>
      </c>
      <c r="C353" s="5" t="str">
        <f>TEXT(Table2[[#This Row],[Date]], "MMM")</f>
        <v>May</v>
      </c>
      <c r="D353" s="8">
        <f>MONTH(Table2[[#This Row],[Date]])</f>
        <v>5</v>
      </c>
      <c r="E353" s="8">
        <f>YEAR(Table2[[#This Row],[Date]])</f>
        <v>2023</v>
      </c>
      <c r="F353" s="7" t="s">
        <v>306</v>
      </c>
      <c r="G353" s="7" t="s">
        <v>10</v>
      </c>
      <c r="H353" s="8">
        <v>50</v>
      </c>
      <c r="I353" s="8" t="str">
        <f>IF(Table2[[#This Row],[Age]] &lt; 19, "Teenagers", IF(Table2[[#This Row],[Age]] &lt;= 34, "Young Adults", IF(Table2[[#This Row],[Age]] &lt;= 45, "Adults", IF(Table2[[#This Row],[Age]] &lt;= 55, "Seniors", "Elderly")) ))</f>
        <v>Seniors</v>
      </c>
      <c r="J353" s="7" t="s">
        <v>16</v>
      </c>
      <c r="K353" s="8">
        <v>3</v>
      </c>
      <c r="L353" s="8" t="str">
        <f>IF(Table2[[#This Row],[Quantity]]=1, "Single Order", IF(Table2[[#This Row],[Quantity]]=2, "Small Order", IF(Table2[[#This Row],[Quantity]]=3, "Medium Order", "Bulk Order")))</f>
        <v>Medium Order</v>
      </c>
      <c r="M353" s="10">
        <v>30</v>
      </c>
      <c r="N353" s="10">
        <v>90</v>
      </c>
    </row>
    <row r="354" spans="1:14" x14ac:dyDescent="0.2">
      <c r="A354">
        <v>305</v>
      </c>
      <c r="B354" s="5">
        <v>45062</v>
      </c>
      <c r="C354" s="5" t="str">
        <f>TEXT(Table2[[#This Row],[Date]], "MMM")</f>
        <v>May</v>
      </c>
      <c r="D354" s="8">
        <f>MONTH(Table2[[#This Row],[Date]])</f>
        <v>5</v>
      </c>
      <c r="E354" s="8">
        <f>YEAR(Table2[[#This Row],[Date]])</f>
        <v>2023</v>
      </c>
      <c r="F354" s="7" t="s">
        <v>318</v>
      </c>
      <c r="G354" s="7" t="s">
        <v>13</v>
      </c>
      <c r="H354" s="8">
        <v>18</v>
      </c>
      <c r="I354" s="8" t="str">
        <f>IF(Table2[[#This Row],[Age]] &lt; 19, "Teenagers", IF(Table2[[#This Row],[Age]] &lt;= 34, "Young Adults", IF(Table2[[#This Row],[Age]] &lt;= 45, "Adults", IF(Table2[[#This Row],[Age]] &lt;= 55, "Seniors", "Elderly")) ))</f>
        <v>Teenagers</v>
      </c>
      <c r="J354" s="7" t="s">
        <v>11</v>
      </c>
      <c r="K354" s="8">
        <v>1</v>
      </c>
      <c r="L354" s="8" t="str">
        <f>IF(Table2[[#This Row],[Quantity]]=1, "Single Order", IF(Table2[[#This Row],[Quantity]]=2, "Small Order", IF(Table2[[#This Row],[Quantity]]=3, "Medium Order", "Bulk Order")))</f>
        <v>Single Order</v>
      </c>
      <c r="M354" s="10">
        <v>30</v>
      </c>
      <c r="N354" s="10">
        <v>30</v>
      </c>
    </row>
    <row r="355" spans="1:14" x14ac:dyDescent="0.2">
      <c r="A355">
        <v>307</v>
      </c>
      <c r="B355" s="5">
        <v>45073</v>
      </c>
      <c r="C355" s="5" t="str">
        <f>TEXT(Table2[[#This Row],[Date]], "MMM")</f>
        <v>May</v>
      </c>
      <c r="D355" s="8">
        <f>MONTH(Table2[[#This Row],[Date]])</f>
        <v>5</v>
      </c>
      <c r="E355" s="8">
        <f>YEAR(Table2[[#This Row],[Date]])</f>
        <v>2023</v>
      </c>
      <c r="F355" s="7" t="s">
        <v>320</v>
      </c>
      <c r="G355" s="7" t="s">
        <v>13</v>
      </c>
      <c r="H355" s="8">
        <v>26</v>
      </c>
      <c r="I355" s="8" t="str">
        <f>IF(Table2[[#This Row],[Age]] &lt; 19, "Teenagers", IF(Table2[[#This Row],[Age]] &lt;= 34, "Young Adults", IF(Table2[[#This Row],[Age]] &lt;= 45, "Adults", IF(Table2[[#This Row],[Age]] &lt;= 55, "Seniors", "Elderly")) ))</f>
        <v>Young Adults</v>
      </c>
      <c r="J355" s="7" t="s">
        <v>16</v>
      </c>
      <c r="K355" s="8">
        <v>2</v>
      </c>
      <c r="L355" s="8" t="str">
        <f>IF(Table2[[#This Row],[Quantity]]=1, "Single Order", IF(Table2[[#This Row],[Quantity]]=2, "Small Order", IF(Table2[[#This Row],[Quantity]]=3, "Medium Order", "Bulk Order")))</f>
        <v>Small Order</v>
      </c>
      <c r="M355" s="10">
        <v>25</v>
      </c>
      <c r="N355" s="10">
        <v>50</v>
      </c>
    </row>
    <row r="356" spans="1:14" x14ac:dyDescent="0.2">
      <c r="A356">
        <v>337</v>
      </c>
      <c r="B356" s="5">
        <v>45047</v>
      </c>
      <c r="C356" s="5" t="str">
        <f>TEXT(Table2[[#This Row],[Date]], "MMM")</f>
        <v>May</v>
      </c>
      <c r="D356" s="8">
        <f>MONTH(Table2[[#This Row],[Date]])</f>
        <v>5</v>
      </c>
      <c r="E356" s="8">
        <f>YEAR(Table2[[#This Row],[Date]])</f>
        <v>2023</v>
      </c>
      <c r="F356" s="7" t="s">
        <v>350</v>
      </c>
      <c r="G356" s="7" t="s">
        <v>10</v>
      </c>
      <c r="H356" s="8">
        <v>38</v>
      </c>
      <c r="I356" s="8" t="str">
        <f>IF(Table2[[#This Row],[Age]] &lt; 19, "Teenagers", IF(Table2[[#This Row],[Age]] &lt;= 34, "Young Adults", IF(Table2[[#This Row],[Age]] &lt;= 45, "Adults", IF(Table2[[#This Row],[Age]] &lt;= 55, "Seniors", "Elderly")) ))</f>
        <v>Adults</v>
      </c>
      <c r="J356" s="7" t="s">
        <v>14</v>
      </c>
      <c r="K356" s="8">
        <v>1</v>
      </c>
      <c r="L356" s="8" t="str">
        <f>IF(Table2[[#This Row],[Quantity]]=1, "Single Order", IF(Table2[[#This Row],[Quantity]]=2, "Small Order", IF(Table2[[#This Row],[Quantity]]=3, "Medium Order", "Bulk Order")))</f>
        <v>Single Order</v>
      </c>
      <c r="M356" s="10">
        <v>500</v>
      </c>
      <c r="N356" s="10">
        <v>500</v>
      </c>
    </row>
    <row r="357" spans="1:14" x14ac:dyDescent="0.2">
      <c r="A357">
        <v>341</v>
      </c>
      <c r="B357" s="5">
        <v>45053</v>
      </c>
      <c r="C357" s="5" t="str">
        <f>TEXT(Table2[[#This Row],[Date]], "MMM")</f>
        <v>May</v>
      </c>
      <c r="D357" s="8">
        <f>MONTH(Table2[[#This Row],[Date]])</f>
        <v>5</v>
      </c>
      <c r="E357" s="8">
        <f>YEAR(Table2[[#This Row],[Date]])</f>
        <v>2023</v>
      </c>
      <c r="F357" s="7" t="s">
        <v>354</v>
      </c>
      <c r="G357" s="7" t="s">
        <v>10</v>
      </c>
      <c r="H357" s="8">
        <v>31</v>
      </c>
      <c r="I357" s="8" t="str">
        <f>IF(Table2[[#This Row],[Age]] &lt; 19, "Teenagers", IF(Table2[[#This Row],[Age]] &lt;= 34, "Young Adults", IF(Table2[[#This Row],[Age]] &lt;= 45, "Adults", IF(Table2[[#This Row],[Age]] &lt;= 55, "Seniors", "Elderly")) ))</f>
        <v>Young Adults</v>
      </c>
      <c r="J357" s="7" t="s">
        <v>14</v>
      </c>
      <c r="K357" s="8">
        <v>4</v>
      </c>
      <c r="L357" s="8" t="str">
        <f>IF(Table2[[#This Row],[Quantity]]=1, "Single Order", IF(Table2[[#This Row],[Quantity]]=2, "Small Order", IF(Table2[[#This Row],[Quantity]]=3, "Medium Order", "Bulk Order")))</f>
        <v>Bulk Order</v>
      </c>
      <c r="M357" s="10">
        <v>50</v>
      </c>
      <c r="N357" s="10">
        <v>200</v>
      </c>
    </row>
    <row r="358" spans="1:14" x14ac:dyDescent="0.2">
      <c r="A358">
        <v>353</v>
      </c>
      <c r="B358" s="5">
        <v>45060</v>
      </c>
      <c r="C358" s="5" t="str">
        <f>TEXT(Table2[[#This Row],[Date]], "MMM")</f>
        <v>May</v>
      </c>
      <c r="D358" s="8">
        <f>MONTH(Table2[[#This Row],[Date]])</f>
        <v>5</v>
      </c>
      <c r="E358" s="8">
        <f>YEAR(Table2[[#This Row],[Date]])</f>
        <v>2023</v>
      </c>
      <c r="F358" s="7" t="s">
        <v>366</v>
      </c>
      <c r="G358" s="7" t="s">
        <v>10</v>
      </c>
      <c r="H358" s="8">
        <v>31</v>
      </c>
      <c r="I358" s="8" t="str">
        <f>IF(Table2[[#This Row],[Age]] &lt; 19, "Teenagers", IF(Table2[[#This Row],[Age]] &lt;= 34, "Young Adults", IF(Table2[[#This Row],[Age]] &lt;= 45, "Adults", IF(Table2[[#This Row],[Age]] &lt;= 55, "Seniors", "Elderly")) ))</f>
        <v>Young Adults</v>
      </c>
      <c r="J358" s="7" t="s">
        <v>16</v>
      </c>
      <c r="K358" s="8">
        <v>1</v>
      </c>
      <c r="L358" s="8" t="str">
        <f>IF(Table2[[#This Row],[Quantity]]=1, "Single Order", IF(Table2[[#This Row],[Quantity]]=2, "Small Order", IF(Table2[[#This Row],[Quantity]]=3, "Medium Order", "Bulk Order")))</f>
        <v>Single Order</v>
      </c>
      <c r="M358" s="10">
        <v>500</v>
      </c>
      <c r="N358" s="10">
        <v>500</v>
      </c>
    </row>
    <row r="359" spans="1:14" x14ac:dyDescent="0.2">
      <c r="A359">
        <v>357</v>
      </c>
      <c r="B359" s="5">
        <v>45049</v>
      </c>
      <c r="C359" s="5" t="str">
        <f>TEXT(Table2[[#This Row],[Date]], "MMM")</f>
        <v>May</v>
      </c>
      <c r="D359" s="8">
        <f>MONTH(Table2[[#This Row],[Date]])</f>
        <v>5</v>
      </c>
      <c r="E359" s="8">
        <f>YEAR(Table2[[#This Row],[Date]])</f>
        <v>2023</v>
      </c>
      <c r="F359" s="7" t="s">
        <v>370</v>
      </c>
      <c r="G359" s="7" t="s">
        <v>13</v>
      </c>
      <c r="H359" s="8">
        <v>40</v>
      </c>
      <c r="I359" s="8" t="str">
        <f>IF(Table2[[#This Row],[Age]] &lt; 19, "Teenagers", IF(Table2[[#This Row],[Age]] &lt;= 34, "Young Adults", IF(Table2[[#This Row],[Age]] &lt;= 45, "Adults", IF(Table2[[#This Row],[Age]] &lt;= 55, "Seniors", "Elderly")) ))</f>
        <v>Adults</v>
      </c>
      <c r="J359" s="7" t="s">
        <v>16</v>
      </c>
      <c r="K359" s="8">
        <v>3</v>
      </c>
      <c r="L359" s="8" t="str">
        <f>IF(Table2[[#This Row],[Quantity]]=1, "Single Order", IF(Table2[[#This Row],[Quantity]]=2, "Small Order", IF(Table2[[#This Row],[Quantity]]=3, "Medium Order", "Bulk Order")))</f>
        <v>Medium Order</v>
      </c>
      <c r="M359" s="10">
        <v>25</v>
      </c>
      <c r="N359" s="10">
        <v>75</v>
      </c>
    </row>
    <row r="360" spans="1:14" x14ac:dyDescent="0.2">
      <c r="A360">
        <v>358</v>
      </c>
      <c r="B360" s="5">
        <v>45062</v>
      </c>
      <c r="C360" s="5" t="str">
        <f>TEXT(Table2[[#This Row],[Date]], "MMM")</f>
        <v>May</v>
      </c>
      <c r="D360" s="8">
        <f>MONTH(Table2[[#This Row],[Date]])</f>
        <v>5</v>
      </c>
      <c r="E360" s="8">
        <f>YEAR(Table2[[#This Row],[Date]])</f>
        <v>2023</v>
      </c>
      <c r="F360" s="7" t="s">
        <v>371</v>
      </c>
      <c r="G360" s="7" t="s">
        <v>13</v>
      </c>
      <c r="H360" s="8">
        <v>32</v>
      </c>
      <c r="I360" s="8" t="str">
        <f>IF(Table2[[#This Row],[Age]] &lt; 19, "Teenagers", IF(Table2[[#This Row],[Age]] &lt;= 34, "Young Adults", IF(Table2[[#This Row],[Age]] &lt;= 45, "Adults", IF(Table2[[#This Row],[Age]] &lt;= 55, "Seniors", "Elderly")) ))</f>
        <v>Young Adults</v>
      </c>
      <c r="J360" s="7" t="s">
        <v>11</v>
      </c>
      <c r="K360" s="8">
        <v>1</v>
      </c>
      <c r="L360" s="8" t="str">
        <f>IF(Table2[[#This Row],[Quantity]]=1, "Single Order", IF(Table2[[#This Row],[Quantity]]=2, "Small Order", IF(Table2[[#This Row],[Quantity]]=3, "Medium Order", "Bulk Order")))</f>
        <v>Single Order</v>
      </c>
      <c r="M360" s="10">
        <v>300</v>
      </c>
      <c r="N360" s="10">
        <v>300</v>
      </c>
    </row>
    <row r="361" spans="1:14" x14ac:dyDescent="0.2">
      <c r="A361">
        <v>376</v>
      </c>
      <c r="B361" s="5">
        <v>45062</v>
      </c>
      <c r="C361" s="5" t="str">
        <f>TEXT(Table2[[#This Row],[Date]], "MMM")</f>
        <v>May</v>
      </c>
      <c r="D361" s="8">
        <f>MONTH(Table2[[#This Row],[Date]])</f>
        <v>5</v>
      </c>
      <c r="E361" s="8">
        <f>YEAR(Table2[[#This Row],[Date]])</f>
        <v>2023</v>
      </c>
      <c r="F361" s="7" t="s">
        <v>389</v>
      </c>
      <c r="G361" s="7" t="s">
        <v>13</v>
      </c>
      <c r="H361" s="8">
        <v>64</v>
      </c>
      <c r="I361" s="8" t="str">
        <f>IF(Table2[[#This Row],[Age]] &lt; 19, "Teenagers", IF(Table2[[#This Row],[Age]] &lt;= 34, "Young Adults", IF(Table2[[#This Row],[Age]] &lt;= 45, "Adults", IF(Table2[[#This Row],[Age]] &lt;= 55, "Seniors", "Elderly")) ))</f>
        <v>Elderly</v>
      </c>
      <c r="J361" s="7" t="s">
        <v>11</v>
      </c>
      <c r="K361" s="8">
        <v>1</v>
      </c>
      <c r="L361" s="8" t="str">
        <f>IF(Table2[[#This Row],[Quantity]]=1, "Single Order", IF(Table2[[#This Row],[Quantity]]=2, "Small Order", IF(Table2[[#This Row],[Quantity]]=3, "Medium Order", "Bulk Order")))</f>
        <v>Single Order</v>
      </c>
      <c r="M361" s="10">
        <v>30</v>
      </c>
      <c r="N361" s="10">
        <v>30</v>
      </c>
    </row>
    <row r="362" spans="1:14" x14ac:dyDescent="0.2">
      <c r="A362">
        <v>380</v>
      </c>
      <c r="B362" s="5">
        <v>45052</v>
      </c>
      <c r="C362" s="5" t="str">
        <f>TEXT(Table2[[#This Row],[Date]], "MMM")</f>
        <v>May</v>
      </c>
      <c r="D362" s="8">
        <f>MONTH(Table2[[#This Row],[Date]])</f>
        <v>5</v>
      </c>
      <c r="E362" s="8">
        <f>YEAR(Table2[[#This Row],[Date]])</f>
        <v>2023</v>
      </c>
      <c r="F362" s="7" t="s">
        <v>393</v>
      </c>
      <c r="G362" s="7" t="s">
        <v>10</v>
      </c>
      <c r="H362" s="8">
        <v>56</v>
      </c>
      <c r="I362" s="8" t="str">
        <f>IF(Table2[[#This Row],[Age]] &lt; 19, "Teenagers", IF(Table2[[#This Row],[Age]] &lt;= 34, "Young Adults", IF(Table2[[#This Row],[Age]] &lt;= 45, "Adults", IF(Table2[[#This Row],[Age]] &lt;= 55, "Seniors", "Elderly")) ))</f>
        <v>Elderly</v>
      </c>
      <c r="J362" s="7" t="s">
        <v>16</v>
      </c>
      <c r="K362" s="8">
        <v>2</v>
      </c>
      <c r="L362" s="8" t="str">
        <f>IF(Table2[[#This Row],[Quantity]]=1, "Single Order", IF(Table2[[#This Row],[Quantity]]=2, "Small Order", IF(Table2[[#This Row],[Quantity]]=3, "Medium Order", "Bulk Order")))</f>
        <v>Small Order</v>
      </c>
      <c r="M362" s="10">
        <v>300</v>
      </c>
      <c r="N362" s="10">
        <v>600</v>
      </c>
    </row>
    <row r="363" spans="1:14" x14ac:dyDescent="0.2">
      <c r="A363">
        <v>382</v>
      </c>
      <c r="B363" s="5">
        <v>45072</v>
      </c>
      <c r="C363" s="5" t="str">
        <f>TEXT(Table2[[#This Row],[Date]], "MMM")</f>
        <v>May</v>
      </c>
      <c r="D363" s="8">
        <f>MONTH(Table2[[#This Row],[Date]])</f>
        <v>5</v>
      </c>
      <c r="E363" s="8">
        <f>YEAR(Table2[[#This Row],[Date]])</f>
        <v>2023</v>
      </c>
      <c r="F363" s="7" t="s">
        <v>395</v>
      </c>
      <c r="G363" s="7" t="s">
        <v>13</v>
      </c>
      <c r="H363" s="8">
        <v>53</v>
      </c>
      <c r="I363" s="8" t="str">
        <f>IF(Table2[[#This Row],[Age]] &lt; 19, "Teenagers", IF(Table2[[#This Row],[Age]] &lt;= 34, "Young Adults", IF(Table2[[#This Row],[Age]] &lt;= 45, "Adults", IF(Table2[[#This Row],[Age]] &lt;= 55, "Seniors", "Elderly")) ))</f>
        <v>Seniors</v>
      </c>
      <c r="J363" s="7" t="s">
        <v>14</v>
      </c>
      <c r="K363" s="8">
        <v>2</v>
      </c>
      <c r="L363" s="8" t="str">
        <f>IF(Table2[[#This Row],[Quantity]]=1, "Single Order", IF(Table2[[#This Row],[Quantity]]=2, "Small Order", IF(Table2[[#This Row],[Quantity]]=3, "Medium Order", "Bulk Order")))</f>
        <v>Small Order</v>
      </c>
      <c r="M363" s="10">
        <v>500</v>
      </c>
      <c r="N363" s="10">
        <v>1000</v>
      </c>
    </row>
    <row r="364" spans="1:14" x14ac:dyDescent="0.2">
      <c r="A364">
        <v>398</v>
      </c>
      <c r="B364" s="5">
        <v>45062</v>
      </c>
      <c r="C364" s="5" t="str">
        <f>TEXT(Table2[[#This Row],[Date]], "MMM")</f>
        <v>May</v>
      </c>
      <c r="D364" s="8">
        <f>MONTH(Table2[[#This Row],[Date]])</f>
        <v>5</v>
      </c>
      <c r="E364" s="8">
        <f>YEAR(Table2[[#This Row],[Date]])</f>
        <v>2023</v>
      </c>
      <c r="F364" s="7" t="s">
        <v>411</v>
      </c>
      <c r="G364" s="7" t="s">
        <v>13</v>
      </c>
      <c r="H364" s="8">
        <v>48</v>
      </c>
      <c r="I364" s="8" t="str">
        <f>IF(Table2[[#This Row],[Age]] &lt; 19, "Teenagers", IF(Table2[[#This Row],[Age]] &lt;= 34, "Young Adults", IF(Table2[[#This Row],[Age]] &lt;= 45, "Adults", IF(Table2[[#This Row],[Age]] &lt;= 55, "Seniors", "Elderly")) ))</f>
        <v>Seniors</v>
      </c>
      <c r="J364" s="7" t="s">
        <v>14</v>
      </c>
      <c r="K364" s="8">
        <v>2</v>
      </c>
      <c r="L364" s="8" t="str">
        <f>IF(Table2[[#This Row],[Quantity]]=1, "Single Order", IF(Table2[[#This Row],[Quantity]]=2, "Small Order", IF(Table2[[#This Row],[Quantity]]=3, "Medium Order", "Bulk Order")))</f>
        <v>Small Order</v>
      </c>
      <c r="M364" s="10">
        <v>300</v>
      </c>
      <c r="N364" s="10">
        <v>600</v>
      </c>
    </row>
    <row r="365" spans="1:14" x14ac:dyDescent="0.2">
      <c r="A365">
        <v>403</v>
      </c>
      <c r="B365" s="5">
        <v>45066</v>
      </c>
      <c r="C365" s="5" t="str">
        <f>TEXT(Table2[[#This Row],[Date]], "MMM")</f>
        <v>May</v>
      </c>
      <c r="D365" s="8">
        <f>MONTH(Table2[[#This Row],[Date]])</f>
        <v>5</v>
      </c>
      <c r="E365" s="8">
        <f>YEAR(Table2[[#This Row],[Date]])</f>
        <v>2023</v>
      </c>
      <c r="F365" s="7" t="s">
        <v>416</v>
      </c>
      <c r="G365" s="7" t="s">
        <v>10</v>
      </c>
      <c r="H365" s="8">
        <v>32</v>
      </c>
      <c r="I365" s="8" t="str">
        <f>IF(Table2[[#This Row],[Age]] &lt; 19, "Teenagers", IF(Table2[[#This Row],[Age]] &lt;= 34, "Young Adults", IF(Table2[[#This Row],[Age]] &lt;= 45, "Adults", IF(Table2[[#This Row],[Age]] &lt;= 55, "Seniors", "Elderly")) ))</f>
        <v>Young Adults</v>
      </c>
      <c r="J365" s="7" t="s">
        <v>14</v>
      </c>
      <c r="K365" s="8">
        <v>2</v>
      </c>
      <c r="L365" s="8" t="str">
        <f>IF(Table2[[#This Row],[Quantity]]=1, "Single Order", IF(Table2[[#This Row],[Quantity]]=2, "Small Order", IF(Table2[[#This Row],[Quantity]]=3, "Medium Order", "Bulk Order")))</f>
        <v>Small Order</v>
      </c>
      <c r="M365" s="10">
        <v>300</v>
      </c>
      <c r="N365" s="10">
        <v>600</v>
      </c>
    </row>
    <row r="366" spans="1:14" x14ac:dyDescent="0.2">
      <c r="A366">
        <v>404</v>
      </c>
      <c r="B366" s="5">
        <v>45071</v>
      </c>
      <c r="C366" s="5" t="str">
        <f>TEXT(Table2[[#This Row],[Date]], "MMM")</f>
        <v>May</v>
      </c>
      <c r="D366" s="8">
        <f>MONTH(Table2[[#This Row],[Date]])</f>
        <v>5</v>
      </c>
      <c r="E366" s="8">
        <f>YEAR(Table2[[#This Row],[Date]])</f>
        <v>2023</v>
      </c>
      <c r="F366" s="7" t="s">
        <v>417</v>
      </c>
      <c r="G366" s="7" t="s">
        <v>10</v>
      </c>
      <c r="H366" s="8">
        <v>46</v>
      </c>
      <c r="I366" s="8" t="str">
        <f>IF(Table2[[#This Row],[Age]] &lt; 19, "Teenagers", IF(Table2[[#This Row],[Age]] &lt;= 34, "Young Adults", IF(Table2[[#This Row],[Age]] &lt;= 45, "Adults", IF(Table2[[#This Row],[Age]] &lt;= 55, "Seniors", "Elderly")) ))</f>
        <v>Seniors</v>
      </c>
      <c r="J366" s="7" t="s">
        <v>16</v>
      </c>
      <c r="K366" s="8">
        <v>2</v>
      </c>
      <c r="L366" s="8" t="str">
        <f>IF(Table2[[#This Row],[Quantity]]=1, "Single Order", IF(Table2[[#This Row],[Quantity]]=2, "Small Order", IF(Table2[[#This Row],[Quantity]]=3, "Medium Order", "Bulk Order")))</f>
        <v>Small Order</v>
      </c>
      <c r="M366" s="10">
        <v>500</v>
      </c>
      <c r="N366" s="10">
        <v>1000</v>
      </c>
    </row>
    <row r="367" spans="1:14" x14ac:dyDescent="0.2">
      <c r="A367">
        <v>411</v>
      </c>
      <c r="B367" s="5">
        <v>45062</v>
      </c>
      <c r="C367" s="5" t="str">
        <f>TEXT(Table2[[#This Row],[Date]], "MMM")</f>
        <v>May</v>
      </c>
      <c r="D367" s="8">
        <f>MONTH(Table2[[#This Row],[Date]])</f>
        <v>5</v>
      </c>
      <c r="E367" s="8">
        <f>YEAR(Table2[[#This Row],[Date]])</f>
        <v>2023</v>
      </c>
      <c r="F367" s="7" t="s">
        <v>424</v>
      </c>
      <c r="G367" s="7" t="s">
        <v>10</v>
      </c>
      <c r="H367" s="8">
        <v>62</v>
      </c>
      <c r="I367" s="8" t="str">
        <f>IF(Table2[[#This Row],[Age]] &lt; 19, "Teenagers", IF(Table2[[#This Row],[Age]] &lt;= 34, "Young Adults", IF(Table2[[#This Row],[Age]] &lt;= 45, "Adults", IF(Table2[[#This Row],[Age]] &lt;= 55, "Seniors", "Elderly")) ))</f>
        <v>Elderly</v>
      </c>
      <c r="J367" s="7" t="s">
        <v>16</v>
      </c>
      <c r="K367" s="8">
        <v>4</v>
      </c>
      <c r="L367" s="8" t="str">
        <f>IF(Table2[[#This Row],[Quantity]]=1, "Single Order", IF(Table2[[#This Row],[Quantity]]=2, "Small Order", IF(Table2[[#This Row],[Quantity]]=3, "Medium Order", "Bulk Order")))</f>
        <v>Bulk Order</v>
      </c>
      <c r="M367" s="10">
        <v>50</v>
      </c>
      <c r="N367" s="10">
        <v>200</v>
      </c>
    </row>
    <row r="368" spans="1:14" x14ac:dyDescent="0.2">
      <c r="A368">
        <v>414</v>
      </c>
      <c r="B368" s="5">
        <v>45055</v>
      </c>
      <c r="C368" s="5" t="str">
        <f>TEXT(Table2[[#This Row],[Date]], "MMM")</f>
        <v>May</v>
      </c>
      <c r="D368" s="8">
        <f>MONTH(Table2[[#This Row],[Date]])</f>
        <v>5</v>
      </c>
      <c r="E368" s="8">
        <f>YEAR(Table2[[#This Row],[Date]])</f>
        <v>2023</v>
      </c>
      <c r="F368" s="7" t="s">
        <v>427</v>
      </c>
      <c r="G368" s="7" t="s">
        <v>10</v>
      </c>
      <c r="H368" s="8">
        <v>48</v>
      </c>
      <c r="I368" s="8" t="str">
        <f>IF(Table2[[#This Row],[Age]] &lt; 19, "Teenagers", IF(Table2[[#This Row],[Age]] &lt;= 34, "Young Adults", IF(Table2[[#This Row],[Age]] &lt;= 45, "Adults", IF(Table2[[#This Row],[Age]] &lt;= 55, "Seniors", "Elderly")) ))</f>
        <v>Seniors</v>
      </c>
      <c r="J368" s="7" t="s">
        <v>11</v>
      </c>
      <c r="K368" s="8">
        <v>4</v>
      </c>
      <c r="L368" s="8" t="str">
        <f>IF(Table2[[#This Row],[Quantity]]=1, "Single Order", IF(Table2[[#This Row],[Quantity]]=2, "Small Order", IF(Table2[[#This Row],[Quantity]]=3, "Medium Order", "Bulk Order")))</f>
        <v>Bulk Order</v>
      </c>
      <c r="M368" s="10">
        <v>25</v>
      </c>
      <c r="N368" s="10">
        <v>100</v>
      </c>
    </row>
    <row r="369" spans="1:14" x14ac:dyDescent="0.2">
      <c r="A369">
        <v>419</v>
      </c>
      <c r="B369" s="5">
        <v>45068</v>
      </c>
      <c r="C369" s="5" t="str">
        <f>TEXT(Table2[[#This Row],[Date]], "MMM")</f>
        <v>May</v>
      </c>
      <c r="D369" s="8">
        <f>MONTH(Table2[[#This Row],[Date]])</f>
        <v>5</v>
      </c>
      <c r="E369" s="8">
        <f>YEAR(Table2[[#This Row],[Date]])</f>
        <v>2023</v>
      </c>
      <c r="F369" s="7" t="s">
        <v>432</v>
      </c>
      <c r="G369" s="7" t="s">
        <v>13</v>
      </c>
      <c r="H369" s="8">
        <v>44</v>
      </c>
      <c r="I369" s="8" t="str">
        <f>IF(Table2[[#This Row],[Age]] &lt; 19, "Teenagers", IF(Table2[[#This Row],[Age]] &lt;= 34, "Young Adults", IF(Table2[[#This Row],[Age]] &lt;= 45, "Adults", IF(Table2[[#This Row],[Age]] &lt;= 55, "Seniors", "Elderly")) ))</f>
        <v>Adults</v>
      </c>
      <c r="J369" s="7" t="s">
        <v>14</v>
      </c>
      <c r="K369" s="8">
        <v>3</v>
      </c>
      <c r="L369" s="8" t="str">
        <f>IF(Table2[[#This Row],[Quantity]]=1, "Single Order", IF(Table2[[#This Row],[Quantity]]=2, "Small Order", IF(Table2[[#This Row],[Quantity]]=3, "Medium Order", "Bulk Order")))</f>
        <v>Medium Order</v>
      </c>
      <c r="M369" s="10">
        <v>30</v>
      </c>
      <c r="N369" s="10">
        <v>90</v>
      </c>
    </row>
    <row r="370" spans="1:14" x14ac:dyDescent="0.2">
      <c r="A370">
        <v>425</v>
      </c>
      <c r="B370" s="5">
        <v>45061</v>
      </c>
      <c r="C370" s="5" t="str">
        <f>TEXT(Table2[[#This Row],[Date]], "MMM")</f>
        <v>May</v>
      </c>
      <c r="D370" s="8">
        <f>MONTH(Table2[[#This Row],[Date]])</f>
        <v>5</v>
      </c>
      <c r="E370" s="8">
        <f>YEAR(Table2[[#This Row],[Date]])</f>
        <v>2023</v>
      </c>
      <c r="F370" s="7" t="s">
        <v>438</v>
      </c>
      <c r="G370" s="7" t="s">
        <v>13</v>
      </c>
      <c r="H370" s="8">
        <v>55</v>
      </c>
      <c r="I370" s="8" t="str">
        <f>IF(Table2[[#This Row],[Age]] &lt; 19, "Teenagers", IF(Table2[[#This Row],[Age]] &lt;= 34, "Young Adults", IF(Table2[[#This Row],[Age]] &lt;= 45, "Adults", IF(Table2[[#This Row],[Age]] &lt;= 55, "Seniors", "Elderly")) ))</f>
        <v>Seniors</v>
      </c>
      <c r="J370" s="7" t="s">
        <v>16</v>
      </c>
      <c r="K370" s="8">
        <v>4</v>
      </c>
      <c r="L370" s="8" t="str">
        <f>IF(Table2[[#This Row],[Quantity]]=1, "Single Order", IF(Table2[[#This Row],[Quantity]]=2, "Small Order", IF(Table2[[#This Row],[Quantity]]=3, "Medium Order", "Bulk Order")))</f>
        <v>Bulk Order</v>
      </c>
      <c r="M370" s="10">
        <v>30</v>
      </c>
      <c r="N370" s="10">
        <v>120</v>
      </c>
    </row>
    <row r="371" spans="1:14" x14ac:dyDescent="0.2">
      <c r="A371">
        <v>452</v>
      </c>
      <c r="B371" s="5">
        <v>45054</v>
      </c>
      <c r="C371" s="5" t="str">
        <f>TEXT(Table2[[#This Row],[Date]], "MMM")</f>
        <v>May</v>
      </c>
      <c r="D371" s="8">
        <f>MONTH(Table2[[#This Row],[Date]])</f>
        <v>5</v>
      </c>
      <c r="E371" s="8">
        <f>YEAR(Table2[[#This Row],[Date]])</f>
        <v>2023</v>
      </c>
      <c r="F371" s="7" t="s">
        <v>465</v>
      </c>
      <c r="G371" s="7" t="s">
        <v>13</v>
      </c>
      <c r="H371" s="8">
        <v>48</v>
      </c>
      <c r="I371" s="8" t="str">
        <f>IF(Table2[[#This Row],[Age]] &lt; 19, "Teenagers", IF(Table2[[#This Row],[Age]] &lt;= 34, "Young Adults", IF(Table2[[#This Row],[Age]] &lt;= 45, "Adults", IF(Table2[[#This Row],[Age]] &lt;= 55, "Seniors", "Elderly")) ))</f>
        <v>Seniors</v>
      </c>
      <c r="J371" s="7" t="s">
        <v>14</v>
      </c>
      <c r="K371" s="8">
        <v>3</v>
      </c>
      <c r="L371" s="8" t="str">
        <f>IF(Table2[[#This Row],[Quantity]]=1, "Single Order", IF(Table2[[#This Row],[Quantity]]=2, "Small Order", IF(Table2[[#This Row],[Quantity]]=3, "Medium Order", "Bulk Order")))</f>
        <v>Medium Order</v>
      </c>
      <c r="M371" s="10">
        <v>500</v>
      </c>
      <c r="N371" s="10">
        <v>1500</v>
      </c>
    </row>
    <row r="372" spans="1:14" x14ac:dyDescent="0.2">
      <c r="A372">
        <v>460</v>
      </c>
      <c r="B372" s="5">
        <v>45048</v>
      </c>
      <c r="C372" s="5" t="str">
        <f>TEXT(Table2[[#This Row],[Date]], "MMM")</f>
        <v>May</v>
      </c>
      <c r="D372" s="8">
        <f>MONTH(Table2[[#This Row],[Date]])</f>
        <v>5</v>
      </c>
      <c r="E372" s="8">
        <f>YEAR(Table2[[#This Row],[Date]])</f>
        <v>2023</v>
      </c>
      <c r="F372" s="7" t="s">
        <v>473</v>
      </c>
      <c r="G372" s="7" t="s">
        <v>10</v>
      </c>
      <c r="H372" s="8">
        <v>40</v>
      </c>
      <c r="I372" s="8" t="str">
        <f>IF(Table2[[#This Row],[Age]] &lt; 19, "Teenagers", IF(Table2[[#This Row],[Age]] &lt;= 34, "Young Adults", IF(Table2[[#This Row],[Age]] &lt;= 45, "Adults", IF(Table2[[#This Row],[Age]] &lt;= 55, "Seniors", "Elderly")) ))</f>
        <v>Adults</v>
      </c>
      <c r="J372" s="7" t="s">
        <v>11</v>
      </c>
      <c r="K372" s="8">
        <v>1</v>
      </c>
      <c r="L372" s="8" t="str">
        <f>IF(Table2[[#This Row],[Quantity]]=1, "Single Order", IF(Table2[[#This Row],[Quantity]]=2, "Small Order", IF(Table2[[#This Row],[Quantity]]=3, "Medium Order", "Bulk Order")))</f>
        <v>Single Order</v>
      </c>
      <c r="M372" s="10">
        <v>50</v>
      </c>
      <c r="N372" s="10">
        <v>50</v>
      </c>
    </row>
    <row r="373" spans="1:14" x14ac:dyDescent="0.2">
      <c r="A373">
        <v>469</v>
      </c>
      <c r="B373" s="5">
        <v>45054</v>
      </c>
      <c r="C373" s="5" t="str">
        <f>TEXT(Table2[[#This Row],[Date]], "MMM")</f>
        <v>May</v>
      </c>
      <c r="D373" s="8">
        <f>MONTH(Table2[[#This Row],[Date]])</f>
        <v>5</v>
      </c>
      <c r="E373" s="8">
        <f>YEAR(Table2[[#This Row],[Date]])</f>
        <v>2023</v>
      </c>
      <c r="F373" s="7" t="s">
        <v>482</v>
      </c>
      <c r="G373" s="7" t="s">
        <v>10</v>
      </c>
      <c r="H373" s="8">
        <v>18</v>
      </c>
      <c r="I373" s="8" t="str">
        <f>IF(Table2[[#This Row],[Age]] &lt; 19, "Teenagers", IF(Table2[[#This Row],[Age]] &lt;= 34, "Young Adults", IF(Table2[[#This Row],[Age]] &lt;= 45, "Adults", IF(Table2[[#This Row],[Age]] &lt;= 55, "Seniors", "Elderly")) ))</f>
        <v>Teenagers</v>
      </c>
      <c r="J373" s="7" t="s">
        <v>11</v>
      </c>
      <c r="K373" s="8">
        <v>3</v>
      </c>
      <c r="L373" s="8" t="str">
        <f>IF(Table2[[#This Row],[Quantity]]=1, "Single Order", IF(Table2[[#This Row],[Quantity]]=2, "Small Order", IF(Table2[[#This Row],[Quantity]]=3, "Medium Order", "Bulk Order")))</f>
        <v>Medium Order</v>
      </c>
      <c r="M373" s="10">
        <v>25</v>
      </c>
      <c r="N373" s="10">
        <v>75</v>
      </c>
    </row>
    <row r="374" spans="1:14" x14ac:dyDescent="0.2">
      <c r="A374">
        <v>470</v>
      </c>
      <c r="B374" s="5">
        <v>45063</v>
      </c>
      <c r="C374" s="5" t="str">
        <f>TEXT(Table2[[#This Row],[Date]], "MMM")</f>
        <v>May</v>
      </c>
      <c r="D374" s="8">
        <f>MONTH(Table2[[#This Row],[Date]])</f>
        <v>5</v>
      </c>
      <c r="E374" s="8">
        <f>YEAR(Table2[[#This Row],[Date]])</f>
        <v>2023</v>
      </c>
      <c r="F374" s="7" t="s">
        <v>483</v>
      </c>
      <c r="G374" s="7" t="s">
        <v>13</v>
      </c>
      <c r="H374" s="8">
        <v>57</v>
      </c>
      <c r="I374" s="8" t="str">
        <f>IF(Table2[[#This Row],[Age]] &lt; 19, "Teenagers", IF(Table2[[#This Row],[Age]] &lt;= 34, "Young Adults", IF(Table2[[#This Row],[Age]] &lt;= 45, "Adults", IF(Table2[[#This Row],[Age]] &lt;= 55, "Seniors", "Elderly")) ))</f>
        <v>Elderly</v>
      </c>
      <c r="J374" s="7" t="s">
        <v>14</v>
      </c>
      <c r="K374" s="8">
        <v>2</v>
      </c>
      <c r="L374" s="8" t="str">
        <f>IF(Table2[[#This Row],[Quantity]]=1, "Single Order", IF(Table2[[#This Row],[Quantity]]=2, "Small Order", IF(Table2[[#This Row],[Quantity]]=3, "Medium Order", "Bulk Order")))</f>
        <v>Small Order</v>
      </c>
      <c r="M374" s="10">
        <v>500</v>
      </c>
      <c r="N374" s="10">
        <v>1000</v>
      </c>
    </row>
    <row r="375" spans="1:14" x14ac:dyDescent="0.2">
      <c r="A375">
        <v>489</v>
      </c>
      <c r="B375" s="5">
        <v>45069</v>
      </c>
      <c r="C375" s="5" t="str">
        <f>TEXT(Table2[[#This Row],[Date]], "MMM")</f>
        <v>May</v>
      </c>
      <c r="D375" s="8">
        <f>MONTH(Table2[[#This Row],[Date]])</f>
        <v>5</v>
      </c>
      <c r="E375" s="8">
        <f>YEAR(Table2[[#This Row],[Date]])</f>
        <v>2023</v>
      </c>
      <c r="F375" s="7" t="s">
        <v>502</v>
      </c>
      <c r="G375" s="7" t="s">
        <v>10</v>
      </c>
      <c r="H375" s="8">
        <v>44</v>
      </c>
      <c r="I375" s="8" t="str">
        <f>IF(Table2[[#This Row],[Age]] &lt; 19, "Teenagers", IF(Table2[[#This Row],[Age]] &lt;= 34, "Young Adults", IF(Table2[[#This Row],[Age]] &lt;= 45, "Adults", IF(Table2[[#This Row],[Age]] &lt;= 55, "Seniors", "Elderly")) ))</f>
        <v>Adults</v>
      </c>
      <c r="J375" s="7" t="s">
        <v>16</v>
      </c>
      <c r="K375" s="8">
        <v>1</v>
      </c>
      <c r="L375" s="8" t="str">
        <f>IF(Table2[[#This Row],[Quantity]]=1, "Single Order", IF(Table2[[#This Row],[Quantity]]=2, "Small Order", IF(Table2[[#This Row],[Quantity]]=3, "Medium Order", "Bulk Order")))</f>
        <v>Single Order</v>
      </c>
      <c r="M375" s="10">
        <v>30</v>
      </c>
      <c r="N375" s="10">
        <v>30</v>
      </c>
    </row>
    <row r="376" spans="1:14" x14ac:dyDescent="0.2">
      <c r="A376">
        <v>491</v>
      </c>
      <c r="B376" s="5">
        <v>45069</v>
      </c>
      <c r="C376" s="5" t="str">
        <f>TEXT(Table2[[#This Row],[Date]], "MMM")</f>
        <v>May</v>
      </c>
      <c r="D376" s="8">
        <f>MONTH(Table2[[#This Row],[Date]])</f>
        <v>5</v>
      </c>
      <c r="E376" s="8">
        <f>YEAR(Table2[[#This Row],[Date]])</f>
        <v>2023</v>
      </c>
      <c r="F376" s="7" t="s">
        <v>504</v>
      </c>
      <c r="G376" s="7" t="s">
        <v>13</v>
      </c>
      <c r="H376" s="8">
        <v>60</v>
      </c>
      <c r="I376" s="8" t="str">
        <f>IF(Table2[[#This Row],[Age]] &lt; 19, "Teenagers", IF(Table2[[#This Row],[Age]] &lt;= 34, "Young Adults", IF(Table2[[#This Row],[Age]] &lt;= 45, "Adults", IF(Table2[[#This Row],[Age]] &lt;= 55, "Seniors", "Elderly")) ))</f>
        <v>Elderly</v>
      </c>
      <c r="J376" s="7" t="s">
        <v>16</v>
      </c>
      <c r="K376" s="8">
        <v>3</v>
      </c>
      <c r="L376" s="8" t="str">
        <f>IF(Table2[[#This Row],[Quantity]]=1, "Single Order", IF(Table2[[#This Row],[Quantity]]=2, "Small Order", IF(Table2[[#This Row],[Quantity]]=3, "Medium Order", "Bulk Order")))</f>
        <v>Medium Order</v>
      </c>
      <c r="M376" s="10">
        <v>300</v>
      </c>
      <c r="N376" s="10">
        <v>900</v>
      </c>
    </row>
    <row r="377" spans="1:14" x14ac:dyDescent="0.2">
      <c r="A377">
        <v>501</v>
      </c>
      <c r="B377" s="5">
        <v>45060</v>
      </c>
      <c r="C377" s="5" t="str">
        <f>TEXT(Table2[[#This Row],[Date]], "MMM")</f>
        <v>May</v>
      </c>
      <c r="D377" s="8">
        <f>MONTH(Table2[[#This Row],[Date]])</f>
        <v>5</v>
      </c>
      <c r="E377" s="8">
        <f>YEAR(Table2[[#This Row],[Date]])</f>
        <v>2023</v>
      </c>
      <c r="F377" s="7" t="s">
        <v>514</v>
      </c>
      <c r="G377" s="7" t="s">
        <v>10</v>
      </c>
      <c r="H377" s="8">
        <v>39</v>
      </c>
      <c r="I377" s="8" t="str">
        <f>IF(Table2[[#This Row],[Age]] &lt; 19, "Teenagers", IF(Table2[[#This Row],[Age]] &lt;= 34, "Young Adults", IF(Table2[[#This Row],[Age]] &lt;= 45, "Adults", IF(Table2[[#This Row],[Age]] &lt;= 55, "Seniors", "Elderly")) ))</f>
        <v>Adults</v>
      </c>
      <c r="J377" s="7" t="s">
        <v>16</v>
      </c>
      <c r="K377" s="8">
        <v>2</v>
      </c>
      <c r="L377" s="8" t="str">
        <f>IF(Table2[[#This Row],[Quantity]]=1, "Single Order", IF(Table2[[#This Row],[Quantity]]=2, "Small Order", IF(Table2[[#This Row],[Quantity]]=3, "Medium Order", "Bulk Order")))</f>
        <v>Small Order</v>
      </c>
      <c r="M377" s="10">
        <v>30</v>
      </c>
      <c r="N377" s="10">
        <v>60</v>
      </c>
    </row>
    <row r="378" spans="1:14" x14ac:dyDescent="0.2">
      <c r="A378">
        <v>504</v>
      </c>
      <c r="B378" s="5">
        <v>45062</v>
      </c>
      <c r="C378" s="5" t="str">
        <f>TEXT(Table2[[#This Row],[Date]], "MMM")</f>
        <v>May</v>
      </c>
      <c r="D378" s="8">
        <f>MONTH(Table2[[#This Row],[Date]])</f>
        <v>5</v>
      </c>
      <c r="E378" s="8">
        <f>YEAR(Table2[[#This Row],[Date]])</f>
        <v>2023</v>
      </c>
      <c r="F378" s="7" t="s">
        <v>517</v>
      </c>
      <c r="G378" s="7" t="s">
        <v>13</v>
      </c>
      <c r="H378" s="8">
        <v>38</v>
      </c>
      <c r="I378" s="8" t="str">
        <f>IF(Table2[[#This Row],[Age]] &lt; 19, "Teenagers", IF(Table2[[#This Row],[Age]] &lt;= 34, "Young Adults", IF(Table2[[#This Row],[Age]] &lt;= 45, "Adults", IF(Table2[[#This Row],[Age]] &lt;= 55, "Seniors", "Elderly")) ))</f>
        <v>Adults</v>
      </c>
      <c r="J378" s="7" t="s">
        <v>11</v>
      </c>
      <c r="K378" s="8">
        <v>3</v>
      </c>
      <c r="L378" s="8" t="str">
        <f>IF(Table2[[#This Row],[Quantity]]=1, "Single Order", IF(Table2[[#This Row],[Quantity]]=2, "Small Order", IF(Table2[[#This Row],[Quantity]]=3, "Medium Order", "Bulk Order")))</f>
        <v>Medium Order</v>
      </c>
      <c r="M378" s="10">
        <v>50</v>
      </c>
      <c r="N378" s="10">
        <v>150</v>
      </c>
    </row>
    <row r="379" spans="1:14" x14ac:dyDescent="0.2">
      <c r="A379">
        <v>518</v>
      </c>
      <c r="B379" s="5">
        <v>45057</v>
      </c>
      <c r="C379" s="5" t="str">
        <f>TEXT(Table2[[#This Row],[Date]], "MMM")</f>
        <v>May</v>
      </c>
      <c r="D379" s="8">
        <f>MONTH(Table2[[#This Row],[Date]])</f>
        <v>5</v>
      </c>
      <c r="E379" s="8">
        <f>YEAR(Table2[[#This Row],[Date]])</f>
        <v>2023</v>
      </c>
      <c r="F379" s="7" t="s">
        <v>531</v>
      </c>
      <c r="G379" s="7" t="s">
        <v>13</v>
      </c>
      <c r="H379" s="8">
        <v>40</v>
      </c>
      <c r="I379" s="8" t="str">
        <f>IF(Table2[[#This Row],[Age]] &lt; 19, "Teenagers", IF(Table2[[#This Row],[Age]] &lt;= 34, "Young Adults", IF(Table2[[#This Row],[Age]] &lt;= 45, "Adults", IF(Table2[[#This Row],[Age]] &lt;= 55, "Seniors", "Elderly")) ))</f>
        <v>Adults</v>
      </c>
      <c r="J379" s="7" t="s">
        <v>14</v>
      </c>
      <c r="K379" s="8">
        <v>1</v>
      </c>
      <c r="L379" s="8" t="str">
        <f>IF(Table2[[#This Row],[Quantity]]=1, "Single Order", IF(Table2[[#This Row],[Quantity]]=2, "Small Order", IF(Table2[[#This Row],[Quantity]]=3, "Medium Order", "Bulk Order")))</f>
        <v>Single Order</v>
      </c>
      <c r="M379" s="10">
        <v>30</v>
      </c>
      <c r="N379" s="10">
        <v>30</v>
      </c>
    </row>
    <row r="380" spans="1:14" x14ac:dyDescent="0.2">
      <c r="A380">
        <v>561</v>
      </c>
      <c r="B380" s="5">
        <v>45073</v>
      </c>
      <c r="C380" s="5" t="str">
        <f>TEXT(Table2[[#This Row],[Date]], "MMM")</f>
        <v>May</v>
      </c>
      <c r="D380" s="8">
        <f>MONTH(Table2[[#This Row],[Date]])</f>
        <v>5</v>
      </c>
      <c r="E380" s="8">
        <f>YEAR(Table2[[#This Row],[Date]])</f>
        <v>2023</v>
      </c>
      <c r="F380" s="7" t="s">
        <v>574</v>
      </c>
      <c r="G380" s="7" t="s">
        <v>13</v>
      </c>
      <c r="H380" s="8">
        <v>64</v>
      </c>
      <c r="I380" s="8" t="str">
        <f>IF(Table2[[#This Row],[Age]] &lt; 19, "Teenagers", IF(Table2[[#This Row],[Age]] &lt;= 34, "Young Adults", IF(Table2[[#This Row],[Age]] &lt;= 45, "Adults", IF(Table2[[#This Row],[Age]] &lt;= 55, "Seniors", "Elderly")) ))</f>
        <v>Elderly</v>
      </c>
      <c r="J380" s="7" t="s">
        <v>14</v>
      </c>
      <c r="K380" s="8">
        <v>4</v>
      </c>
      <c r="L380" s="8" t="str">
        <f>IF(Table2[[#This Row],[Quantity]]=1, "Single Order", IF(Table2[[#This Row],[Quantity]]=2, "Small Order", IF(Table2[[#This Row],[Quantity]]=3, "Medium Order", "Bulk Order")))</f>
        <v>Bulk Order</v>
      </c>
      <c r="M380" s="10">
        <v>500</v>
      </c>
      <c r="N380" s="10">
        <v>2000</v>
      </c>
    </row>
    <row r="381" spans="1:14" x14ac:dyDescent="0.2">
      <c r="A381">
        <v>578</v>
      </c>
      <c r="B381" s="5">
        <v>45072</v>
      </c>
      <c r="C381" s="5" t="str">
        <f>TEXT(Table2[[#This Row],[Date]], "MMM")</f>
        <v>May</v>
      </c>
      <c r="D381" s="8">
        <f>MONTH(Table2[[#This Row],[Date]])</f>
        <v>5</v>
      </c>
      <c r="E381" s="8">
        <f>YEAR(Table2[[#This Row],[Date]])</f>
        <v>2023</v>
      </c>
      <c r="F381" s="7" t="s">
        <v>591</v>
      </c>
      <c r="G381" s="7" t="s">
        <v>13</v>
      </c>
      <c r="H381" s="8">
        <v>54</v>
      </c>
      <c r="I381" s="8" t="str">
        <f>IF(Table2[[#This Row],[Age]] &lt; 19, "Teenagers", IF(Table2[[#This Row],[Age]] &lt;= 34, "Young Adults", IF(Table2[[#This Row],[Age]] &lt;= 45, "Adults", IF(Table2[[#This Row],[Age]] &lt;= 55, "Seniors", "Elderly")) ))</f>
        <v>Seniors</v>
      </c>
      <c r="J381" s="7" t="s">
        <v>14</v>
      </c>
      <c r="K381" s="8">
        <v>4</v>
      </c>
      <c r="L381" s="8" t="str">
        <f>IF(Table2[[#This Row],[Quantity]]=1, "Single Order", IF(Table2[[#This Row],[Quantity]]=2, "Small Order", IF(Table2[[#This Row],[Quantity]]=3, "Medium Order", "Bulk Order")))</f>
        <v>Bulk Order</v>
      </c>
      <c r="M381" s="10">
        <v>30</v>
      </c>
      <c r="N381" s="10">
        <v>120</v>
      </c>
    </row>
    <row r="382" spans="1:14" x14ac:dyDescent="0.2">
      <c r="A382">
        <v>585</v>
      </c>
      <c r="B382" s="5">
        <v>45047</v>
      </c>
      <c r="C382" s="5" t="str">
        <f>TEXT(Table2[[#This Row],[Date]], "MMM")</f>
        <v>May</v>
      </c>
      <c r="D382" s="8">
        <f>MONTH(Table2[[#This Row],[Date]])</f>
        <v>5</v>
      </c>
      <c r="E382" s="8">
        <f>YEAR(Table2[[#This Row],[Date]])</f>
        <v>2023</v>
      </c>
      <c r="F382" s="7" t="s">
        <v>598</v>
      </c>
      <c r="G382" s="7" t="s">
        <v>13</v>
      </c>
      <c r="H382" s="8">
        <v>24</v>
      </c>
      <c r="I382" s="8" t="str">
        <f>IF(Table2[[#This Row],[Age]] &lt; 19, "Teenagers", IF(Table2[[#This Row],[Age]] &lt;= 34, "Young Adults", IF(Table2[[#This Row],[Age]] &lt;= 45, "Adults", IF(Table2[[#This Row],[Age]] &lt;= 55, "Seniors", "Elderly")) ))</f>
        <v>Young Adults</v>
      </c>
      <c r="J382" s="7" t="s">
        <v>14</v>
      </c>
      <c r="K382" s="8">
        <v>1</v>
      </c>
      <c r="L382" s="8" t="str">
        <f>IF(Table2[[#This Row],[Quantity]]=1, "Single Order", IF(Table2[[#This Row],[Quantity]]=2, "Small Order", IF(Table2[[#This Row],[Quantity]]=3, "Medium Order", "Bulk Order")))</f>
        <v>Single Order</v>
      </c>
      <c r="M382" s="10">
        <v>25</v>
      </c>
      <c r="N382" s="10">
        <v>25</v>
      </c>
    </row>
    <row r="383" spans="1:14" x14ac:dyDescent="0.2">
      <c r="A383">
        <v>593</v>
      </c>
      <c r="B383" s="5">
        <v>45052</v>
      </c>
      <c r="C383" s="5" t="str">
        <f>TEXT(Table2[[#This Row],[Date]], "MMM")</f>
        <v>May</v>
      </c>
      <c r="D383" s="8">
        <f>MONTH(Table2[[#This Row],[Date]])</f>
        <v>5</v>
      </c>
      <c r="E383" s="8">
        <f>YEAR(Table2[[#This Row],[Date]])</f>
        <v>2023</v>
      </c>
      <c r="F383" s="7" t="s">
        <v>606</v>
      </c>
      <c r="G383" s="7" t="s">
        <v>10</v>
      </c>
      <c r="H383" s="8">
        <v>35</v>
      </c>
      <c r="I383" s="8" t="str">
        <f>IF(Table2[[#This Row],[Age]] &lt; 19, "Teenagers", IF(Table2[[#This Row],[Age]] &lt;= 34, "Young Adults", IF(Table2[[#This Row],[Age]] &lt;= 45, "Adults", IF(Table2[[#This Row],[Age]] &lt;= 55, "Seniors", "Elderly")) ))</f>
        <v>Adults</v>
      </c>
      <c r="J383" s="7" t="s">
        <v>16</v>
      </c>
      <c r="K383" s="8">
        <v>2</v>
      </c>
      <c r="L383" s="8" t="str">
        <f>IF(Table2[[#This Row],[Quantity]]=1, "Single Order", IF(Table2[[#This Row],[Quantity]]=2, "Small Order", IF(Table2[[#This Row],[Quantity]]=3, "Medium Order", "Bulk Order")))</f>
        <v>Small Order</v>
      </c>
      <c r="M383" s="10">
        <v>30</v>
      </c>
      <c r="N383" s="10">
        <v>60</v>
      </c>
    </row>
    <row r="384" spans="1:14" x14ac:dyDescent="0.2">
      <c r="A384">
        <v>606</v>
      </c>
      <c r="B384" s="5">
        <v>45051</v>
      </c>
      <c r="C384" s="5" t="str">
        <f>TEXT(Table2[[#This Row],[Date]], "MMM")</f>
        <v>May</v>
      </c>
      <c r="D384" s="8">
        <f>MONTH(Table2[[#This Row],[Date]])</f>
        <v>5</v>
      </c>
      <c r="E384" s="8">
        <f>YEAR(Table2[[#This Row],[Date]])</f>
        <v>2023</v>
      </c>
      <c r="F384" s="7" t="s">
        <v>619</v>
      </c>
      <c r="G384" s="7" t="s">
        <v>10</v>
      </c>
      <c r="H384" s="8">
        <v>22</v>
      </c>
      <c r="I384" s="8" t="str">
        <f>IF(Table2[[#This Row],[Age]] &lt; 19, "Teenagers", IF(Table2[[#This Row],[Age]] &lt;= 34, "Young Adults", IF(Table2[[#This Row],[Age]] &lt;= 45, "Adults", IF(Table2[[#This Row],[Age]] &lt;= 55, "Seniors", "Elderly")) ))</f>
        <v>Young Adults</v>
      </c>
      <c r="J384" s="7" t="s">
        <v>16</v>
      </c>
      <c r="K384" s="8">
        <v>1</v>
      </c>
      <c r="L384" s="8" t="str">
        <f>IF(Table2[[#This Row],[Quantity]]=1, "Single Order", IF(Table2[[#This Row],[Quantity]]=2, "Small Order", IF(Table2[[#This Row],[Quantity]]=3, "Medium Order", "Bulk Order")))</f>
        <v>Single Order</v>
      </c>
      <c r="M384" s="10">
        <v>50</v>
      </c>
      <c r="N384" s="10">
        <v>50</v>
      </c>
    </row>
    <row r="385" spans="1:14" x14ac:dyDescent="0.2">
      <c r="A385">
        <v>620</v>
      </c>
      <c r="B385" s="5">
        <v>45054</v>
      </c>
      <c r="C385" s="5" t="str">
        <f>TEXT(Table2[[#This Row],[Date]], "MMM")</f>
        <v>May</v>
      </c>
      <c r="D385" s="8">
        <f>MONTH(Table2[[#This Row],[Date]])</f>
        <v>5</v>
      </c>
      <c r="E385" s="8">
        <f>YEAR(Table2[[#This Row],[Date]])</f>
        <v>2023</v>
      </c>
      <c r="F385" s="7" t="s">
        <v>633</v>
      </c>
      <c r="G385" s="7" t="s">
        <v>10</v>
      </c>
      <c r="H385" s="8">
        <v>63</v>
      </c>
      <c r="I385" s="8" t="str">
        <f>IF(Table2[[#This Row],[Age]] &lt; 19, "Teenagers", IF(Table2[[#This Row],[Age]] &lt;= 34, "Young Adults", IF(Table2[[#This Row],[Age]] &lt;= 45, "Adults", IF(Table2[[#This Row],[Age]] &lt;= 55, "Seniors", "Elderly")) ))</f>
        <v>Elderly</v>
      </c>
      <c r="J385" s="7" t="s">
        <v>16</v>
      </c>
      <c r="K385" s="8">
        <v>3</v>
      </c>
      <c r="L385" s="8" t="str">
        <f>IF(Table2[[#This Row],[Quantity]]=1, "Single Order", IF(Table2[[#This Row],[Quantity]]=2, "Small Order", IF(Table2[[#This Row],[Quantity]]=3, "Medium Order", "Bulk Order")))</f>
        <v>Medium Order</v>
      </c>
      <c r="M385" s="10">
        <v>25</v>
      </c>
      <c r="N385" s="10">
        <v>75</v>
      </c>
    </row>
    <row r="386" spans="1:14" x14ac:dyDescent="0.2">
      <c r="A386">
        <v>639</v>
      </c>
      <c r="B386" s="5">
        <v>45059</v>
      </c>
      <c r="C386" s="5" t="str">
        <f>TEXT(Table2[[#This Row],[Date]], "MMM")</f>
        <v>May</v>
      </c>
      <c r="D386" s="8">
        <f>MONTH(Table2[[#This Row],[Date]])</f>
        <v>5</v>
      </c>
      <c r="E386" s="8">
        <f>YEAR(Table2[[#This Row],[Date]])</f>
        <v>2023</v>
      </c>
      <c r="F386" s="7" t="s">
        <v>652</v>
      </c>
      <c r="G386" s="7" t="s">
        <v>13</v>
      </c>
      <c r="H386" s="8">
        <v>62</v>
      </c>
      <c r="I386" s="8" t="str">
        <f>IF(Table2[[#This Row],[Age]] &lt; 19, "Teenagers", IF(Table2[[#This Row],[Age]] &lt;= 34, "Young Adults", IF(Table2[[#This Row],[Age]] &lt;= 45, "Adults", IF(Table2[[#This Row],[Age]] &lt;= 55, "Seniors", "Elderly")) ))</f>
        <v>Elderly</v>
      </c>
      <c r="J386" s="7" t="s">
        <v>11</v>
      </c>
      <c r="K386" s="8">
        <v>4</v>
      </c>
      <c r="L386" s="8" t="str">
        <f>IF(Table2[[#This Row],[Quantity]]=1, "Single Order", IF(Table2[[#This Row],[Quantity]]=2, "Small Order", IF(Table2[[#This Row],[Quantity]]=3, "Medium Order", "Bulk Order")))</f>
        <v>Bulk Order</v>
      </c>
      <c r="M386" s="10">
        <v>50</v>
      </c>
      <c r="N386" s="10">
        <v>200</v>
      </c>
    </row>
    <row r="387" spans="1:14" x14ac:dyDescent="0.2">
      <c r="A387">
        <v>640</v>
      </c>
      <c r="B387" s="5">
        <v>45053</v>
      </c>
      <c r="C387" s="5" t="str">
        <f>TEXT(Table2[[#This Row],[Date]], "MMM")</f>
        <v>May</v>
      </c>
      <c r="D387" s="8">
        <f>MONTH(Table2[[#This Row],[Date]])</f>
        <v>5</v>
      </c>
      <c r="E387" s="8">
        <f>YEAR(Table2[[#This Row],[Date]])</f>
        <v>2023</v>
      </c>
      <c r="F387" s="7" t="s">
        <v>653</v>
      </c>
      <c r="G387" s="7" t="s">
        <v>13</v>
      </c>
      <c r="H387" s="8">
        <v>51</v>
      </c>
      <c r="I387" s="8" t="str">
        <f>IF(Table2[[#This Row],[Age]] &lt; 19, "Teenagers", IF(Table2[[#This Row],[Age]] &lt;= 34, "Young Adults", IF(Table2[[#This Row],[Age]] &lt;= 45, "Adults", IF(Table2[[#This Row],[Age]] &lt;= 55, "Seniors", "Elderly")) ))</f>
        <v>Seniors</v>
      </c>
      <c r="J387" s="7" t="s">
        <v>16</v>
      </c>
      <c r="K387" s="8">
        <v>4</v>
      </c>
      <c r="L387" s="8" t="str">
        <f>IF(Table2[[#This Row],[Quantity]]=1, "Single Order", IF(Table2[[#This Row],[Quantity]]=2, "Small Order", IF(Table2[[#This Row],[Quantity]]=3, "Medium Order", "Bulk Order")))</f>
        <v>Bulk Order</v>
      </c>
      <c r="M387" s="10">
        <v>30</v>
      </c>
      <c r="N387" s="10">
        <v>120</v>
      </c>
    </row>
    <row r="388" spans="1:14" x14ac:dyDescent="0.2">
      <c r="A388">
        <v>642</v>
      </c>
      <c r="B388" s="5">
        <v>45068</v>
      </c>
      <c r="C388" s="5" t="str">
        <f>TEXT(Table2[[#This Row],[Date]], "MMM")</f>
        <v>May</v>
      </c>
      <c r="D388" s="8">
        <f>MONTH(Table2[[#This Row],[Date]])</f>
        <v>5</v>
      </c>
      <c r="E388" s="8">
        <f>YEAR(Table2[[#This Row],[Date]])</f>
        <v>2023</v>
      </c>
      <c r="F388" s="7" t="s">
        <v>655</v>
      </c>
      <c r="G388" s="7" t="s">
        <v>13</v>
      </c>
      <c r="H388" s="8">
        <v>54</v>
      </c>
      <c r="I388" s="8" t="str">
        <f>IF(Table2[[#This Row],[Age]] &lt; 19, "Teenagers", IF(Table2[[#This Row],[Age]] &lt;= 34, "Young Adults", IF(Table2[[#This Row],[Age]] &lt;= 45, "Adults", IF(Table2[[#This Row],[Age]] &lt;= 55, "Seniors", "Elderly")) ))</f>
        <v>Seniors</v>
      </c>
      <c r="J388" s="7" t="s">
        <v>14</v>
      </c>
      <c r="K388" s="8">
        <v>4</v>
      </c>
      <c r="L388" s="8" t="str">
        <f>IF(Table2[[#This Row],[Quantity]]=1, "Single Order", IF(Table2[[#This Row],[Quantity]]=2, "Small Order", IF(Table2[[#This Row],[Quantity]]=3, "Medium Order", "Bulk Order")))</f>
        <v>Bulk Order</v>
      </c>
      <c r="M388" s="10">
        <v>25</v>
      </c>
      <c r="N388" s="10">
        <v>100</v>
      </c>
    </row>
    <row r="389" spans="1:14" x14ac:dyDescent="0.2">
      <c r="A389">
        <v>646</v>
      </c>
      <c r="B389" s="5">
        <v>45049</v>
      </c>
      <c r="C389" s="5" t="str">
        <f>TEXT(Table2[[#This Row],[Date]], "MMM")</f>
        <v>May</v>
      </c>
      <c r="D389" s="8">
        <f>MONTH(Table2[[#This Row],[Date]])</f>
        <v>5</v>
      </c>
      <c r="E389" s="8">
        <f>YEAR(Table2[[#This Row],[Date]])</f>
        <v>2023</v>
      </c>
      <c r="F389" s="7" t="s">
        <v>659</v>
      </c>
      <c r="G389" s="7" t="s">
        <v>10</v>
      </c>
      <c r="H389" s="8">
        <v>38</v>
      </c>
      <c r="I389" s="8" t="str">
        <f>IF(Table2[[#This Row],[Age]] &lt; 19, "Teenagers", IF(Table2[[#This Row],[Age]] &lt;= 34, "Young Adults", IF(Table2[[#This Row],[Age]] &lt;= 45, "Adults", IF(Table2[[#This Row],[Age]] &lt;= 55, "Seniors", "Elderly")) ))</f>
        <v>Adults</v>
      </c>
      <c r="J389" s="7" t="s">
        <v>14</v>
      </c>
      <c r="K389" s="8">
        <v>3</v>
      </c>
      <c r="L389" s="8" t="str">
        <f>IF(Table2[[#This Row],[Quantity]]=1, "Single Order", IF(Table2[[#This Row],[Quantity]]=2, "Small Order", IF(Table2[[#This Row],[Quantity]]=3, "Medium Order", "Bulk Order")))</f>
        <v>Medium Order</v>
      </c>
      <c r="M389" s="10">
        <v>30</v>
      </c>
      <c r="N389" s="10">
        <v>90</v>
      </c>
    </row>
    <row r="390" spans="1:14" x14ac:dyDescent="0.2">
      <c r="A390">
        <v>647</v>
      </c>
      <c r="B390" s="5">
        <v>45067</v>
      </c>
      <c r="C390" s="5" t="str">
        <f>TEXT(Table2[[#This Row],[Date]], "MMM")</f>
        <v>May</v>
      </c>
      <c r="D390" s="8">
        <f>MONTH(Table2[[#This Row],[Date]])</f>
        <v>5</v>
      </c>
      <c r="E390" s="8">
        <f>YEAR(Table2[[#This Row],[Date]])</f>
        <v>2023</v>
      </c>
      <c r="F390" s="7" t="s">
        <v>660</v>
      </c>
      <c r="G390" s="7" t="s">
        <v>10</v>
      </c>
      <c r="H390" s="8">
        <v>59</v>
      </c>
      <c r="I390" s="8" t="str">
        <f>IF(Table2[[#This Row],[Age]] &lt; 19, "Teenagers", IF(Table2[[#This Row],[Age]] &lt;= 34, "Young Adults", IF(Table2[[#This Row],[Age]] &lt;= 45, "Adults", IF(Table2[[#This Row],[Age]] &lt;= 55, "Seniors", "Elderly")) ))</f>
        <v>Elderly</v>
      </c>
      <c r="J390" s="7" t="s">
        <v>14</v>
      </c>
      <c r="K390" s="8">
        <v>3</v>
      </c>
      <c r="L390" s="8" t="str">
        <f>IF(Table2[[#This Row],[Quantity]]=1, "Single Order", IF(Table2[[#This Row],[Quantity]]=2, "Small Order", IF(Table2[[#This Row],[Quantity]]=3, "Medium Order", "Bulk Order")))</f>
        <v>Medium Order</v>
      </c>
      <c r="M390" s="10">
        <v>500</v>
      </c>
      <c r="N390" s="10">
        <v>1500</v>
      </c>
    </row>
    <row r="391" spans="1:14" x14ac:dyDescent="0.2">
      <c r="A391">
        <v>651</v>
      </c>
      <c r="B391" s="5">
        <v>45073</v>
      </c>
      <c r="C391" s="5" t="str">
        <f>TEXT(Table2[[#This Row],[Date]], "MMM")</f>
        <v>May</v>
      </c>
      <c r="D391" s="8">
        <f>MONTH(Table2[[#This Row],[Date]])</f>
        <v>5</v>
      </c>
      <c r="E391" s="8">
        <f>YEAR(Table2[[#This Row],[Date]])</f>
        <v>2023</v>
      </c>
      <c r="F391" s="7" t="s">
        <v>664</v>
      </c>
      <c r="G391" s="7" t="s">
        <v>10</v>
      </c>
      <c r="H391" s="8">
        <v>51</v>
      </c>
      <c r="I391" s="8" t="str">
        <f>IF(Table2[[#This Row],[Age]] &lt; 19, "Teenagers", IF(Table2[[#This Row],[Age]] &lt;= 34, "Young Adults", IF(Table2[[#This Row],[Age]] &lt;= 45, "Adults", IF(Table2[[#This Row],[Age]] &lt;= 55, "Seniors", "Elderly")) ))</f>
        <v>Seniors</v>
      </c>
      <c r="J391" s="7" t="s">
        <v>14</v>
      </c>
      <c r="K391" s="8">
        <v>3</v>
      </c>
      <c r="L391" s="8" t="str">
        <f>IF(Table2[[#This Row],[Quantity]]=1, "Single Order", IF(Table2[[#This Row],[Quantity]]=2, "Small Order", IF(Table2[[#This Row],[Quantity]]=3, "Medium Order", "Bulk Order")))</f>
        <v>Medium Order</v>
      </c>
      <c r="M391" s="10">
        <v>50</v>
      </c>
      <c r="N391" s="10">
        <v>150</v>
      </c>
    </row>
    <row r="392" spans="1:14" x14ac:dyDescent="0.2">
      <c r="A392">
        <v>652</v>
      </c>
      <c r="B392" s="5">
        <v>45047</v>
      </c>
      <c r="C392" s="5" t="str">
        <f>TEXT(Table2[[#This Row],[Date]], "MMM")</f>
        <v>May</v>
      </c>
      <c r="D392" s="8">
        <f>MONTH(Table2[[#This Row],[Date]])</f>
        <v>5</v>
      </c>
      <c r="E392" s="8">
        <f>YEAR(Table2[[#This Row],[Date]])</f>
        <v>2023</v>
      </c>
      <c r="F392" s="7" t="s">
        <v>665</v>
      </c>
      <c r="G392" s="7" t="s">
        <v>13</v>
      </c>
      <c r="H392" s="8">
        <v>34</v>
      </c>
      <c r="I392" s="8" t="str">
        <f>IF(Table2[[#This Row],[Age]] &lt; 19, "Teenagers", IF(Table2[[#This Row],[Age]] &lt;= 34, "Young Adults", IF(Table2[[#This Row],[Age]] &lt;= 45, "Adults", IF(Table2[[#This Row],[Age]] &lt;= 55, "Seniors", "Elderly")) ))</f>
        <v>Young Adults</v>
      </c>
      <c r="J392" s="7" t="s">
        <v>11</v>
      </c>
      <c r="K392" s="8">
        <v>2</v>
      </c>
      <c r="L392" s="8" t="str">
        <f>IF(Table2[[#This Row],[Quantity]]=1, "Single Order", IF(Table2[[#This Row],[Quantity]]=2, "Small Order", IF(Table2[[#This Row],[Quantity]]=3, "Medium Order", "Bulk Order")))</f>
        <v>Small Order</v>
      </c>
      <c r="M392" s="10">
        <v>50</v>
      </c>
      <c r="N392" s="10">
        <v>100</v>
      </c>
    </row>
    <row r="393" spans="1:14" x14ac:dyDescent="0.2">
      <c r="A393">
        <v>653</v>
      </c>
      <c r="B393" s="5">
        <v>45066</v>
      </c>
      <c r="C393" s="5" t="str">
        <f>TEXT(Table2[[#This Row],[Date]], "MMM")</f>
        <v>May</v>
      </c>
      <c r="D393" s="8">
        <f>MONTH(Table2[[#This Row],[Date]])</f>
        <v>5</v>
      </c>
      <c r="E393" s="8">
        <f>YEAR(Table2[[#This Row],[Date]])</f>
        <v>2023</v>
      </c>
      <c r="F393" s="7" t="s">
        <v>666</v>
      </c>
      <c r="G393" s="7" t="s">
        <v>10</v>
      </c>
      <c r="H393" s="8">
        <v>54</v>
      </c>
      <c r="I393" s="8" t="str">
        <f>IF(Table2[[#This Row],[Age]] &lt; 19, "Teenagers", IF(Table2[[#This Row],[Age]] &lt;= 34, "Young Adults", IF(Table2[[#This Row],[Age]] &lt;= 45, "Adults", IF(Table2[[#This Row],[Age]] &lt;= 55, "Seniors", "Elderly")) ))</f>
        <v>Seniors</v>
      </c>
      <c r="J393" s="7" t="s">
        <v>14</v>
      </c>
      <c r="K393" s="8">
        <v>3</v>
      </c>
      <c r="L393" s="8" t="str">
        <f>IF(Table2[[#This Row],[Quantity]]=1, "Single Order", IF(Table2[[#This Row],[Quantity]]=2, "Small Order", IF(Table2[[#This Row],[Quantity]]=3, "Medium Order", "Bulk Order")))</f>
        <v>Medium Order</v>
      </c>
      <c r="M393" s="10">
        <v>25</v>
      </c>
      <c r="N393" s="10">
        <v>75</v>
      </c>
    </row>
    <row r="394" spans="1:14" x14ac:dyDescent="0.2">
      <c r="A394">
        <v>694</v>
      </c>
      <c r="B394" s="5">
        <v>45066</v>
      </c>
      <c r="C394" s="5" t="str">
        <f>TEXT(Table2[[#This Row],[Date]], "MMM")</f>
        <v>May</v>
      </c>
      <c r="D394" s="8">
        <f>MONTH(Table2[[#This Row],[Date]])</f>
        <v>5</v>
      </c>
      <c r="E394" s="8">
        <f>YEAR(Table2[[#This Row],[Date]])</f>
        <v>2023</v>
      </c>
      <c r="F394" s="7" t="s">
        <v>707</v>
      </c>
      <c r="G394" s="7" t="s">
        <v>13</v>
      </c>
      <c r="H394" s="8">
        <v>39</v>
      </c>
      <c r="I394" s="8" t="str">
        <f>IF(Table2[[#This Row],[Age]] &lt; 19, "Teenagers", IF(Table2[[#This Row],[Age]] &lt;= 34, "Young Adults", IF(Table2[[#This Row],[Age]] &lt;= 45, "Adults", IF(Table2[[#This Row],[Age]] &lt;= 55, "Seniors", "Elderly")) ))</f>
        <v>Adults</v>
      </c>
      <c r="J394" s="7" t="s">
        <v>16</v>
      </c>
      <c r="K394" s="8">
        <v>2</v>
      </c>
      <c r="L394" s="8" t="str">
        <f>IF(Table2[[#This Row],[Quantity]]=1, "Single Order", IF(Table2[[#This Row],[Quantity]]=2, "Small Order", IF(Table2[[#This Row],[Quantity]]=3, "Medium Order", "Bulk Order")))</f>
        <v>Small Order</v>
      </c>
      <c r="M394" s="10">
        <v>25</v>
      </c>
      <c r="N394" s="10">
        <v>50</v>
      </c>
    </row>
    <row r="395" spans="1:14" x14ac:dyDescent="0.2">
      <c r="A395">
        <v>721</v>
      </c>
      <c r="B395" s="5">
        <v>45060</v>
      </c>
      <c r="C395" s="5" t="str">
        <f>TEXT(Table2[[#This Row],[Date]], "MMM")</f>
        <v>May</v>
      </c>
      <c r="D395" s="8">
        <f>MONTH(Table2[[#This Row],[Date]])</f>
        <v>5</v>
      </c>
      <c r="E395" s="8">
        <f>YEAR(Table2[[#This Row],[Date]])</f>
        <v>2023</v>
      </c>
      <c r="F395" s="7" t="s">
        <v>734</v>
      </c>
      <c r="G395" s="7" t="s">
        <v>13</v>
      </c>
      <c r="H395" s="8">
        <v>52</v>
      </c>
      <c r="I395" s="8" t="str">
        <f>IF(Table2[[#This Row],[Age]] &lt; 19, "Teenagers", IF(Table2[[#This Row],[Age]] &lt;= 34, "Young Adults", IF(Table2[[#This Row],[Age]] &lt;= 45, "Adults", IF(Table2[[#This Row],[Age]] &lt;= 55, "Seniors", "Elderly")) ))</f>
        <v>Seniors</v>
      </c>
      <c r="J395" s="7" t="s">
        <v>14</v>
      </c>
      <c r="K395" s="8">
        <v>1</v>
      </c>
      <c r="L395" s="8" t="str">
        <f>IF(Table2[[#This Row],[Quantity]]=1, "Single Order", IF(Table2[[#This Row],[Quantity]]=2, "Small Order", IF(Table2[[#This Row],[Quantity]]=3, "Medium Order", "Bulk Order")))</f>
        <v>Single Order</v>
      </c>
      <c r="M395" s="10">
        <v>500</v>
      </c>
      <c r="N395" s="10">
        <v>500</v>
      </c>
    </row>
    <row r="396" spans="1:14" x14ac:dyDescent="0.2">
      <c r="A396">
        <v>729</v>
      </c>
      <c r="B396" s="5">
        <v>45069</v>
      </c>
      <c r="C396" s="5" t="str">
        <f>TEXT(Table2[[#This Row],[Date]], "MMM")</f>
        <v>May</v>
      </c>
      <c r="D396" s="8">
        <f>MONTH(Table2[[#This Row],[Date]])</f>
        <v>5</v>
      </c>
      <c r="E396" s="8">
        <f>YEAR(Table2[[#This Row],[Date]])</f>
        <v>2023</v>
      </c>
      <c r="F396" s="7" t="s">
        <v>742</v>
      </c>
      <c r="G396" s="7" t="s">
        <v>10</v>
      </c>
      <c r="H396" s="8">
        <v>29</v>
      </c>
      <c r="I396" s="8" t="str">
        <f>IF(Table2[[#This Row],[Age]] &lt; 19, "Teenagers", IF(Table2[[#This Row],[Age]] &lt;= 34, "Young Adults", IF(Table2[[#This Row],[Age]] &lt;= 45, "Adults", IF(Table2[[#This Row],[Age]] &lt;= 55, "Seniors", "Elderly")) ))</f>
        <v>Young Adults</v>
      </c>
      <c r="J396" s="7" t="s">
        <v>14</v>
      </c>
      <c r="K396" s="8">
        <v>4</v>
      </c>
      <c r="L396" s="8" t="str">
        <f>IF(Table2[[#This Row],[Quantity]]=1, "Single Order", IF(Table2[[#This Row],[Quantity]]=2, "Small Order", IF(Table2[[#This Row],[Quantity]]=3, "Medium Order", "Bulk Order")))</f>
        <v>Bulk Order</v>
      </c>
      <c r="M396" s="10">
        <v>300</v>
      </c>
      <c r="N396" s="10">
        <v>1200</v>
      </c>
    </row>
    <row r="397" spans="1:14" x14ac:dyDescent="0.2">
      <c r="A397">
        <v>731</v>
      </c>
      <c r="B397" s="5">
        <v>45056</v>
      </c>
      <c r="C397" s="5" t="str">
        <f>TEXT(Table2[[#This Row],[Date]], "MMM")</f>
        <v>May</v>
      </c>
      <c r="D397" s="8">
        <f>MONTH(Table2[[#This Row],[Date]])</f>
        <v>5</v>
      </c>
      <c r="E397" s="8">
        <f>YEAR(Table2[[#This Row],[Date]])</f>
        <v>2023</v>
      </c>
      <c r="F397" s="7" t="s">
        <v>744</v>
      </c>
      <c r="G397" s="7" t="s">
        <v>10</v>
      </c>
      <c r="H397" s="8">
        <v>54</v>
      </c>
      <c r="I397" s="8" t="str">
        <f>IF(Table2[[#This Row],[Age]] &lt; 19, "Teenagers", IF(Table2[[#This Row],[Age]] &lt;= 34, "Young Adults", IF(Table2[[#This Row],[Age]] &lt;= 45, "Adults", IF(Table2[[#This Row],[Age]] &lt;= 55, "Seniors", "Elderly")) ))</f>
        <v>Seniors</v>
      </c>
      <c r="J397" s="7" t="s">
        <v>14</v>
      </c>
      <c r="K397" s="8">
        <v>4</v>
      </c>
      <c r="L397" s="8" t="str">
        <f>IF(Table2[[#This Row],[Quantity]]=1, "Single Order", IF(Table2[[#This Row],[Quantity]]=2, "Small Order", IF(Table2[[#This Row],[Quantity]]=3, "Medium Order", "Bulk Order")))</f>
        <v>Bulk Order</v>
      </c>
      <c r="M397" s="10">
        <v>500</v>
      </c>
      <c r="N397" s="10">
        <v>2000</v>
      </c>
    </row>
    <row r="398" spans="1:14" x14ac:dyDescent="0.2">
      <c r="A398">
        <v>744</v>
      </c>
      <c r="B398" s="5">
        <v>45053</v>
      </c>
      <c r="C398" s="5" t="str">
        <f>TEXT(Table2[[#This Row],[Date]], "MMM")</f>
        <v>May</v>
      </c>
      <c r="D398" s="8">
        <f>MONTH(Table2[[#This Row],[Date]])</f>
        <v>5</v>
      </c>
      <c r="E398" s="8">
        <f>YEAR(Table2[[#This Row],[Date]])</f>
        <v>2023</v>
      </c>
      <c r="F398" s="7" t="s">
        <v>757</v>
      </c>
      <c r="G398" s="7" t="s">
        <v>10</v>
      </c>
      <c r="H398" s="8">
        <v>40</v>
      </c>
      <c r="I398" s="8" t="str">
        <f>IF(Table2[[#This Row],[Age]] &lt; 19, "Teenagers", IF(Table2[[#This Row],[Age]] &lt;= 34, "Young Adults", IF(Table2[[#This Row],[Age]] &lt;= 45, "Adults", IF(Table2[[#This Row],[Age]] &lt;= 55, "Seniors", "Elderly")) ))</f>
        <v>Adults</v>
      </c>
      <c r="J398" s="7" t="s">
        <v>16</v>
      </c>
      <c r="K398" s="8">
        <v>1</v>
      </c>
      <c r="L398" s="8" t="str">
        <f>IF(Table2[[#This Row],[Quantity]]=1, "Single Order", IF(Table2[[#This Row],[Quantity]]=2, "Small Order", IF(Table2[[#This Row],[Quantity]]=3, "Medium Order", "Bulk Order")))</f>
        <v>Single Order</v>
      </c>
      <c r="M398" s="10">
        <v>25</v>
      </c>
      <c r="N398" s="10">
        <v>25</v>
      </c>
    </row>
    <row r="399" spans="1:14" x14ac:dyDescent="0.2">
      <c r="A399">
        <v>749</v>
      </c>
      <c r="B399" s="5">
        <v>45049</v>
      </c>
      <c r="C399" s="5" t="str">
        <f>TEXT(Table2[[#This Row],[Date]], "MMM")</f>
        <v>May</v>
      </c>
      <c r="D399" s="8">
        <f>MONTH(Table2[[#This Row],[Date]])</f>
        <v>5</v>
      </c>
      <c r="E399" s="8">
        <f>YEAR(Table2[[#This Row],[Date]])</f>
        <v>2023</v>
      </c>
      <c r="F399" s="7" t="s">
        <v>762</v>
      </c>
      <c r="G399" s="7" t="s">
        <v>10</v>
      </c>
      <c r="H399" s="8">
        <v>42</v>
      </c>
      <c r="I399" s="8" t="str">
        <f>IF(Table2[[#This Row],[Age]] &lt; 19, "Teenagers", IF(Table2[[#This Row],[Age]] &lt;= 34, "Young Adults", IF(Table2[[#This Row],[Age]] &lt;= 45, "Adults", IF(Table2[[#This Row],[Age]] &lt;= 55, "Seniors", "Elderly")) ))</f>
        <v>Adults</v>
      </c>
      <c r="J399" s="7" t="s">
        <v>11</v>
      </c>
      <c r="K399" s="8">
        <v>1</v>
      </c>
      <c r="L399" s="8" t="str">
        <f>IF(Table2[[#This Row],[Quantity]]=1, "Single Order", IF(Table2[[#This Row],[Quantity]]=2, "Small Order", IF(Table2[[#This Row],[Quantity]]=3, "Medium Order", "Bulk Order")))</f>
        <v>Single Order</v>
      </c>
      <c r="M399" s="10">
        <v>30</v>
      </c>
      <c r="N399" s="10">
        <v>30</v>
      </c>
    </row>
    <row r="400" spans="1:14" x14ac:dyDescent="0.2">
      <c r="A400">
        <v>758</v>
      </c>
      <c r="B400" s="5">
        <v>45058</v>
      </c>
      <c r="C400" s="5" t="str">
        <f>TEXT(Table2[[#This Row],[Date]], "MMM")</f>
        <v>May</v>
      </c>
      <c r="D400" s="8">
        <f>MONTH(Table2[[#This Row],[Date]])</f>
        <v>5</v>
      </c>
      <c r="E400" s="8">
        <f>YEAR(Table2[[#This Row],[Date]])</f>
        <v>2023</v>
      </c>
      <c r="F400" s="7" t="s">
        <v>771</v>
      </c>
      <c r="G400" s="7" t="s">
        <v>10</v>
      </c>
      <c r="H400" s="8">
        <v>64</v>
      </c>
      <c r="I400" s="8" t="str">
        <f>IF(Table2[[#This Row],[Age]] &lt; 19, "Teenagers", IF(Table2[[#This Row],[Age]] &lt;= 34, "Young Adults", IF(Table2[[#This Row],[Age]] &lt;= 45, "Adults", IF(Table2[[#This Row],[Age]] &lt;= 55, "Seniors", "Elderly")) ))</f>
        <v>Elderly</v>
      </c>
      <c r="J400" s="7" t="s">
        <v>14</v>
      </c>
      <c r="K400" s="8">
        <v>4</v>
      </c>
      <c r="L400" s="8" t="str">
        <f>IF(Table2[[#This Row],[Quantity]]=1, "Single Order", IF(Table2[[#This Row],[Quantity]]=2, "Small Order", IF(Table2[[#This Row],[Quantity]]=3, "Medium Order", "Bulk Order")))</f>
        <v>Bulk Order</v>
      </c>
      <c r="M400" s="10">
        <v>25</v>
      </c>
      <c r="N400" s="10">
        <v>100</v>
      </c>
    </row>
    <row r="401" spans="1:14" x14ac:dyDescent="0.2">
      <c r="A401">
        <v>779</v>
      </c>
      <c r="B401" s="5">
        <v>45051</v>
      </c>
      <c r="C401" s="5" t="str">
        <f>TEXT(Table2[[#This Row],[Date]], "MMM")</f>
        <v>May</v>
      </c>
      <c r="D401" s="8">
        <f>MONTH(Table2[[#This Row],[Date]])</f>
        <v>5</v>
      </c>
      <c r="E401" s="8">
        <f>YEAR(Table2[[#This Row],[Date]])</f>
        <v>2023</v>
      </c>
      <c r="F401" s="7" t="s">
        <v>792</v>
      </c>
      <c r="G401" s="7" t="s">
        <v>13</v>
      </c>
      <c r="H401" s="8">
        <v>56</v>
      </c>
      <c r="I401" s="8" t="str">
        <f>IF(Table2[[#This Row],[Age]] &lt; 19, "Teenagers", IF(Table2[[#This Row],[Age]] &lt;= 34, "Young Adults", IF(Table2[[#This Row],[Age]] &lt;= 45, "Adults", IF(Table2[[#This Row],[Age]] &lt;= 55, "Seniors", "Elderly")) ))</f>
        <v>Elderly</v>
      </c>
      <c r="J401" s="7" t="s">
        <v>16</v>
      </c>
      <c r="K401" s="8">
        <v>2</v>
      </c>
      <c r="L401" s="8" t="str">
        <f>IF(Table2[[#This Row],[Quantity]]=1, "Single Order", IF(Table2[[#This Row],[Quantity]]=2, "Small Order", IF(Table2[[#This Row],[Quantity]]=3, "Medium Order", "Bulk Order")))</f>
        <v>Small Order</v>
      </c>
      <c r="M401" s="10">
        <v>500</v>
      </c>
      <c r="N401" s="10">
        <v>1000</v>
      </c>
    </row>
    <row r="402" spans="1:14" x14ac:dyDescent="0.2">
      <c r="A402">
        <v>811</v>
      </c>
      <c r="B402" s="5">
        <v>45065</v>
      </c>
      <c r="C402" s="5" t="str">
        <f>TEXT(Table2[[#This Row],[Date]], "MMM")</f>
        <v>May</v>
      </c>
      <c r="D402" s="8">
        <f>MONTH(Table2[[#This Row],[Date]])</f>
        <v>5</v>
      </c>
      <c r="E402" s="8">
        <f>YEAR(Table2[[#This Row],[Date]])</f>
        <v>2023</v>
      </c>
      <c r="F402" s="7" t="s">
        <v>824</v>
      </c>
      <c r="G402" s="7" t="s">
        <v>10</v>
      </c>
      <c r="H402" s="8">
        <v>61</v>
      </c>
      <c r="I402" s="8" t="str">
        <f>IF(Table2[[#This Row],[Age]] &lt; 19, "Teenagers", IF(Table2[[#This Row],[Age]] &lt;= 34, "Young Adults", IF(Table2[[#This Row],[Age]] &lt;= 45, "Adults", IF(Table2[[#This Row],[Age]] &lt;= 55, "Seniors", "Elderly")) ))</f>
        <v>Elderly</v>
      </c>
      <c r="J402" s="7" t="s">
        <v>11</v>
      </c>
      <c r="K402" s="8">
        <v>2</v>
      </c>
      <c r="L402" s="8" t="str">
        <f>IF(Table2[[#This Row],[Quantity]]=1, "Single Order", IF(Table2[[#This Row],[Quantity]]=2, "Small Order", IF(Table2[[#This Row],[Quantity]]=3, "Medium Order", "Bulk Order")))</f>
        <v>Small Order</v>
      </c>
      <c r="M402" s="10">
        <v>25</v>
      </c>
      <c r="N402" s="10">
        <v>50</v>
      </c>
    </row>
    <row r="403" spans="1:14" x14ac:dyDescent="0.2">
      <c r="A403">
        <v>818</v>
      </c>
      <c r="B403" s="5">
        <v>45064</v>
      </c>
      <c r="C403" s="5" t="str">
        <f>TEXT(Table2[[#This Row],[Date]], "MMM")</f>
        <v>May</v>
      </c>
      <c r="D403" s="8">
        <f>MONTH(Table2[[#This Row],[Date]])</f>
        <v>5</v>
      </c>
      <c r="E403" s="8">
        <f>YEAR(Table2[[#This Row],[Date]])</f>
        <v>2023</v>
      </c>
      <c r="F403" s="7" t="s">
        <v>831</v>
      </c>
      <c r="G403" s="7" t="s">
        <v>10</v>
      </c>
      <c r="H403" s="8">
        <v>30</v>
      </c>
      <c r="I403" s="8" t="str">
        <f>IF(Table2[[#This Row],[Age]] &lt; 19, "Teenagers", IF(Table2[[#This Row],[Age]] &lt;= 34, "Young Adults", IF(Table2[[#This Row],[Age]] &lt;= 45, "Adults", IF(Table2[[#This Row],[Age]] &lt;= 55, "Seniors", "Elderly")) ))</f>
        <v>Young Adults</v>
      </c>
      <c r="J403" s="7" t="s">
        <v>16</v>
      </c>
      <c r="K403" s="8">
        <v>1</v>
      </c>
      <c r="L403" s="8" t="str">
        <f>IF(Table2[[#This Row],[Quantity]]=1, "Single Order", IF(Table2[[#This Row],[Quantity]]=2, "Small Order", IF(Table2[[#This Row],[Quantity]]=3, "Medium Order", "Bulk Order")))</f>
        <v>Single Order</v>
      </c>
      <c r="M403" s="10">
        <v>500</v>
      </c>
      <c r="N403" s="10">
        <v>500</v>
      </c>
    </row>
    <row r="404" spans="1:14" x14ac:dyDescent="0.2">
      <c r="A404">
        <v>820</v>
      </c>
      <c r="B404" s="5">
        <v>45052</v>
      </c>
      <c r="C404" s="5" t="str">
        <f>TEXT(Table2[[#This Row],[Date]], "MMM")</f>
        <v>May</v>
      </c>
      <c r="D404" s="8">
        <f>MONTH(Table2[[#This Row],[Date]])</f>
        <v>5</v>
      </c>
      <c r="E404" s="8">
        <f>YEAR(Table2[[#This Row],[Date]])</f>
        <v>2023</v>
      </c>
      <c r="F404" s="7" t="s">
        <v>833</v>
      </c>
      <c r="G404" s="7" t="s">
        <v>10</v>
      </c>
      <c r="H404" s="8">
        <v>49</v>
      </c>
      <c r="I404" s="8" t="str">
        <f>IF(Table2[[#This Row],[Age]] &lt; 19, "Teenagers", IF(Table2[[#This Row],[Age]] &lt;= 34, "Young Adults", IF(Table2[[#This Row],[Age]] &lt;= 45, "Adults", IF(Table2[[#This Row],[Age]] &lt;= 55, "Seniors", "Elderly")) ))</f>
        <v>Seniors</v>
      </c>
      <c r="J404" s="7" t="s">
        <v>16</v>
      </c>
      <c r="K404" s="8">
        <v>4</v>
      </c>
      <c r="L404" s="8" t="str">
        <f>IF(Table2[[#This Row],[Quantity]]=1, "Single Order", IF(Table2[[#This Row],[Quantity]]=2, "Small Order", IF(Table2[[#This Row],[Quantity]]=3, "Medium Order", "Bulk Order")))</f>
        <v>Bulk Order</v>
      </c>
      <c r="M404" s="10">
        <v>50</v>
      </c>
      <c r="N404" s="10">
        <v>200</v>
      </c>
    </row>
    <row r="405" spans="1:14" x14ac:dyDescent="0.2">
      <c r="A405">
        <v>822</v>
      </c>
      <c r="B405" s="5">
        <v>45069</v>
      </c>
      <c r="C405" s="5" t="str">
        <f>TEXT(Table2[[#This Row],[Date]], "MMM")</f>
        <v>May</v>
      </c>
      <c r="D405" s="8">
        <f>MONTH(Table2[[#This Row],[Date]])</f>
        <v>5</v>
      </c>
      <c r="E405" s="8">
        <f>YEAR(Table2[[#This Row],[Date]])</f>
        <v>2023</v>
      </c>
      <c r="F405" s="7" t="s">
        <v>835</v>
      </c>
      <c r="G405" s="7" t="s">
        <v>13</v>
      </c>
      <c r="H405" s="8">
        <v>52</v>
      </c>
      <c r="I405" s="8" t="str">
        <f>IF(Table2[[#This Row],[Age]] &lt; 19, "Teenagers", IF(Table2[[#This Row],[Age]] &lt;= 34, "Young Adults", IF(Table2[[#This Row],[Age]] &lt;= 45, "Adults", IF(Table2[[#This Row],[Age]] &lt;= 55, "Seniors", "Elderly")) ))</f>
        <v>Seniors</v>
      </c>
      <c r="J405" s="7" t="s">
        <v>11</v>
      </c>
      <c r="K405" s="8">
        <v>3</v>
      </c>
      <c r="L405" s="8" t="str">
        <f>IF(Table2[[#This Row],[Quantity]]=1, "Single Order", IF(Table2[[#This Row],[Quantity]]=2, "Small Order", IF(Table2[[#This Row],[Quantity]]=3, "Medium Order", "Bulk Order")))</f>
        <v>Medium Order</v>
      </c>
      <c r="M405" s="10">
        <v>50</v>
      </c>
      <c r="N405" s="10">
        <v>150</v>
      </c>
    </row>
    <row r="406" spans="1:14" x14ac:dyDescent="0.2">
      <c r="A406">
        <v>824</v>
      </c>
      <c r="B406" s="5">
        <v>45051</v>
      </c>
      <c r="C406" s="5" t="str">
        <f>TEXT(Table2[[#This Row],[Date]], "MMM")</f>
        <v>May</v>
      </c>
      <c r="D406" s="8">
        <f>MONTH(Table2[[#This Row],[Date]])</f>
        <v>5</v>
      </c>
      <c r="E406" s="8">
        <f>YEAR(Table2[[#This Row],[Date]])</f>
        <v>2023</v>
      </c>
      <c r="F406" s="7" t="s">
        <v>837</v>
      </c>
      <c r="G406" s="7" t="s">
        <v>10</v>
      </c>
      <c r="H406" s="8">
        <v>63</v>
      </c>
      <c r="I406" s="8" t="str">
        <f>IF(Table2[[#This Row],[Age]] &lt; 19, "Teenagers", IF(Table2[[#This Row],[Age]] &lt;= 34, "Young Adults", IF(Table2[[#This Row],[Age]] &lt;= 45, "Adults", IF(Table2[[#This Row],[Age]] &lt;= 55, "Seniors", "Elderly")) ))</f>
        <v>Elderly</v>
      </c>
      <c r="J406" s="7" t="s">
        <v>14</v>
      </c>
      <c r="K406" s="8">
        <v>4</v>
      </c>
      <c r="L406" s="8" t="str">
        <f>IF(Table2[[#This Row],[Quantity]]=1, "Single Order", IF(Table2[[#This Row],[Quantity]]=2, "Small Order", IF(Table2[[#This Row],[Quantity]]=3, "Medium Order", "Bulk Order")))</f>
        <v>Bulk Order</v>
      </c>
      <c r="M406" s="10">
        <v>30</v>
      </c>
      <c r="N406" s="10">
        <v>120</v>
      </c>
    </row>
    <row r="407" spans="1:14" x14ac:dyDescent="0.2">
      <c r="A407">
        <v>838</v>
      </c>
      <c r="B407" s="5">
        <v>45059</v>
      </c>
      <c r="C407" s="5" t="str">
        <f>TEXT(Table2[[#This Row],[Date]], "MMM")</f>
        <v>May</v>
      </c>
      <c r="D407" s="8">
        <f>MONTH(Table2[[#This Row],[Date]])</f>
        <v>5</v>
      </c>
      <c r="E407" s="8">
        <f>YEAR(Table2[[#This Row],[Date]])</f>
        <v>2023</v>
      </c>
      <c r="F407" s="7" t="s">
        <v>851</v>
      </c>
      <c r="G407" s="7" t="s">
        <v>10</v>
      </c>
      <c r="H407" s="8">
        <v>47</v>
      </c>
      <c r="I407" s="8" t="str">
        <f>IF(Table2[[#This Row],[Age]] &lt; 19, "Teenagers", IF(Table2[[#This Row],[Age]] &lt;= 34, "Young Adults", IF(Table2[[#This Row],[Age]] &lt;= 45, "Adults", IF(Table2[[#This Row],[Age]] &lt;= 55, "Seniors", "Elderly")) ))</f>
        <v>Seniors</v>
      </c>
      <c r="J407" s="7" t="s">
        <v>16</v>
      </c>
      <c r="K407" s="8">
        <v>2</v>
      </c>
      <c r="L407" s="8" t="str">
        <f>IF(Table2[[#This Row],[Quantity]]=1, "Single Order", IF(Table2[[#This Row],[Quantity]]=2, "Small Order", IF(Table2[[#This Row],[Quantity]]=3, "Medium Order", "Bulk Order")))</f>
        <v>Small Order</v>
      </c>
      <c r="M407" s="10">
        <v>300</v>
      </c>
      <c r="N407" s="10">
        <v>600</v>
      </c>
    </row>
    <row r="408" spans="1:14" x14ac:dyDescent="0.2">
      <c r="A408">
        <v>840</v>
      </c>
      <c r="B408" s="5">
        <v>45070</v>
      </c>
      <c r="C408" s="5" t="str">
        <f>TEXT(Table2[[#This Row],[Date]], "MMM")</f>
        <v>May</v>
      </c>
      <c r="D408" s="8">
        <f>MONTH(Table2[[#This Row],[Date]])</f>
        <v>5</v>
      </c>
      <c r="E408" s="8">
        <f>YEAR(Table2[[#This Row],[Date]])</f>
        <v>2023</v>
      </c>
      <c r="F408" s="7" t="s">
        <v>853</v>
      </c>
      <c r="G408" s="7" t="s">
        <v>10</v>
      </c>
      <c r="H408" s="8">
        <v>62</v>
      </c>
      <c r="I408" s="8" t="str">
        <f>IF(Table2[[#This Row],[Age]] &lt; 19, "Teenagers", IF(Table2[[#This Row],[Age]] &lt;= 34, "Young Adults", IF(Table2[[#This Row],[Age]] &lt;= 45, "Adults", IF(Table2[[#This Row],[Age]] &lt;= 55, "Seniors", "Elderly")) ))</f>
        <v>Elderly</v>
      </c>
      <c r="J408" s="7" t="s">
        <v>14</v>
      </c>
      <c r="K408" s="8">
        <v>2</v>
      </c>
      <c r="L408" s="8" t="str">
        <f>IF(Table2[[#This Row],[Quantity]]=1, "Single Order", IF(Table2[[#This Row],[Quantity]]=2, "Small Order", IF(Table2[[#This Row],[Quantity]]=3, "Medium Order", "Bulk Order")))</f>
        <v>Small Order</v>
      </c>
      <c r="M408" s="10">
        <v>25</v>
      </c>
      <c r="N408" s="10">
        <v>50</v>
      </c>
    </row>
    <row r="409" spans="1:14" x14ac:dyDescent="0.2">
      <c r="A409">
        <v>843</v>
      </c>
      <c r="B409" s="5">
        <v>45068</v>
      </c>
      <c r="C409" s="5" t="str">
        <f>TEXT(Table2[[#This Row],[Date]], "MMM")</f>
        <v>May</v>
      </c>
      <c r="D409" s="8">
        <f>MONTH(Table2[[#This Row],[Date]])</f>
        <v>5</v>
      </c>
      <c r="E409" s="8">
        <f>YEAR(Table2[[#This Row],[Date]])</f>
        <v>2023</v>
      </c>
      <c r="F409" s="7" t="s">
        <v>856</v>
      </c>
      <c r="G409" s="7" t="s">
        <v>10</v>
      </c>
      <c r="H409" s="8">
        <v>21</v>
      </c>
      <c r="I409" s="8" t="str">
        <f>IF(Table2[[#This Row],[Age]] &lt; 19, "Teenagers", IF(Table2[[#This Row],[Age]] &lt;= 34, "Young Adults", IF(Table2[[#This Row],[Age]] &lt;= 45, "Adults", IF(Table2[[#This Row],[Age]] &lt;= 55, "Seniors", "Elderly")) ))</f>
        <v>Young Adults</v>
      </c>
      <c r="J409" s="7" t="s">
        <v>11</v>
      </c>
      <c r="K409" s="8">
        <v>3</v>
      </c>
      <c r="L409" s="8" t="str">
        <f>IF(Table2[[#This Row],[Quantity]]=1, "Single Order", IF(Table2[[#This Row],[Quantity]]=2, "Small Order", IF(Table2[[#This Row],[Quantity]]=3, "Medium Order", "Bulk Order")))</f>
        <v>Medium Order</v>
      </c>
      <c r="M409" s="10">
        <v>500</v>
      </c>
      <c r="N409" s="10">
        <v>1500</v>
      </c>
    </row>
    <row r="410" spans="1:14" x14ac:dyDescent="0.2">
      <c r="A410">
        <v>849</v>
      </c>
      <c r="B410" s="5">
        <v>45050</v>
      </c>
      <c r="C410" s="5" t="str">
        <f>TEXT(Table2[[#This Row],[Date]], "MMM")</f>
        <v>May</v>
      </c>
      <c r="D410" s="8">
        <f>MONTH(Table2[[#This Row],[Date]])</f>
        <v>5</v>
      </c>
      <c r="E410" s="8">
        <f>YEAR(Table2[[#This Row],[Date]])</f>
        <v>2023</v>
      </c>
      <c r="F410" s="7" t="s">
        <v>862</v>
      </c>
      <c r="G410" s="7" t="s">
        <v>10</v>
      </c>
      <c r="H410" s="8">
        <v>32</v>
      </c>
      <c r="I410" s="8" t="str">
        <f>IF(Table2[[#This Row],[Age]] &lt; 19, "Teenagers", IF(Table2[[#This Row],[Age]] &lt;= 34, "Young Adults", IF(Table2[[#This Row],[Age]] &lt;= 45, "Adults", IF(Table2[[#This Row],[Age]] &lt;= 55, "Seniors", "Elderly")) ))</f>
        <v>Young Adults</v>
      </c>
      <c r="J410" s="7" t="s">
        <v>14</v>
      </c>
      <c r="K410" s="8">
        <v>2</v>
      </c>
      <c r="L410" s="8" t="str">
        <f>IF(Table2[[#This Row],[Quantity]]=1, "Single Order", IF(Table2[[#This Row],[Quantity]]=2, "Small Order", IF(Table2[[#This Row],[Quantity]]=3, "Medium Order", "Bulk Order")))</f>
        <v>Small Order</v>
      </c>
      <c r="M410" s="10">
        <v>25</v>
      </c>
      <c r="N410" s="10">
        <v>50</v>
      </c>
    </row>
    <row r="411" spans="1:14" x14ac:dyDescent="0.2">
      <c r="A411">
        <v>853</v>
      </c>
      <c r="B411" s="5">
        <v>45050</v>
      </c>
      <c r="C411" s="5" t="str">
        <f>TEXT(Table2[[#This Row],[Date]], "MMM")</f>
        <v>May</v>
      </c>
      <c r="D411" s="8">
        <f>MONTH(Table2[[#This Row],[Date]])</f>
        <v>5</v>
      </c>
      <c r="E411" s="8">
        <f>YEAR(Table2[[#This Row],[Date]])</f>
        <v>2023</v>
      </c>
      <c r="F411" s="7" t="s">
        <v>866</v>
      </c>
      <c r="G411" s="7" t="s">
        <v>10</v>
      </c>
      <c r="H411" s="8">
        <v>21</v>
      </c>
      <c r="I411" s="8" t="str">
        <f>IF(Table2[[#This Row],[Age]] &lt; 19, "Teenagers", IF(Table2[[#This Row],[Age]] &lt;= 34, "Young Adults", IF(Table2[[#This Row],[Age]] &lt;= 45, "Adults", IF(Table2[[#This Row],[Age]] &lt;= 55, "Seniors", "Elderly")) ))</f>
        <v>Young Adults</v>
      </c>
      <c r="J411" s="7" t="s">
        <v>11</v>
      </c>
      <c r="K411" s="8">
        <v>2</v>
      </c>
      <c r="L411" s="8" t="str">
        <f>IF(Table2[[#This Row],[Quantity]]=1, "Single Order", IF(Table2[[#This Row],[Quantity]]=2, "Small Order", IF(Table2[[#This Row],[Quantity]]=3, "Medium Order", "Bulk Order")))</f>
        <v>Small Order</v>
      </c>
      <c r="M411" s="10">
        <v>500</v>
      </c>
      <c r="N411" s="10">
        <v>1000</v>
      </c>
    </row>
    <row r="412" spans="1:14" x14ac:dyDescent="0.2">
      <c r="A412">
        <v>862</v>
      </c>
      <c r="B412" s="5">
        <v>45077</v>
      </c>
      <c r="C412" s="5" t="str">
        <f>TEXT(Table2[[#This Row],[Date]], "MMM")</f>
        <v>May</v>
      </c>
      <c r="D412" s="8">
        <f>MONTH(Table2[[#This Row],[Date]])</f>
        <v>5</v>
      </c>
      <c r="E412" s="8">
        <f>YEAR(Table2[[#This Row],[Date]])</f>
        <v>2023</v>
      </c>
      <c r="F412" s="7" t="s">
        <v>875</v>
      </c>
      <c r="G412" s="7" t="s">
        <v>10</v>
      </c>
      <c r="H412" s="8">
        <v>28</v>
      </c>
      <c r="I412" s="8" t="str">
        <f>IF(Table2[[#This Row],[Age]] &lt; 19, "Teenagers", IF(Table2[[#This Row],[Age]] &lt;= 34, "Young Adults", IF(Table2[[#This Row],[Age]] &lt;= 45, "Adults", IF(Table2[[#This Row],[Age]] &lt;= 55, "Seniors", "Elderly")) ))</f>
        <v>Young Adults</v>
      </c>
      <c r="J412" s="7" t="s">
        <v>16</v>
      </c>
      <c r="K412" s="8">
        <v>4</v>
      </c>
      <c r="L412" s="8" t="str">
        <f>IF(Table2[[#This Row],[Quantity]]=1, "Single Order", IF(Table2[[#This Row],[Quantity]]=2, "Small Order", IF(Table2[[#This Row],[Quantity]]=3, "Medium Order", "Bulk Order")))</f>
        <v>Bulk Order</v>
      </c>
      <c r="M412" s="10">
        <v>300</v>
      </c>
      <c r="N412" s="10">
        <v>1200</v>
      </c>
    </row>
    <row r="413" spans="1:14" x14ac:dyDescent="0.2">
      <c r="A413">
        <v>866</v>
      </c>
      <c r="B413" s="5">
        <v>45051</v>
      </c>
      <c r="C413" s="5" t="str">
        <f>TEXT(Table2[[#This Row],[Date]], "MMM")</f>
        <v>May</v>
      </c>
      <c r="D413" s="8">
        <f>MONTH(Table2[[#This Row],[Date]])</f>
        <v>5</v>
      </c>
      <c r="E413" s="8">
        <f>YEAR(Table2[[#This Row],[Date]])</f>
        <v>2023</v>
      </c>
      <c r="F413" s="7" t="s">
        <v>879</v>
      </c>
      <c r="G413" s="7" t="s">
        <v>10</v>
      </c>
      <c r="H413" s="8">
        <v>24</v>
      </c>
      <c r="I413" s="8" t="str">
        <f>IF(Table2[[#This Row],[Age]] &lt; 19, "Teenagers", IF(Table2[[#This Row],[Age]] &lt;= 34, "Young Adults", IF(Table2[[#This Row],[Age]] &lt;= 45, "Adults", IF(Table2[[#This Row],[Age]] &lt;= 55, "Seniors", "Elderly")) ))</f>
        <v>Young Adults</v>
      </c>
      <c r="J413" s="7" t="s">
        <v>16</v>
      </c>
      <c r="K413" s="8">
        <v>1</v>
      </c>
      <c r="L413" s="8" t="str">
        <f>IF(Table2[[#This Row],[Quantity]]=1, "Single Order", IF(Table2[[#This Row],[Quantity]]=2, "Small Order", IF(Table2[[#This Row],[Quantity]]=3, "Medium Order", "Bulk Order")))</f>
        <v>Single Order</v>
      </c>
      <c r="M413" s="10">
        <v>50</v>
      </c>
      <c r="N413" s="10">
        <v>50</v>
      </c>
    </row>
    <row r="414" spans="1:14" x14ac:dyDescent="0.2">
      <c r="A414">
        <v>881</v>
      </c>
      <c r="B414" s="5">
        <v>45065</v>
      </c>
      <c r="C414" s="5" t="str">
        <f>TEXT(Table2[[#This Row],[Date]], "MMM")</f>
        <v>May</v>
      </c>
      <c r="D414" s="8">
        <f>MONTH(Table2[[#This Row],[Date]])</f>
        <v>5</v>
      </c>
      <c r="E414" s="8">
        <f>YEAR(Table2[[#This Row],[Date]])</f>
        <v>2023</v>
      </c>
      <c r="F414" s="7" t="s">
        <v>894</v>
      </c>
      <c r="G414" s="7" t="s">
        <v>10</v>
      </c>
      <c r="H414" s="8">
        <v>22</v>
      </c>
      <c r="I414" s="8" t="str">
        <f>IF(Table2[[#This Row],[Age]] &lt; 19, "Teenagers", IF(Table2[[#This Row],[Age]] &lt;= 34, "Young Adults", IF(Table2[[#This Row],[Age]] &lt;= 45, "Adults", IF(Table2[[#This Row],[Age]] &lt;= 55, "Seniors", "Elderly")) ))</f>
        <v>Young Adults</v>
      </c>
      <c r="J414" s="7" t="s">
        <v>16</v>
      </c>
      <c r="K414" s="8">
        <v>1</v>
      </c>
      <c r="L414" s="8" t="str">
        <f>IF(Table2[[#This Row],[Quantity]]=1, "Single Order", IF(Table2[[#This Row],[Quantity]]=2, "Small Order", IF(Table2[[#This Row],[Quantity]]=3, "Medium Order", "Bulk Order")))</f>
        <v>Single Order</v>
      </c>
      <c r="M414" s="10">
        <v>300</v>
      </c>
      <c r="N414" s="10">
        <v>300</v>
      </c>
    </row>
    <row r="415" spans="1:14" x14ac:dyDescent="0.2">
      <c r="A415">
        <v>883</v>
      </c>
      <c r="B415" s="5">
        <v>45055</v>
      </c>
      <c r="C415" s="5" t="str">
        <f>TEXT(Table2[[#This Row],[Date]], "MMM")</f>
        <v>May</v>
      </c>
      <c r="D415" s="8">
        <f>MONTH(Table2[[#This Row],[Date]])</f>
        <v>5</v>
      </c>
      <c r="E415" s="8">
        <f>YEAR(Table2[[#This Row],[Date]])</f>
        <v>2023</v>
      </c>
      <c r="F415" s="7" t="s">
        <v>896</v>
      </c>
      <c r="G415" s="7" t="s">
        <v>10</v>
      </c>
      <c r="H415" s="8">
        <v>40</v>
      </c>
      <c r="I415" s="8" t="str">
        <f>IF(Table2[[#This Row],[Age]] &lt; 19, "Teenagers", IF(Table2[[#This Row],[Age]] &lt;= 34, "Young Adults", IF(Table2[[#This Row],[Age]] &lt;= 45, "Adults", IF(Table2[[#This Row],[Age]] &lt;= 55, "Seniors", "Elderly")) ))</f>
        <v>Adults</v>
      </c>
      <c r="J415" s="7" t="s">
        <v>16</v>
      </c>
      <c r="K415" s="8">
        <v>1</v>
      </c>
      <c r="L415" s="8" t="str">
        <f>IF(Table2[[#This Row],[Quantity]]=1, "Single Order", IF(Table2[[#This Row],[Quantity]]=2, "Small Order", IF(Table2[[#This Row],[Quantity]]=3, "Medium Order", "Bulk Order")))</f>
        <v>Single Order</v>
      </c>
      <c r="M415" s="10">
        <v>500</v>
      </c>
      <c r="N415" s="10">
        <v>500</v>
      </c>
    </row>
    <row r="416" spans="1:14" x14ac:dyDescent="0.2">
      <c r="A416">
        <v>895</v>
      </c>
      <c r="B416" s="5">
        <v>45068</v>
      </c>
      <c r="C416" s="5" t="str">
        <f>TEXT(Table2[[#This Row],[Date]], "MMM")</f>
        <v>May</v>
      </c>
      <c r="D416" s="8">
        <f>MONTH(Table2[[#This Row],[Date]])</f>
        <v>5</v>
      </c>
      <c r="E416" s="8">
        <f>YEAR(Table2[[#This Row],[Date]])</f>
        <v>2023</v>
      </c>
      <c r="F416" s="7" t="s">
        <v>908</v>
      </c>
      <c r="G416" s="7" t="s">
        <v>13</v>
      </c>
      <c r="H416" s="8">
        <v>55</v>
      </c>
      <c r="I416" s="8" t="str">
        <f>IF(Table2[[#This Row],[Age]] &lt; 19, "Teenagers", IF(Table2[[#This Row],[Age]] &lt;= 34, "Young Adults", IF(Table2[[#This Row],[Age]] &lt;= 45, "Adults", IF(Table2[[#This Row],[Age]] &lt;= 55, "Seniors", "Elderly")) ))</f>
        <v>Seniors</v>
      </c>
      <c r="J416" s="7" t="s">
        <v>14</v>
      </c>
      <c r="K416" s="8">
        <v>4</v>
      </c>
      <c r="L416" s="8" t="str">
        <f>IF(Table2[[#This Row],[Quantity]]=1, "Single Order", IF(Table2[[#This Row],[Quantity]]=2, "Small Order", IF(Table2[[#This Row],[Quantity]]=3, "Medium Order", "Bulk Order")))</f>
        <v>Bulk Order</v>
      </c>
      <c r="M416" s="10">
        <v>30</v>
      </c>
      <c r="N416" s="10">
        <v>120</v>
      </c>
    </row>
    <row r="417" spans="1:14" x14ac:dyDescent="0.2">
      <c r="A417">
        <v>899</v>
      </c>
      <c r="B417" s="5">
        <v>45071</v>
      </c>
      <c r="C417" s="5" t="str">
        <f>TEXT(Table2[[#This Row],[Date]], "MMM")</f>
        <v>May</v>
      </c>
      <c r="D417" s="8">
        <f>MONTH(Table2[[#This Row],[Date]])</f>
        <v>5</v>
      </c>
      <c r="E417" s="8">
        <f>YEAR(Table2[[#This Row],[Date]])</f>
        <v>2023</v>
      </c>
      <c r="F417" s="7" t="s">
        <v>912</v>
      </c>
      <c r="G417" s="7" t="s">
        <v>10</v>
      </c>
      <c r="H417" s="8">
        <v>26</v>
      </c>
      <c r="I417" s="8" t="str">
        <f>IF(Table2[[#This Row],[Age]] &lt; 19, "Teenagers", IF(Table2[[#This Row],[Age]] &lt;= 34, "Young Adults", IF(Table2[[#This Row],[Age]] &lt;= 45, "Adults", IF(Table2[[#This Row],[Age]] &lt;= 55, "Seniors", "Elderly")) ))</f>
        <v>Young Adults</v>
      </c>
      <c r="J417" s="7" t="s">
        <v>14</v>
      </c>
      <c r="K417" s="8">
        <v>2</v>
      </c>
      <c r="L417" s="8" t="str">
        <f>IF(Table2[[#This Row],[Quantity]]=1, "Single Order", IF(Table2[[#This Row],[Quantity]]=2, "Small Order", IF(Table2[[#This Row],[Quantity]]=3, "Medium Order", "Bulk Order")))</f>
        <v>Small Order</v>
      </c>
      <c r="M417" s="10">
        <v>300</v>
      </c>
      <c r="N417" s="10">
        <v>600</v>
      </c>
    </row>
    <row r="418" spans="1:14" x14ac:dyDescent="0.2">
      <c r="A418">
        <v>911</v>
      </c>
      <c r="B418" s="5">
        <v>45067</v>
      </c>
      <c r="C418" s="5" t="str">
        <f>TEXT(Table2[[#This Row],[Date]], "MMM")</f>
        <v>May</v>
      </c>
      <c r="D418" s="8">
        <f>MONTH(Table2[[#This Row],[Date]])</f>
        <v>5</v>
      </c>
      <c r="E418" s="8">
        <f>YEAR(Table2[[#This Row],[Date]])</f>
        <v>2023</v>
      </c>
      <c r="F418" s="7" t="s">
        <v>924</v>
      </c>
      <c r="G418" s="7" t="s">
        <v>10</v>
      </c>
      <c r="H418" s="8">
        <v>42</v>
      </c>
      <c r="I418" s="8" t="str">
        <f>IF(Table2[[#This Row],[Age]] &lt; 19, "Teenagers", IF(Table2[[#This Row],[Age]] &lt;= 34, "Young Adults", IF(Table2[[#This Row],[Age]] &lt;= 45, "Adults", IF(Table2[[#This Row],[Age]] &lt;= 55, "Seniors", "Elderly")) ))</f>
        <v>Adults</v>
      </c>
      <c r="J418" s="7" t="s">
        <v>16</v>
      </c>
      <c r="K418" s="8">
        <v>3</v>
      </c>
      <c r="L418" s="8" t="str">
        <f>IF(Table2[[#This Row],[Quantity]]=1, "Single Order", IF(Table2[[#This Row],[Quantity]]=2, "Small Order", IF(Table2[[#This Row],[Quantity]]=3, "Medium Order", "Bulk Order")))</f>
        <v>Medium Order</v>
      </c>
      <c r="M418" s="10">
        <v>300</v>
      </c>
      <c r="N418" s="10">
        <v>900</v>
      </c>
    </row>
    <row r="419" spans="1:14" x14ac:dyDescent="0.2">
      <c r="A419">
        <v>915</v>
      </c>
      <c r="B419" s="5">
        <v>45076</v>
      </c>
      <c r="C419" s="5" t="str">
        <f>TEXT(Table2[[#This Row],[Date]], "MMM")</f>
        <v>May</v>
      </c>
      <c r="D419" s="8">
        <f>MONTH(Table2[[#This Row],[Date]])</f>
        <v>5</v>
      </c>
      <c r="E419" s="8">
        <f>YEAR(Table2[[#This Row],[Date]])</f>
        <v>2023</v>
      </c>
      <c r="F419" s="7" t="s">
        <v>928</v>
      </c>
      <c r="G419" s="7" t="s">
        <v>13</v>
      </c>
      <c r="H419" s="8">
        <v>26</v>
      </c>
      <c r="I419" s="8" t="str">
        <f>IF(Table2[[#This Row],[Age]] &lt; 19, "Teenagers", IF(Table2[[#This Row],[Age]] &lt;= 34, "Young Adults", IF(Table2[[#This Row],[Age]] &lt;= 45, "Adults", IF(Table2[[#This Row],[Age]] &lt;= 55, "Seniors", "Elderly")) ))</f>
        <v>Young Adults</v>
      </c>
      <c r="J419" s="7" t="s">
        <v>11</v>
      </c>
      <c r="K419" s="8">
        <v>3</v>
      </c>
      <c r="L419" s="8" t="str">
        <f>IF(Table2[[#This Row],[Quantity]]=1, "Single Order", IF(Table2[[#This Row],[Quantity]]=2, "Small Order", IF(Table2[[#This Row],[Quantity]]=3, "Medium Order", "Bulk Order")))</f>
        <v>Medium Order</v>
      </c>
      <c r="M419" s="10">
        <v>30</v>
      </c>
      <c r="N419" s="10">
        <v>90</v>
      </c>
    </row>
    <row r="420" spans="1:14" x14ac:dyDescent="0.2">
      <c r="A420">
        <v>923</v>
      </c>
      <c r="B420" s="5">
        <v>45072</v>
      </c>
      <c r="C420" s="5" t="str">
        <f>TEXT(Table2[[#This Row],[Date]], "MMM")</f>
        <v>May</v>
      </c>
      <c r="D420" s="8">
        <f>MONTH(Table2[[#This Row],[Date]])</f>
        <v>5</v>
      </c>
      <c r="E420" s="8">
        <f>YEAR(Table2[[#This Row],[Date]])</f>
        <v>2023</v>
      </c>
      <c r="F420" s="7" t="s">
        <v>936</v>
      </c>
      <c r="G420" s="7" t="s">
        <v>10</v>
      </c>
      <c r="H420" s="8">
        <v>32</v>
      </c>
      <c r="I420" s="8" t="str">
        <f>IF(Table2[[#This Row],[Age]] &lt; 19, "Teenagers", IF(Table2[[#This Row],[Age]] &lt;= 34, "Young Adults", IF(Table2[[#This Row],[Age]] &lt;= 45, "Adults", IF(Table2[[#This Row],[Age]] &lt;= 55, "Seniors", "Elderly")) ))</f>
        <v>Young Adults</v>
      </c>
      <c r="J420" s="7" t="s">
        <v>11</v>
      </c>
      <c r="K420" s="8">
        <v>3</v>
      </c>
      <c r="L420" s="8" t="str">
        <f>IF(Table2[[#This Row],[Quantity]]=1, "Single Order", IF(Table2[[#This Row],[Quantity]]=2, "Small Order", IF(Table2[[#This Row],[Quantity]]=3, "Medium Order", "Bulk Order")))</f>
        <v>Medium Order</v>
      </c>
      <c r="M420" s="10">
        <v>300</v>
      </c>
      <c r="N420" s="10">
        <v>900</v>
      </c>
    </row>
    <row r="421" spans="1:14" x14ac:dyDescent="0.2">
      <c r="A421">
        <v>930</v>
      </c>
      <c r="B421" s="5">
        <v>45056</v>
      </c>
      <c r="C421" s="5" t="str">
        <f>TEXT(Table2[[#This Row],[Date]], "MMM")</f>
        <v>May</v>
      </c>
      <c r="D421" s="8">
        <f>MONTH(Table2[[#This Row],[Date]])</f>
        <v>5</v>
      </c>
      <c r="E421" s="8">
        <f>YEAR(Table2[[#This Row],[Date]])</f>
        <v>2023</v>
      </c>
      <c r="F421" s="7" t="s">
        <v>943</v>
      </c>
      <c r="G421" s="7" t="s">
        <v>10</v>
      </c>
      <c r="H421" s="8">
        <v>54</v>
      </c>
      <c r="I421" s="8" t="str">
        <f>IF(Table2[[#This Row],[Age]] &lt; 19, "Teenagers", IF(Table2[[#This Row],[Age]] &lt;= 34, "Young Adults", IF(Table2[[#This Row],[Age]] &lt;= 45, "Adults", IF(Table2[[#This Row],[Age]] &lt;= 55, "Seniors", "Elderly")) ))</f>
        <v>Seniors</v>
      </c>
      <c r="J421" s="7" t="s">
        <v>14</v>
      </c>
      <c r="K421" s="8">
        <v>4</v>
      </c>
      <c r="L421" s="8" t="str">
        <f>IF(Table2[[#This Row],[Quantity]]=1, "Single Order", IF(Table2[[#This Row],[Quantity]]=2, "Small Order", IF(Table2[[#This Row],[Quantity]]=3, "Medium Order", "Bulk Order")))</f>
        <v>Bulk Order</v>
      </c>
      <c r="M421" s="10">
        <v>50</v>
      </c>
      <c r="N421" s="10">
        <v>200</v>
      </c>
    </row>
    <row r="422" spans="1:14" x14ac:dyDescent="0.2">
      <c r="A422">
        <v>946</v>
      </c>
      <c r="B422" s="5">
        <v>45054</v>
      </c>
      <c r="C422" s="5" t="str">
        <f>TEXT(Table2[[#This Row],[Date]], "MMM")</f>
        <v>May</v>
      </c>
      <c r="D422" s="8">
        <f>MONTH(Table2[[#This Row],[Date]])</f>
        <v>5</v>
      </c>
      <c r="E422" s="8">
        <f>YEAR(Table2[[#This Row],[Date]])</f>
        <v>2023</v>
      </c>
      <c r="F422" s="7" t="s">
        <v>959</v>
      </c>
      <c r="G422" s="7" t="s">
        <v>10</v>
      </c>
      <c r="H422" s="8">
        <v>62</v>
      </c>
      <c r="I422" s="8" t="str">
        <f>IF(Table2[[#This Row],[Age]] &lt; 19, "Teenagers", IF(Table2[[#This Row],[Age]] &lt;= 34, "Young Adults", IF(Table2[[#This Row],[Age]] &lt;= 45, "Adults", IF(Table2[[#This Row],[Age]] &lt;= 55, "Seniors", "Elderly")) ))</f>
        <v>Elderly</v>
      </c>
      <c r="J422" s="7" t="s">
        <v>16</v>
      </c>
      <c r="K422" s="8">
        <v>4</v>
      </c>
      <c r="L422" s="8" t="str">
        <f>IF(Table2[[#This Row],[Quantity]]=1, "Single Order", IF(Table2[[#This Row],[Quantity]]=2, "Small Order", IF(Table2[[#This Row],[Quantity]]=3, "Medium Order", "Bulk Order")))</f>
        <v>Bulk Order</v>
      </c>
      <c r="M422" s="10">
        <v>500</v>
      </c>
      <c r="N422" s="10">
        <v>2000</v>
      </c>
    </row>
    <row r="423" spans="1:14" x14ac:dyDescent="0.2">
      <c r="A423">
        <v>970</v>
      </c>
      <c r="B423" s="5">
        <v>45062</v>
      </c>
      <c r="C423" s="5" t="str">
        <f>TEXT(Table2[[#This Row],[Date]], "MMM")</f>
        <v>May</v>
      </c>
      <c r="D423" s="8">
        <f>MONTH(Table2[[#This Row],[Date]])</f>
        <v>5</v>
      </c>
      <c r="E423" s="8">
        <f>YEAR(Table2[[#This Row],[Date]])</f>
        <v>2023</v>
      </c>
      <c r="F423" s="7" t="s">
        <v>983</v>
      </c>
      <c r="G423" s="7" t="s">
        <v>10</v>
      </c>
      <c r="H423" s="8">
        <v>59</v>
      </c>
      <c r="I423" s="8" t="str">
        <f>IF(Table2[[#This Row],[Age]] &lt; 19, "Teenagers", IF(Table2[[#This Row],[Age]] &lt;= 34, "Young Adults", IF(Table2[[#This Row],[Age]] &lt;= 45, "Adults", IF(Table2[[#This Row],[Age]] &lt;= 55, "Seniors", "Elderly")) ))</f>
        <v>Elderly</v>
      </c>
      <c r="J423" s="7" t="s">
        <v>16</v>
      </c>
      <c r="K423" s="8">
        <v>4</v>
      </c>
      <c r="L423" s="8" t="str">
        <f>IF(Table2[[#This Row],[Quantity]]=1, "Single Order", IF(Table2[[#This Row],[Quantity]]=2, "Small Order", IF(Table2[[#This Row],[Quantity]]=3, "Medium Order", "Bulk Order")))</f>
        <v>Bulk Order</v>
      </c>
      <c r="M423" s="10">
        <v>500</v>
      </c>
      <c r="N423" s="10">
        <v>2000</v>
      </c>
    </row>
    <row r="424" spans="1:14" x14ac:dyDescent="0.2">
      <c r="A424">
        <v>974</v>
      </c>
      <c r="B424" s="5">
        <v>45049</v>
      </c>
      <c r="C424" s="5" t="str">
        <f>TEXT(Table2[[#This Row],[Date]], "MMM")</f>
        <v>May</v>
      </c>
      <c r="D424" s="8">
        <f>MONTH(Table2[[#This Row],[Date]])</f>
        <v>5</v>
      </c>
      <c r="E424" s="8">
        <f>YEAR(Table2[[#This Row],[Date]])</f>
        <v>2023</v>
      </c>
      <c r="F424" s="7" t="s">
        <v>987</v>
      </c>
      <c r="G424" s="7" t="s">
        <v>10</v>
      </c>
      <c r="H424" s="8">
        <v>47</v>
      </c>
      <c r="I424" s="8" t="str">
        <f>IF(Table2[[#This Row],[Age]] &lt; 19, "Teenagers", IF(Table2[[#This Row],[Age]] &lt;= 34, "Young Adults", IF(Table2[[#This Row],[Age]] &lt;= 45, "Adults", IF(Table2[[#This Row],[Age]] &lt;= 55, "Seniors", "Elderly")) ))</f>
        <v>Seniors</v>
      </c>
      <c r="J424" s="7" t="s">
        <v>11</v>
      </c>
      <c r="K424" s="8">
        <v>1</v>
      </c>
      <c r="L424" s="8" t="str">
        <f>IF(Table2[[#This Row],[Quantity]]=1, "Single Order", IF(Table2[[#This Row],[Quantity]]=2, "Small Order", IF(Table2[[#This Row],[Quantity]]=3, "Medium Order", "Bulk Order")))</f>
        <v>Single Order</v>
      </c>
      <c r="M424" s="10">
        <v>30</v>
      </c>
      <c r="N424" s="10">
        <v>30</v>
      </c>
    </row>
    <row r="425" spans="1:14" x14ac:dyDescent="0.2">
      <c r="A425">
        <v>985</v>
      </c>
      <c r="B425" s="5">
        <v>45076</v>
      </c>
      <c r="C425" s="5" t="str">
        <f>TEXT(Table2[[#This Row],[Date]], "MMM")</f>
        <v>May</v>
      </c>
      <c r="D425" s="8">
        <f>MONTH(Table2[[#This Row],[Date]])</f>
        <v>5</v>
      </c>
      <c r="E425" s="8">
        <f>YEAR(Table2[[#This Row],[Date]])</f>
        <v>2023</v>
      </c>
      <c r="F425" s="7" t="s">
        <v>998</v>
      </c>
      <c r="G425" s="7" t="s">
        <v>13</v>
      </c>
      <c r="H425" s="8">
        <v>19</v>
      </c>
      <c r="I425" s="8" t="str">
        <f>IF(Table2[[#This Row],[Age]] &lt; 19, "Teenagers", IF(Table2[[#This Row],[Age]] &lt;= 34, "Young Adults", IF(Table2[[#This Row],[Age]] &lt;= 45, "Adults", IF(Table2[[#This Row],[Age]] &lt;= 55, "Seniors", "Elderly")) ))</f>
        <v>Young Adults</v>
      </c>
      <c r="J425" s="7" t="s">
        <v>16</v>
      </c>
      <c r="K425" s="8">
        <v>2</v>
      </c>
      <c r="L425" s="8" t="str">
        <f>IF(Table2[[#This Row],[Quantity]]=1, "Single Order", IF(Table2[[#This Row],[Quantity]]=2, "Small Order", IF(Table2[[#This Row],[Quantity]]=3, "Medium Order", "Bulk Order")))</f>
        <v>Small Order</v>
      </c>
      <c r="M425" s="10">
        <v>25</v>
      </c>
      <c r="N425" s="10">
        <v>50</v>
      </c>
    </row>
    <row r="426" spans="1:14" x14ac:dyDescent="0.2">
      <c r="A426">
        <v>988</v>
      </c>
      <c r="B426" s="5">
        <v>45074</v>
      </c>
      <c r="C426" s="5" t="str">
        <f>TEXT(Table2[[#This Row],[Date]], "MMM")</f>
        <v>May</v>
      </c>
      <c r="D426" s="8">
        <f>MONTH(Table2[[#This Row],[Date]])</f>
        <v>5</v>
      </c>
      <c r="E426" s="8">
        <f>YEAR(Table2[[#This Row],[Date]])</f>
        <v>2023</v>
      </c>
      <c r="F426" s="7" t="s">
        <v>1001</v>
      </c>
      <c r="G426" s="7" t="s">
        <v>13</v>
      </c>
      <c r="H426" s="8">
        <v>63</v>
      </c>
      <c r="I426" s="8" t="str">
        <f>IF(Table2[[#This Row],[Age]] &lt; 19, "Teenagers", IF(Table2[[#This Row],[Age]] &lt;= 34, "Young Adults", IF(Table2[[#This Row],[Age]] &lt;= 45, "Adults", IF(Table2[[#This Row],[Age]] &lt;= 55, "Seniors", "Elderly")) ))</f>
        <v>Elderly</v>
      </c>
      <c r="J426" s="7" t="s">
        <v>14</v>
      </c>
      <c r="K426" s="8">
        <v>3</v>
      </c>
      <c r="L426" s="8" t="str">
        <f>IF(Table2[[#This Row],[Quantity]]=1, "Single Order", IF(Table2[[#This Row],[Quantity]]=2, "Small Order", IF(Table2[[#This Row],[Quantity]]=3, "Medium Order", "Bulk Order")))</f>
        <v>Medium Order</v>
      </c>
      <c r="M426" s="10">
        <v>25</v>
      </c>
      <c r="N426" s="10">
        <v>75</v>
      </c>
    </row>
    <row r="427" spans="1:14" x14ac:dyDescent="0.2">
      <c r="A427">
        <v>990</v>
      </c>
      <c r="B427" s="5">
        <v>45071</v>
      </c>
      <c r="C427" s="5" t="str">
        <f>TEXT(Table2[[#This Row],[Date]], "MMM")</f>
        <v>May</v>
      </c>
      <c r="D427" s="8">
        <f>MONTH(Table2[[#This Row],[Date]])</f>
        <v>5</v>
      </c>
      <c r="E427" s="8">
        <f>YEAR(Table2[[#This Row],[Date]])</f>
        <v>2023</v>
      </c>
      <c r="F427" s="7" t="s">
        <v>1003</v>
      </c>
      <c r="G427" s="7" t="s">
        <v>13</v>
      </c>
      <c r="H427" s="8">
        <v>58</v>
      </c>
      <c r="I427" s="8" t="str">
        <f>IF(Table2[[#This Row],[Age]] &lt; 19, "Teenagers", IF(Table2[[#This Row],[Age]] &lt;= 34, "Young Adults", IF(Table2[[#This Row],[Age]] &lt;= 45, "Adults", IF(Table2[[#This Row],[Age]] &lt;= 55, "Seniors", "Elderly")) ))</f>
        <v>Elderly</v>
      </c>
      <c r="J427" s="7" t="s">
        <v>11</v>
      </c>
      <c r="K427" s="8">
        <v>2</v>
      </c>
      <c r="L427" s="8" t="str">
        <f>IF(Table2[[#This Row],[Quantity]]=1, "Single Order", IF(Table2[[#This Row],[Quantity]]=2, "Small Order", IF(Table2[[#This Row],[Quantity]]=3, "Medium Order", "Bulk Order")))</f>
        <v>Small Order</v>
      </c>
      <c r="M427" s="10">
        <v>500</v>
      </c>
      <c r="N427" s="10">
        <v>1000</v>
      </c>
    </row>
    <row r="428" spans="1:14" x14ac:dyDescent="0.2">
      <c r="A428">
        <v>996</v>
      </c>
      <c r="B428" s="5">
        <v>45062</v>
      </c>
      <c r="C428" s="5" t="str">
        <f>TEXT(Table2[[#This Row],[Date]], "MMM")</f>
        <v>May</v>
      </c>
      <c r="D428" s="8">
        <f>MONTH(Table2[[#This Row],[Date]])</f>
        <v>5</v>
      </c>
      <c r="E428" s="8">
        <f>YEAR(Table2[[#This Row],[Date]])</f>
        <v>2023</v>
      </c>
      <c r="F428" s="7" t="s">
        <v>1009</v>
      </c>
      <c r="G428" s="7" t="s">
        <v>10</v>
      </c>
      <c r="H428" s="8">
        <v>62</v>
      </c>
      <c r="I428" s="8" t="str">
        <f>IF(Table2[[#This Row],[Age]] &lt; 19, "Teenagers", IF(Table2[[#This Row],[Age]] &lt;= 34, "Young Adults", IF(Table2[[#This Row],[Age]] &lt;= 45, "Adults", IF(Table2[[#This Row],[Age]] &lt;= 55, "Seniors", "Elderly")) ))</f>
        <v>Elderly</v>
      </c>
      <c r="J428" s="7" t="s">
        <v>14</v>
      </c>
      <c r="K428" s="8">
        <v>1</v>
      </c>
      <c r="L428" s="8" t="str">
        <f>IF(Table2[[#This Row],[Quantity]]=1, "Single Order", IF(Table2[[#This Row],[Quantity]]=2, "Small Order", IF(Table2[[#This Row],[Quantity]]=3, "Medium Order", "Bulk Order")))</f>
        <v>Single Order</v>
      </c>
      <c r="M428" s="10">
        <v>50</v>
      </c>
      <c r="N428" s="10">
        <v>50</v>
      </c>
    </row>
    <row r="429" spans="1:14" x14ac:dyDescent="0.2">
      <c r="A429">
        <v>36</v>
      </c>
      <c r="B429" s="5">
        <v>45101</v>
      </c>
      <c r="C429" s="5" t="str">
        <f>TEXT(Table2[[#This Row],[Date]], "MMM")</f>
        <v>Jun</v>
      </c>
      <c r="D429" s="8">
        <f>MONTH(Table2[[#This Row],[Date]])</f>
        <v>6</v>
      </c>
      <c r="E429" s="8">
        <f>YEAR(Table2[[#This Row],[Date]])</f>
        <v>2023</v>
      </c>
      <c r="F429" s="7" t="s">
        <v>49</v>
      </c>
      <c r="G429" s="7" t="s">
        <v>10</v>
      </c>
      <c r="H429" s="8">
        <v>52</v>
      </c>
      <c r="I429" s="8" t="str">
        <f>IF(Table2[[#This Row],[Age]] &lt; 19, "Teenagers", IF(Table2[[#This Row],[Age]] &lt;= 34, "Young Adults", IF(Table2[[#This Row],[Age]] &lt;= 45, "Adults", IF(Table2[[#This Row],[Age]] &lt;= 55, "Seniors", "Elderly")) ))</f>
        <v>Seniors</v>
      </c>
      <c r="J429" s="7" t="s">
        <v>11</v>
      </c>
      <c r="K429" s="8">
        <v>3</v>
      </c>
      <c r="L429" s="8" t="str">
        <f>IF(Table2[[#This Row],[Quantity]]=1, "Single Order", IF(Table2[[#This Row],[Quantity]]=2, "Small Order", IF(Table2[[#This Row],[Quantity]]=3, "Medium Order", "Bulk Order")))</f>
        <v>Medium Order</v>
      </c>
      <c r="M429" s="10">
        <v>300</v>
      </c>
      <c r="N429" s="10">
        <v>900</v>
      </c>
    </row>
    <row r="430" spans="1:14" x14ac:dyDescent="0.2">
      <c r="A430">
        <v>40</v>
      </c>
      <c r="B430" s="5">
        <v>45099</v>
      </c>
      <c r="C430" s="5" t="str">
        <f>TEXT(Table2[[#This Row],[Date]], "MMM")</f>
        <v>Jun</v>
      </c>
      <c r="D430" s="8">
        <f>MONTH(Table2[[#This Row],[Date]])</f>
        <v>6</v>
      </c>
      <c r="E430" s="8">
        <f>YEAR(Table2[[#This Row],[Date]])</f>
        <v>2023</v>
      </c>
      <c r="F430" s="7" t="s">
        <v>53</v>
      </c>
      <c r="G430" s="7" t="s">
        <v>10</v>
      </c>
      <c r="H430" s="8">
        <v>45</v>
      </c>
      <c r="I430" s="8" t="str">
        <f>IF(Table2[[#This Row],[Age]] &lt; 19, "Teenagers", IF(Table2[[#This Row],[Age]] &lt;= 34, "Young Adults", IF(Table2[[#This Row],[Age]] &lt;= 45, "Adults", IF(Table2[[#This Row],[Age]] &lt;= 55, "Seniors", "Elderly")) ))</f>
        <v>Adults</v>
      </c>
      <c r="J430" s="7" t="s">
        <v>11</v>
      </c>
      <c r="K430" s="8">
        <v>1</v>
      </c>
      <c r="L430" s="8" t="str">
        <f>IF(Table2[[#This Row],[Quantity]]=1, "Single Order", IF(Table2[[#This Row],[Quantity]]=2, "Small Order", IF(Table2[[#This Row],[Quantity]]=3, "Medium Order", "Bulk Order")))</f>
        <v>Single Order</v>
      </c>
      <c r="M430" s="10">
        <v>50</v>
      </c>
      <c r="N430" s="10">
        <v>50</v>
      </c>
    </row>
    <row r="431" spans="1:14" x14ac:dyDescent="0.2">
      <c r="A431">
        <v>46</v>
      </c>
      <c r="B431" s="5">
        <v>45103</v>
      </c>
      <c r="C431" s="5" t="str">
        <f>TEXT(Table2[[#This Row],[Date]], "MMM")</f>
        <v>Jun</v>
      </c>
      <c r="D431" s="8">
        <f>MONTH(Table2[[#This Row],[Date]])</f>
        <v>6</v>
      </c>
      <c r="E431" s="8">
        <f>YEAR(Table2[[#This Row],[Date]])</f>
        <v>2023</v>
      </c>
      <c r="F431" s="7" t="s">
        <v>59</v>
      </c>
      <c r="G431" s="7" t="s">
        <v>13</v>
      </c>
      <c r="H431" s="8">
        <v>20</v>
      </c>
      <c r="I431" s="8" t="str">
        <f>IF(Table2[[#This Row],[Age]] &lt; 19, "Teenagers", IF(Table2[[#This Row],[Age]] &lt;= 34, "Young Adults", IF(Table2[[#This Row],[Age]] &lt;= 45, "Adults", IF(Table2[[#This Row],[Age]] &lt;= 55, "Seniors", "Elderly")) ))</f>
        <v>Young Adults</v>
      </c>
      <c r="J431" s="7" t="s">
        <v>16</v>
      </c>
      <c r="K431" s="8">
        <v>4</v>
      </c>
      <c r="L431" s="8" t="str">
        <f>IF(Table2[[#This Row],[Quantity]]=1, "Single Order", IF(Table2[[#This Row],[Quantity]]=2, "Small Order", IF(Table2[[#This Row],[Quantity]]=3, "Medium Order", "Bulk Order")))</f>
        <v>Bulk Order</v>
      </c>
      <c r="M431" s="10">
        <v>300</v>
      </c>
      <c r="N431" s="10">
        <v>1200</v>
      </c>
    </row>
    <row r="432" spans="1:14" x14ac:dyDescent="0.2">
      <c r="A432">
        <v>100</v>
      </c>
      <c r="B432" s="5">
        <v>45093</v>
      </c>
      <c r="C432" s="5" t="str">
        <f>TEXT(Table2[[#This Row],[Date]], "MMM")</f>
        <v>Jun</v>
      </c>
      <c r="D432" s="8">
        <f>MONTH(Table2[[#This Row],[Date]])</f>
        <v>6</v>
      </c>
      <c r="E432" s="8">
        <f>YEAR(Table2[[#This Row],[Date]])</f>
        <v>2023</v>
      </c>
      <c r="F432" s="7" t="s">
        <v>113</v>
      </c>
      <c r="G432" s="7" t="s">
        <v>10</v>
      </c>
      <c r="H432" s="8">
        <v>41</v>
      </c>
      <c r="I432" s="8" t="str">
        <f>IF(Table2[[#This Row],[Age]] &lt; 19, "Teenagers", IF(Table2[[#This Row],[Age]] &lt;= 34, "Young Adults", IF(Table2[[#This Row],[Age]] &lt;= 45, "Adults", IF(Table2[[#This Row],[Age]] &lt;= 55, "Seniors", "Elderly")) ))</f>
        <v>Adults</v>
      </c>
      <c r="J432" s="7" t="s">
        <v>16</v>
      </c>
      <c r="K432" s="8">
        <v>1</v>
      </c>
      <c r="L432" s="8" t="str">
        <f>IF(Table2[[#This Row],[Quantity]]=1, "Single Order", IF(Table2[[#This Row],[Quantity]]=2, "Small Order", IF(Table2[[#This Row],[Quantity]]=3, "Medium Order", "Bulk Order")))</f>
        <v>Single Order</v>
      </c>
      <c r="M432" s="10">
        <v>30</v>
      </c>
      <c r="N432" s="10">
        <v>30</v>
      </c>
    </row>
    <row r="433" spans="1:14" x14ac:dyDescent="0.2">
      <c r="A433">
        <v>104</v>
      </c>
      <c r="B433" s="5">
        <v>45088</v>
      </c>
      <c r="C433" s="5" t="str">
        <f>TEXT(Table2[[#This Row],[Date]], "MMM")</f>
        <v>Jun</v>
      </c>
      <c r="D433" s="8">
        <f>MONTH(Table2[[#This Row],[Date]])</f>
        <v>6</v>
      </c>
      <c r="E433" s="8">
        <f>YEAR(Table2[[#This Row],[Date]])</f>
        <v>2023</v>
      </c>
      <c r="F433" s="7" t="s">
        <v>117</v>
      </c>
      <c r="G433" s="7" t="s">
        <v>13</v>
      </c>
      <c r="H433" s="8">
        <v>34</v>
      </c>
      <c r="I433" s="8" t="str">
        <f>IF(Table2[[#This Row],[Age]] &lt; 19, "Teenagers", IF(Table2[[#This Row],[Age]] &lt;= 34, "Young Adults", IF(Table2[[#This Row],[Age]] &lt;= 45, "Adults", IF(Table2[[#This Row],[Age]] &lt;= 55, "Seniors", "Elderly")) ))</f>
        <v>Young Adults</v>
      </c>
      <c r="J433" s="7" t="s">
        <v>11</v>
      </c>
      <c r="K433" s="8">
        <v>2</v>
      </c>
      <c r="L433" s="8" t="str">
        <f>IF(Table2[[#This Row],[Quantity]]=1, "Single Order", IF(Table2[[#This Row],[Quantity]]=2, "Small Order", IF(Table2[[#This Row],[Quantity]]=3, "Medium Order", "Bulk Order")))</f>
        <v>Small Order</v>
      </c>
      <c r="M433" s="10">
        <v>500</v>
      </c>
      <c r="N433" s="10">
        <v>1000</v>
      </c>
    </row>
    <row r="434" spans="1:14" x14ac:dyDescent="0.2">
      <c r="A434">
        <v>110</v>
      </c>
      <c r="B434" s="5">
        <v>45088</v>
      </c>
      <c r="C434" s="5" t="str">
        <f>TEXT(Table2[[#This Row],[Date]], "MMM")</f>
        <v>Jun</v>
      </c>
      <c r="D434" s="8">
        <f>MONTH(Table2[[#This Row],[Date]])</f>
        <v>6</v>
      </c>
      <c r="E434" s="8">
        <f>YEAR(Table2[[#This Row],[Date]])</f>
        <v>2023</v>
      </c>
      <c r="F434" s="7" t="s">
        <v>123</v>
      </c>
      <c r="G434" s="7" t="s">
        <v>10</v>
      </c>
      <c r="H434" s="8">
        <v>27</v>
      </c>
      <c r="I434" s="8" t="str">
        <f>IF(Table2[[#This Row],[Age]] &lt; 19, "Teenagers", IF(Table2[[#This Row],[Age]] &lt;= 34, "Young Adults", IF(Table2[[#This Row],[Age]] &lt;= 45, "Adults", IF(Table2[[#This Row],[Age]] &lt;= 55, "Seniors", "Elderly")) ))</f>
        <v>Young Adults</v>
      </c>
      <c r="J434" s="7" t="s">
        <v>14</v>
      </c>
      <c r="K434" s="8">
        <v>3</v>
      </c>
      <c r="L434" s="8" t="str">
        <f>IF(Table2[[#This Row],[Quantity]]=1, "Single Order", IF(Table2[[#This Row],[Quantity]]=2, "Small Order", IF(Table2[[#This Row],[Quantity]]=3, "Medium Order", "Bulk Order")))</f>
        <v>Medium Order</v>
      </c>
      <c r="M434" s="10">
        <v>300</v>
      </c>
      <c r="N434" s="10">
        <v>900</v>
      </c>
    </row>
    <row r="435" spans="1:14" x14ac:dyDescent="0.2">
      <c r="A435">
        <v>157</v>
      </c>
      <c r="B435" s="5">
        <v>45101</v>
      </c>
      <c r="C435" s="5" t="str">
        <f>TEXT(Table2[[#This Row],[Date]], "MMM")</f>
        <v>Jun</v>
      </c>
      <c r="D435" s="8">
        <f>MONTH(Table2[[#This Row],[Date]])</f>
        <v>6</v>
      </c>
      <c r="E435" s="8">
        <f>YEAR(Table2[[#This Row],[Date]])</f>
        <v>2023</v>
      </c>
      <c r="F435" s="7" t="s">
        <v>170</v>
      </c>
      <c r="G435" s="7" t="s">
        <v>10</v>
      </c>
      <c r="H435" s="8">
        <v>62</v>
      </c>
      <c r="I435" s="8" t="str">
        <f>IF(Table2[[#This Row],[Age]] &lt; 19, "Teenagers", IF(Table2[[#This Row],[Age]] &lt;= 34, "Young Adults", IF(Table2[[#This Row],[Age]] &lt;= 45, "Adults", IF(Table2[[#This Row],[Age]] &lt;= 55, "Seniors", "Elderly")) ))</f>
        <v>Elderly</v>
      </c>
      <c r="J435" s="7" t="s">
        <v>16</v>
      </c>
      <c r="K435" s="8">
        <v>4</v>
      </c>
      <c r="L435" s="8" t="str">
        <f>IF(Table2[[#This Row],[Quantity]]=1, "Single Order", IF(Table2[[#This Row],[Quantity]]=2, "Small Order", IF(Table2[[#This Row],[Quantity]]=3, "Medium Order", "Bulk Order")))</f>
        <v>Bulk Order</v>
      </c>
      <c r="M435" s="10">
        <v>500</v>
      </c>
      <c r="N435" s="10">
        <v>2000</v>
      </c>
    </row>
    <row r="436" spans="1:14" x14ac:dyDescent="0.2">
      <c r="A436">
        <v>170</v>
      </c>
      <c r="B436" s="5">
        <v>45079</v>
      </c>
      <c r="C436" s="5" t="str">
        <f>TEXT(Table2[[#This Row],[Date]], "MMM")</f>
        <v>Jun</v>
      </c>
      <c r="D436" s="8">
        <f>MONTH(Table2[[#This Row],[Date]])</f>
        <v>6</v>
      </c>
      <c r="E436" s="8">
        <f>YEAR(Table2[[#This Row],[Date]])</f>
        <v>2023</v>
      </c>
      <c r="F436" s="7" t="s">
        <v>183</v>
      </c>
      <c r="G436" s="7" t="s">
        <v>13</v>
      </c>
      <c r="H436" s="8">
        <v>25</v>
      </c>
      <c r="I436" s="8" t="str">
        <f>IF(Table2[[#This Row],[Age]] &lt; 19, "Teenagers", IF(Table2[[#This Row],[Age]] &lt;= 34, "Young Adults", IF(Table2[[#This Row],[Age]] &lt;= 45, "Adults", IF(Table2[[#This Row],[Age]] &lt;= 55, "Seniors", "Elderly")) ))</f>
        <v>Young Adults</v>
      </c>
      <c r="J436" s="7" t="s">
        <v>14</v>
      </c>
      <c r="K436" s="8">
        <v>2</v>
      </c>
      <c r="L436" s="8" t="str">
        <f>IF(Table2[[#This Row],[Quantity]]=1, "Single Order", IF(Table2[[#This Row],[Quantity]]=2, "Small Order", IF(Table2[[#This Row],[Quantity]]=3, "Medium Order", "Bulk Order")))</f>
        <v>Small Order</v>
      </c>
      <c r="M436" s="10">
        <v>25</v>
      </c>
      <c r="N436" s="10">
        <v>50</v>
      </c>
    </row>
    <row r="437" spans="1:14" x14ac:dyDescent="0.2">
      <c r="A437">
        <v>182</v>
      </c>
      <c r="B437" s="5">
        <v>45092</v>
      </c>
      <c r="C437" s="5" t="str">
        <f>TEXT(Table2[[#This Row],[Date]], "MMM")</f>
        <v>Jun</v>
      </c>
      <c r="D437" s="8">
        <f>MONTH(Table2[[#This Row],[Date]])</f>
        <v>6</v>
      </c>
      <c r="E437" s="8">
        <f>YEAR(Table2[[#This Row],[Date]])</f>
        <v>2023</v>
      </c>
      <c r="F437" s="7" t="s">
        <v>195</v>
      </c>
      <c r="G437" s="7" t="s">
        <v>10</v>
      </c>
      <c r="H437" s="8">
        <v>62</v>
      </c>
      <c r="I437" s="8" t="str">
        <f>IF(Table2[[#This Row],[Age]] &lt; 19, "Teenagers", IF(Table2[[#This Row],[Age]] &lt;= 34, "Young Adults", IF(Table2[[#This Row],[Age]] &lt;= 45, "Adults", IF(Table2[[#This Row],[Age]] &lt;= 55, "Seniors", "Elderly")) ))</f>
        <v>Elderly</v>
      </c>
      <c r="J437" s="7" t="s">
        <v>11</v>
      </c>
      <c r="K437" s="8">
        <v>4</v>
      </c>
      <c r="L437" s="8" t="str">
        <f>IF(Table2[[#This Row],[Quantity]]=1, "Single Order", IF(Table2[[#This Row],[Quantity]]=2, "Small Order", IF(Table2[[#This Row],[Quantity]]=3, "Medium Order", "Bulk Order")))</f>
        <v>Bulk Order</v>
      </c>
      <c r="M437" s="10">
        <v>30</v>
      </c>
      <c r="N437" s="10">
        <v>120</v>
      </c>
    </row>
    <row r="438" spans="1:14" x14ac:dyDescent="0.2">
      <c r="A438">
        <v>187</v>
      </c>
      <c r="B438" s="5">
        <v>45084</v>
      </c>
      <c r="C438" s="5" t="str">
        <f>TEXT(Table2[[#This Row],[Date]], "MMM")</f>
        <v>Jun</v>
      </c>
      <c r="D438" s="8">
        <f>MONTH(Table2[[#This Row],[Date]])</f>
        <v>6</v>
      </c>
      <c r="E438" s="8">
        <f>YEAR(Table2[[#This Row],[Date]])</f>
        <v>2023</v>
      </c>
      <c r="F438" s="7" t="s">
        <v>200</v>
      </c>
      <c r="G438" s="7" t="s">
        <v>13</v>
      </c>
      <c r="H438" s="8">
        <v>64</v>
      </c>
      <c r="I438" s="8" t="str">
        <f>IF(Table2[[#This Row],[Age]] &lt; 19, "Teenagers", IF(Table2[[#This Row],[Age]] &lt;= 34, "Young Adults", IF(Table2[[#This Row],[Age]] &lt;= 45, "Adults", IF(Table2[[#This Row],[Age]] &lt;= 55, "Seniors", "Elderly")) ))</f>
        <v>Elderly</v>
      </c>
      <c r="J438" s="7" t="s">
        <v>14</v>
      </c>
      <c r="K438" s="8">
        <v>2</v>
      </c>
      <c r="L438" s="8" t="str">
        <f>IF(Table2[[#This Row],[Quantity]]=1, "Single Order", IF(Table2[[#This Row],[Quantity]]=2, "Small Order", IF(Table2[[#This Row],[Quantity]]=3, "Medium Order", "Bulk Order")))</f>
        <v>Small Order</v>
      </c>
      <c r="M438" s="10">
        <v>50</v>
      </c>
      <c r="N438" s="10">
        <v>100</v>
      </c>
    </row>
    <row r="439" spans="1:14" x14ac:dyDescent="0.2">
      <c r="A439">
        <v>212</v>
      </c>
      <c r="B439" s="5">
        <v>45086</v>
      </c>
      <c r="C439" s="5" t="str">
        <f>TEXT(Table2[[#This Row],[Date]], "MMM")</f>
        <v>Jun</v>
      </c>
      <c r="D439" s="8">
        <f>MONTH(Table2[[#This Row],[Date]])</f>
        <v>6</v>
      </c>
      <c r="E439" s="8">
        <f>YEAR(Table2[[#This Row],[Date]])</f>
        <v>2023</v>
      </c>
      <c r="F439" s="7" t="s">
        <v>225</v>
      </c>
      <c r="G439" s="7" t="s">
        <v>10</v>
      </c>
      <c r="H439" s="8">
        <v>21</v>
      </c>
      <c r="I439" s="8" t="str">
        <f>IF(Table2[[#This Row],[Age]] &lt; 19, "Teenagers", IF(Table2[[#This Row],[Age]] &lt;= 34, "Young Adults", IF(Table2[[#This Row],[Age]] &lt;= 45, "Adults", IF(Table2[[#This Row],[Age]] &lt;= 55, "Seniors", "Elderly")) ))</f>
        <v>Young Adults</v>
      </c>
      <c r="J439" s="7" t="s">
        <v>14</v>
      </c>
      <c r="K439" s="8">
        <v>3</v>
      </c>
      <c r="L439" s="8" t="str">
        <f>IF(Table2[[#This Row],[Quantity]]=1, "Single Order", IF(Table2[[#This Row],[Quantity]]=2, "Small Order", IF(Table2[[#This Row],[Quantity]]=3, "Medium Order", "Bulk Order")))</f>
        <v>Medium Order</v>
      </c>
      <c r="M439" s="10">
        <v>500</v>
      </c>
      <c r="N439" s="10">
        <v>1500</v>
      </c>
    </row>
    <row r="440" spans="1:14" x14ac:dyDescent="0.2">
      <c r="A440">
        <v>224</v>
      </c>
      <c r="B440" s="5">
        <v>45100</v>
      </c>
      <c r="C440" s="5" t="str">
        <f>TEXT(Table2[[#This Row],[Date]], "MMM")</f>
        <v>Jun</v>
      </c>
      <c r="D440" s="8">
        <f>MONTH(Table2[[#This Row],[Date]])</f>
        <v>6</v>
      </c>
      <c r="E440" s="8">
        <f>YEAR(Table2[[#This Row],[Date]])</f>
        <v>2023</v>
      </c>
      <c r="F440" s="7" t="s">
        <v>237</v>
      </c>
      <c r="G440" s="7" t="s">
        <v>13</v>
      </c>
      <c r="H440" s="8">
        <v>25</v>
      </c>
      <c r="I440" s="8" t="str">
        <f>IF(Table2[[#This Row],[Age]] &lt; 19, "Teenagers", IF(Table2[[#This Row],[Age]] &lt;= 34, "Young Adults", IF(Table2[[#This Row],[Age]] &lt;= 45, "Adults", IF(Table2[[#This Row],[Age]] &lt;= 55, "Seniors", "Elderly")) ))</f>
        <v>Young Adults</v>
      </c>
      <c r="J440" s="7" t="s">
        <v>14</v>
      </c>
      <c r="K440" s="8">
        <v>1</v>
      </c>
      <c r="L440" s="8" t="str">
        <f>IF(Table2[[#This Row],[Quantity]]=1, "Single Order", IF(Table2[[#This Row],[Quantity]]=2, "Small Order", IF(Table2[[#This Row],[Quantity]]=3, "Medium Order", "Bulk Order")))</f>
        <v>Single Order</v>
      </c>
      <c r="M440" s="10">
        <v>50</v>
      </c>
      <c r="N440" s="10">
        <v>50</v>
      </c>
    </row>
    <row r="441" spans="1:14" x14ac:dyDescent="0.2">
      <c r="A441">
        <v>239</v>
      </c>
      <c r="B441" s="5">
        <v>45096</v>
      </c>
      <c r="C441" s="5" t="str">
        <f>TEXT(Table2[[#This Row],[Date]], "MMM")</f>
        <v>Jun</v>
      </c>
      <c r="D441" s="8">
        <f>MONTH(Table2[[#This Row],[Date]])</f>
        <v>6</v>
      </c>
      <c r="E441" s="8">
        <f>YEAR(Table2[[#This Row],[Date]])</f>
        <v>2023</v>
      </c>
      <c r="F441" s="7" t="s">
        <v>252</v>
      </c>
      <c r="G441" s="7" t="s">
        <v>10</v>
      </c>
      <c r="H441" s="8">
        <v>38</v>
      </c>
      <c r="I441" s="8" t="str">
        <f>IF(Table2[[#This Row],[Age]] &lt; 19, "Teenagers", IF(Table2[[#This Row],[Age]] &lt;= 34, "Young Adults", IF(Table2[[#This Row],[Age]] &lt;= 45, "Adults", IF(Table2[[#This Row],[Age]] &lt;= 55, "Seniors", "Elderly")) ))</f>
        <v>Adults</v>
      </c>
      <c r="J441" s="7" t="s">
        <v>16</v>
      </c>
      <c r="K441" s="8">
        <v>3</v>
      </c>
      <c r="L441" s="8" t="str">
        <f>IF(Table2[[#This Row],[Quantity]]=1, "Single Order", IF(Table2[[#This Row],[Quantity]]=2, "Small Order", IF(Table2[[#This Row],[Quantity]]=3, "Medium Order", "Bulk Order")))</f>
        <v>Medium Order</v>
      </c>
      <c r="M441" s="10">
        <v>500</v>
      </c>
      <c r="N441" s="10">
        <v>1500</v>
      </c>
    </row>
    <row r="442" spans="1:14" x14ac:dyDescent="0.2">
      <c r="A442">
        <v>271</v>
      </c>
      <c r="B442" s="5">
        <v>45100</v>
      </c>
      <c r="C442" s="5" t="str">
        <f>TEXT(Table2[[#This Row],[Date]], "MMM")</f>
        <v>Jun</v>
      </c>
      <c r="D442" s="8">
        <f>MONTH(Table2[[#This Row],[Date]])</f>
        <v>6</v>
      </c>
      <c r="E442" s="8">
        <f>YEAR(Table2[[#This Row],[Date]])</f>
        <v>2023</v>
      </c>
      <c r="F442" s="7" t="s">
        <v>284</v>
      </c>
      <c r="G442" s="7" t="s">
        <v>13</v>
      </c>
      <c r="H442" s="8">
        <v>62</v>
      </c>
      <c r="I442" s="8" t="str">
        <f>IF(Table2[[#This Row],[Age]] &lt; 19, "Teenagers", IF(Table2[[#This Row],[Age]] &lt;= 34, "Young Adults", IF(Table2[[#This Row],[Age]] &lt;= 45, "Adults", IF(Table2[[#This Row],[Age]] &lt;= 55, "Seniors", "Elderly")) ))</f>
        <v>Elderly</v>
      </c>
      <c r="J442" s="7" t="s">
        <v>11</v>
      </c>
      <c r="K442" s="8">
        <v>4</v>
      </c>
      <c r="L442" s="8" t="str">
        <f>IF(Table2[[#This Row],[Quantity]]=1, "Single Order", IF(Table2[[#This Row],[Quantity]]=2, "Small Order", IF(Table2[[#This Row],[Quantity]]=3, "Medium Order", "Bulk Order")))</f>
        <v>Bulk Order</v>
      </c>
      <c r="M442" s="10">
        <v>30</v>
      </c>
      <c r="N442" s="10">
        <v>120</v>
      </c>
    </row>
    <row r="443" spans="1:14" x14ac:dyDescent="0.2">
      <c r="A443">
        <v>315</v>
      </c>
      <c r="B443" s="5">
        <v>45078</v>
      </c>
      <c r="C443" s="5" t="str">
        <f>TEXT(Table2[[#This Row],[Date]], "MMM")</f>
        <v>Jun</v>
      </c>
      <c r="D443" s="8">
        <f>MONTH(Table2[[#This Row],[Date]])</f>
        <v>6</v>
      </c>
      <c r="E443" s="8">
        <f>YEAR(Table2[[#This Row],[Date]])</f>
        <v>2023</v>
      </c>
      <c r="F443" s="7" t="s">
        <v>328</v>
      </c>
      <c r="G443" s="7" t="s">
        <v>10</v>
      </c>
      <c r="H443" s="8">
        <v>47</v>
      </c>
      <c r="I443" s="8" t="str">
        <f>IF(Table2[[#This Row],[Age]] &lt; 19, "Teenagers", IF(Table2[[#This Row],[Age]] &lt;= 34, "Young Adults", IF(Table2[[#This Row],[Age]] &lt;= 45, "Adults", IF(Table2[[#This Row],[Age]] &lt;= 55, "Seniors", "Elderly")) ))</f>
        <v>Seniors</v>
      </c>
      <c r="J443" s="7" t="s">
        <v>14</v>
      </c>
      <c r="K443" s="8">
        <v>2</v>
      </c>
      <c r="L443" s="8" t="str">
        <f>IF(Table2[[#This Row],[Quantity]]=1, "Single Order", IF(Table2[[#This Row],[Quantity]]=2, "Small Order", IF(Table2[[#This Row],[Quantity]]=3, "Medium Order", "Bulk Order")))</f>
        <v>Small Order</v>
      </c>
      <c r="M443" s="10">
        <v>30</v>
      </c>
      <c r="N443" s="10">
        <v>60</v>
      </c>
    </row>
    <row r="444" spans="1:14" x14ac:dyDescent="0.2">
      <c r="A444">
        <v>321</v>
      </c>
      <c r="B444" s="5">
        <v>45087</v>
      </c>
      <c r="C444" s="5" t="str">
        <f>TEXT(Table2[[#This Row],[Date]], "MMM")</f>
        <v>Jun</v>
      </c>
      <c r="D444" s="8">
        <f>MONTH(Table2[[#This Row],[Date]])</f>
        <v>6</v>
      </c>
      <c r="E444" s="8">
        <f>YEAR(Table2[[#This Row],[Date]])</f>
        <v>2023</v>
      </c>
      <c r="F444" s="7" t="s">
        <v>334</v>
      </c>
      <c r="G444" s="7" t="s">
        <v>13</v>
      </c>
      <c r="H444" s="8">
        <v>26</v>
      </c>
      <c r="I444" s="8" t="str">
        <f>IF(Table2[[#This Row],[Age]] &lt; 19, "Teenagers", IF(Table2[[#This Row],[Age]] &lt;= 34, "Young Adults", IF(Table2[[#This Row],[Age]] &lt;= 45, "Adults", IF(Table2[[#This Row],[Age]] &lt;= 55, "Seniors", "Elderly")) ))</f>
        <v>Young Adults</v>
      </c>
      <c r="J444" s="7" t="s">
        <v>16</v>
      </c>
      <c r="K444" s="8">
        <v>2</v>
      </c>
      <c r="L444" s="8" t="str">
        <f>IF(Table2[[#This Row],[Quantity]]=1, "Single Order", IF(Table2[[#This Row],[Quantity]]=2, "Small Order", IF(Table2[[#This Row],[Quantity]]=3, "Medium Order", "Bulk Order")))</f>
        <v>Small Order</v>
      </c>
      <c r="M444" s="10">
        <v>25</v>
      </c>
      <c r="N444" s="10">
        <v>50</v>
      </c>
    </row>
    <row r="445" spans="1:14" x14ac:dyDescent="0.2">
      <c r="A445">
        <v>352</v>
      </c>
      <c r="B445" s="5">
        <v>45088</v>
      </c>
      <c r="C445" s="5" t="str">
        <f>TEXT(Table2[[#This Row],[Date]], "MMM")</f>
        <v>Jun</v>
      </c>
      <c r="D445" s="8">
        <f>MONTH(Table2[[#This Row],[Date]])</f>
        <v>6</v>
      </c>
      <c r="E445" s="8">
        <f>YEAR(Table2[[#This Row],[Date]])</f>
        <v>2023</v>
      </c>
      <c r="F445" s="7" t="s">
        <v>365</v>
      </c>
      <c r="G445" s="7" t="s">
        <v>10</v>
      </c>
      <c r="H445" s="8">
        <v>57</v>
      </c>
      <c r="I445" s="8" t="str">
        <f>IF(Table2[[#This Row],[Age]] &lt; 19, "Teenagers", IF(Table2[[#This Row],[Age]] &lt;= 34, "Young Adults", IF(Table2[[#This Row],[Age]] &lt;= 45, "Adults", IF(Table2[[#This Row],[Age]] &lt;= 55, "Seniors", "Elderly")) ))</f>
        <v>Elderly</v>
      </c>
      <c r="J445" s="7" t="s">
        <v>16</v>
      </c>
      <c r="K445" s="8">
        <v>2</v>
      </c>
      <c r="L445" s="8" t="str">
        <f>IF(Table2[[#This Row],[Quantity]]=1, "Single Order", IF(Table2[[#This Row],[Quantity]]=2, "Small Order", IF(Table2[[#This Row],[Quantity]]=3, "Medium Order", "Bulk Order")))</f>
        <v>Small Order</v>
      </c>
      <c r="M445" s="10">
        <v>500</v>
      </c>
      <c r="N445" s="10">
        <v>1000</v>
      </c>
    </row>
    <row r="446" spans="1:14" x14ac:dyDescent="0.2">
      <c r="A446">
        <v>356</v>
      </c>
      <c r="B446" s="5">
        <v>45087</v>
      </c>
      <c r="C446" s="5" t="str">
        <f>TEXT(Table2[[#This Row],[Date]], "MMM")</f>
        <v>Jun</v>
      </c>
      <c r="D446" s="8">
        <f>MONTH(Table2[[#This Row],[Date]])</f>
        <v>6</v>
      </c>
      <c r="E446" s="8">
        <f>YEAR(Table2[[#This Row],[Date]])</f>
        <v>2023</v>
      </c>
      <c r="F446" s="7" t="s">
        <v>369</v>
      </c>
      <c r="G446" s="7" t="s">
        <v>10</v>
      </c>
      <c r="H446" s="8">
        <v>50</v>
      </c>
      <c r="I446" s="8" t="str">
        <f>IF(Table2[[#This Row],[Age]] &lt; 19, "Teenagers", IF(Table2[[#This Row],[Age]] &lt;= 34, "Young Adults", IF(Table2[[#This Row],[Age]] &lt;= 45, "Adults", IF(Table2[[#This Row],[Age]] &lt;= 55, "Seniors", "Elderly")) ))</f>
        <v>Seniors</v>
      </c>
      <c r="J446" s="7" t="s">
        <v>16</v>
      </c>
      <c r="K446" s="8">
        <v>3</v>
      </c>
      <c r="L446" s="8" t="str">
        <f>IF(Table2[[#This Row],[Quantity]]=1, "Single Order", IF(Table2[[#This Row],[Quantity]]=2, "Small Order", IF(Table2[[#This Row],[Quantity]]=3, "Medium Order", "Bulk Order")))</f>
        <v>Medium Order</v>
      </c>
      <c r="M446" s="10">
        <v>500</v>
      </c>
      <c r="N446" s="10">
        <v>1500</v>
      </c>
    </row>
    <row r="447" spans="1:14" x14ac:dyDescent="0.2">
      <c r="A447">
        <v>363</v>
      </c>
      <c r="B447" s="5">
        <v>45080</v>
      </c>
      <c r="C447" s="5" t="str">
        <f>TEXT(Table2[[#This Row],[Date]], "MMM")</f>
        <v>Jun</v>
      </c>
      <c r="D447" s="8">
        <f>MONTH(Table2[[#This Row],[Date]])</f>
        <v>6</v>
      </c>
      <c r="E447" s="8">
        <f>YEAR(Table2[[#This Row],[Date]])</f>
        <v>2023</v>
      </c>
      <c r="F447" s="7" t="s">
        <v>376</v>
      </c>
      <c r="G447" s="7" t="s">
        <v>10</v>
      </c>
      <c r="H447" s="8">
        <v>64</v>
      </c>
      <c r="I447" s="8" t="str">
        <f>IF(Table2[[#This Row],[Age]] &lt; 19, "Teenagers", IF(Table2[[#This Row],[Age]] &lt;= 34, "Young Adults", IF(Table2[[#This Row],[Age]] &lt;= 45, "Adults", IF(Table2[[#This Row],[Age]] &lt;= 55, "Seniors", "Elderly")) ))</f>
        <v>Elderly</v>
      </c>
      <c r="J447" s="7" t="s">
        <v>11</v>
      </c>
      <c r="K447" s="8">
        <v>1</v>
      </c>
      <c r="L447" s="8" t="str">
        <f>IF(Table2[[#This Row],[Quantity]]=1, "Single Order", IF(Table2[[#This Row],[Quantity]]=2, "Small Order", IF(Table2[[#This Row],[Quantity]]=3, "Medium Order", "Bulk Order")))</f>
        <v>Single Order</v>
      </c>
      <c r="M447" s="10">
        <v>25</v>
      </c>
      <c r="N447" s="10">
        <v>25</v>
      </c>
    </row>
    <row r="448" spans="1:14" x14ac:dyDescent="0.2">
      <c r="A448">
        <v>365</v>
      </c>
      <c r="B448" s="5">
        <v>45088</v>
      </c>
      <c r="C448" s="5" t="str">
        <f>TEXT(Table2[[#This Row],[Date]], "MMM")</f>
        <v>Jun</v>
      </c>
      <c r="D448" s="8">
        <f>MONTH(Table2[[#This Row],[Date]])</f>
        <v>6</v>
      </c>
      <c r="E448" s="8">
        <f>YEAR(Table2[[#This Row],[Date]])</f>
        <v>2023</v>
      </c>
      <c r="F448" s="7" t="s">
        <v>378</v>
      </c>
      <c r="G448" s="7" t="s">
        <v>10</v>
      </c>
      <c r="H448" s="8">
        <v>31</v>
      </c>
      <c r="I448" s="8" t="str">
        <f>IF(Table2[[#This Row],[Age]] &lt; 19, "Teenagers", IF(Table2[[#This Row],[Age]] &lt;= 34, "Young Adults", IF(Table2[[#This Row],[Age]] &lt;= 45, "Adults", IF(Table2[[#This Row],[Age]] &lt;= 55, "Seniors", "Elderly")) ))</f>
        <v>Young Adults</v>
      </c>
      <c r="J448" s="7" t="s">
        <v>14</v>
      </c>
      <c r="K448" s="8">
        <v>1</v>
      </c>
      <c r="L448" s="8" t="str">
        <f>IF(Table2[[#This Row],[Quantity]]=1, "Single Order", IF(Table2[[#This Row],[Quantity]]=2, "Small Order", IF(Table2[[#This Row],[Quantity]]=3, "Medium Order", "Bulk Order")))</f>
        <v>Single Order</v>
      </c>
      <c r="M448" s="10">
        <v>300</v>
      </c>
      <c r="N448" s="10">
        <v>300</v>
      </c>
    </row>
    <row r="449" spans="1:14" x14ac:dyDescent="0.2">
      <c r="A449">
        <v>378</v>
      </c>
      <c r="B449" s="5">
        <v>45105</v>
      </c>
      <c r="C449" s="5" t="str">
        <f>TEXT(Table2[[#This Row],[Date]], "MMM")</f>
        <v>Jun</v>
      </c>
      <c r="D449" s="8">
        <f>MONTH(Table2[[#This Row],[Date]])</f>
        <v>6</v>
      </c>
      <c r="E449" s="8">
        <f>YEAR(Table2[[#This Row],[Date]])</f>
        <v>2023</v>
      </c>
      <c r="F449" s="7" t="s">
        <v>391</v>
      </c>
      <c r="G449" s="7" t="s">
        <v>10</v>
      </c>
      <c r="H449" s="8">
        <v>50</v>
      </c>
      <c r="I449" s="8" t="str">
        <f>IF(Table2[[#This Row],[Age]] &lt; 19, "Teenagers", IF(Table2[[#This Row],[Age]] &lt;= 34, "Young Adults", IF(Table2[[#This Row],[Age]] &lt;= 45, "Adults", IF(Table2[[#This Row],[Age]] &lt;= 55, "Seniors", "Elderly")) ))</f>
        <v>Seniors</v>
      </c>
      <c r="J449" s="7" t="s">
        <v>11</v>
      </c>
      <c r="K449" s="8">
        <v>1</v>
      </c>
      <c r="L449" s="8" t="str">
        <f>IF(Table2[[#This Row],[Quantity]]=1, "Single Order", IF(Table2[[#This Row],[Quantity]]=2, "Small Order", IF(Table2[[#This Row],[Quantity]]=3, "Medium Order", "Bulk Order")))</f>
        <v>Single Order</v>
      </c>
      <c r="M449" s="10">
        <v>300</v>
      </c>
      <c r="N449" s="10">
        <v>300</v>
      </c>
    </row>
    <row r="450" spans="1:14" x14ac:dyDescent="0.2">
      <c r="A450">
        <v>387</v>
      </c>
      <c r="B450" s="5">
        <v>45081</v>
      </c>
      <c r="C450" s="5" t="str">
        <f>TEXT(Table2[[#This Row],[Date]], "MMM")</f>
        <v>Jun</v>
      </c>
      <c r="D450" s="8">
        <f>MONTH(Table2[[#This Row],[Date]])</f>
        <v>6</v>
      </c>
      <c r="E450" s="8">
        <f>YEAR(Table2[[#This Row],[Date]])</f>
        <v>2023</v>
      </c>
      <c r="F450" s="7" t="s">
        <v>400</v>
      </c>
      <c r="G450" s="7" t="s">
        <v>10</v>
      </c>
      <c r="H450" s="8">
        <v>44</v>
      </c>
      <c r="I450" s="8" t="str">
        <f>IF(Table2[[#This Row],[Age]] &lt; 19, "Teenagers", IF(Table2[[#This Row],[Age]] &lt;= 34, "Young Adults", IF(Table2[[#This Row],[Age]] &lt;= 45, "Adults", IF(Table2[[#This Row],[Age]] &lt;= 55, "Seniors", "Elderly")) ))</f>
        <v>Adults</v>
      </c>
      <c r="J450" s="7" t="s">
        <v>11</v>
      </c>
      <c r="K450" s="8">
        <v>1</v>
      </c>
      <c r="L450" s="8" t="str">
        <f>IF(Table2[[#This Row],[Quantity]]=1, "Single Order", IF(Table2[[#This Row],[Quantity]]=2, "Small Order", IF(Table2[[#This Row],[Quantity]]=3, "Medium Order", "Bulk Order")))</f>
        <v>Single Order</v>
      </c>
      <c r="M450" s="10">
        <v>30</v>
      </c>
      <c r="N450" s="10">
        <v>30</v>
      </c>
    </row>
    <row r="451" spans="1:14" x14ac:dyDescent="0.2">
      <c r="A451">
        <v>394</v>
      </c>
      <c r="B451" s="5">
        <v>45080</v>
      </c>
      <c r="C451" s="5" t="str">
        <f>TEXT(Table2[[#This Row],[Date]], "MMM")</f>
        <v>Jun</v>
      </c>
      <c r="D451" s="8">
        <f>MONTH(Table2[[#This Row],[Date]])</f>
        <v>6</v>
      </c>
      <c r="E451" s="8">
        <f>YEAR(Table2[[#This Row],[Date]])</f>
        <v>2023</v>
      </c>
      <c r="F451" s="7" t="s">
        <v>407</v>
      </c>
      <c r="G451" s="7" t="s">
        <v>13</v>
      </c>
      <c r="H451" s="8">
        <v>27</v>
      </c>
      <c r="I451" s="8" t="str">
        <f>IF(Table2[[#This Row],[Age]] &lt; 19, "Teenagers", IF(Table2[[#This Row],[Age]] &lt;= 34, "Young Adults", IF(Table2[[#This Row],[Age]] &lt;= 45, "Adults", IF(Table2[[#This Row],[Age]] &lt;= 55, "Seniors", "Elderly")) ))</f>
        <v>Young Adults</v>
      </c>
      <c r="J451" s="7" t="s">
        <v>14</v>
      </c>
      <c r="K451" s="8">
        <v>1</v>
      </c>
      <c r="L451" s="8" t="str">
        <f>IF(Table2[[#This Row],[Quantity]]=1, "Single Order", IF(Table2[[#This Row],[Quantity]]=2, "Small Order", IF(Table2[[#This Row],[Quantity]]=3, "Medium Order", "Bulk Order")))</f>
        <v>Single Order</v>
      </c>
      <c r="M451" s="10">
        <v>500</v>
      </c>
      <c r="N451" s="10">
        <v>500</v>
      </c>
    </row>
    <row r="452" spans="1:14" x14ac:dyDescent="0.2">
      <c r="A452">
        <v>407</v>
      </c>
      <c r="B452" s="5">
        <v>45102</v>
      </c>
      <c r="C452" s="5" t="str">
        <f>TEXT(Table2[[#This Row],[Date]], "MMM")</f>
        <v>Jun</v>
      </c>
      <c r="D452" s="8">
        <f>MONTH(Table2[[#This Row],[Date]])</f>
        <v>6</v>
      </c>
      <c r="E452" s="8">
        <f>YEAR(Table2[[#This Row],[Date]])</f>
        <v>2023</v>
      </c>
      <c r="F452" s="7" t="s">
        <v>420</v>
      </c>
      <c r="G452" s="7" t="s">
        <v>13</v>
      </c>
      <c r="H452" s="8">
        <v>46</v>
      </c>
      <c r="I452" s="8" t="str">
        <f>IF(Table2[[#This Row],[Age]] &lt; 19, "Teenagers", IF(Table2[[#This Row],[Age]] &lt;= 34, "Young Adults", IF(Table2[[#This Row],[Age]] &lt;= 45, "Adults", IF(Table2[[#This Row],[Age]] &lt;= 55, "Seniors", "Elderly")) ))</f>
        <v>Seniors</v>
      </c>
      <c r="J452" s="7" t="s">
        <v>16</v>
      </c>
      <c r="K452" s="8">
        <v>3</v>
      </c>
      <c r="L452" s="8" t="str">
        <f>IF(Table2[[#This Row],[Quantity]]=1, "Single Order", IF(Table2[[#This Row],[Quantity]]=2, "Small Order", IF(Table2[[#This Row],[Quantity]]=3, "Medium Order", "Bulk Order")))</f>
        <v>Medium Order</v>
      </c>
      <c r="M452" s="10">
        <v>300</v>
      </c>
      <c r="N452" s="10">
        <v>900</v>
      </c>
    </row>
    <row r="453" spans="1:14" x14ac:dyDescent="0.2">
      <c r="A453">
        <v>422</v>
      </c>
      <c r="B453" s="5">
        <v>45097</v>
      </c>
      <c r="C453" s="5" t="str">
        <f>TEXT(Table2[[#This Row],[Date]], "MMM")</f>
        <v>Jun</v>
      </c>
      <c r="D453" s="8">
        <f>MONTH(Table2[[#This Row],[Date]])</f>
        <v>6</v>
      </c>
      <c r="E453" s="8">
        <f>YEAR(Table2[[#This Row],[Date]])</f>
        <v>2023</v>
      </c>
      <c r="F453" s="7" t="s">
        <v>435</v>
      </c>
      <c r="G453" s="7" t="s">
        <v>13</v>
      </c>
      <c r="H453" s="8">
        <v>28</v>
      </c>
      <c r="I453" s="8" t="str">
        <f>IF(Table2[[#This Row],[Age]] &lt; 19, "Teenagers", IF(Table2[[#This Row],[Age]] &lt;= 34, "Young Adults", IF(Table2[[#This Row],[Age]] &lt;= 45, "Adults", IF(Table2[[#This Row],[Age]] &lt;= 55, "Seniors", "Elderly")) ))</f>
        <v>Young Adults</v>
      </c>
      <c r="J453" s="7" t="s">
        <v>14</v>
      </c>
      <c r="K453" s="8">
        <v>3</v>
      </c>
      <c r="L453" s="8" t="str">
        <f>IF(Table2[[#This Row],[Quantity]]=1, "Single Order", IF(Table2[[#This Row],[Quantity]]=2, "Small Order", IF(Table2[[#This Row],[Quantity]]=3, "Medium Order", "Bulk Order")))</f>
        <v>Medium Order</v>
      </c>
      <c r="M453" s="10">
        <v>30</v>
      </c>
      <c r="N453" s="10">
        <v>90</v>
      </c>
    </row>
    <row r="454" spans="1:14" x14ac:dyDescent="0.2">
      <c r="A454">
        <v>446</v>
      </c>
      <c r="B454" s="5">
        <v>45084</v>
      </c>
      <c r="C454" s="5" t="str">
        <f>TEXT(Table2[[#This Row],[Date]], "MMM")</f>
        <v>Jun</v>
      </c>
      <c r="D454" s="8">
        <f>MONTH(Table2[[#This Row],[Date]])</f>
        <v>6</v>
      </c>
      <c r="E454" s="8">
        <f>YEAR(Table2[[#This Row],[Date]])</f>
        <v>2023</v>
      </c>
      <c r="F454" s="7" t="s">
        <v>459</v>
      </c>
      <c r="G454" s="7" t="s">
        <v>10</v>
      </c>
      <c r="H454" s="8">
        <v>21</v>
      </c>
      <c r="I454" s="8" t="str">
        <f>IF(Table2[[#This Row],[Age]] &lt; 19, "Teenagers", IF(Table2[[#This Row],[Age]] &lt;= 34, "Young Adults", IF(Table2[[#This Row],[Age]] &lt;= 45, "Adults", IF(Table2[[#This Row],[Age]] &lt;= 55, "Seniors", "Elderly")) ))</f>
        <v>Young Adults</v>
      </c>
      <c r="J454" s="7" t="s">
        <v>16</v>
      </c>
      <c r="K454" s="8">
        <v>1</v>
      </c>
      <c r="L454" s="8" t="str">
        <f>IF(Table2[[#This Row],[Quantity]]=1, "Single Order", IF(Table2[[#This Row],[Quantity]]=2, "Small Order", IF(Table2[[#This Row],[Quantity]]=3, "Medium Order", "Bulk Order")))</f>
        <v>Single Order</v>
      </c>
      <c r="M454" s="10">
        <v>50</v>
      </c>
      <c r="N454" s="10">
        <v>50</v>
      </c>
    </row>
    <row r="455" spans="1:14" x14ac:dyDescent="0.2">
      <c r="A455">
        <v>466</v>
      </c>
      <c r="B455" s="5">
        <v>45097</v>
      </c>
      <c r="C455" s="5" t="str">
        <f>TEXT(Table2[[#This Row],[Date]], "MMM")</f>
        <v>Jun</v>
      </c>
      <c r="D455" s="8">
        <f>MONTH(Table2[[#This Row],[Date]])</f>
        <v>6</v>
      </c>
      <c r="E455" s="8">
        <f>YEAR(Table2[[#This Row],[Date]])</f>
        <v>2023</v>
      </c>
      <c r="F455" s="7" t="s">
        <v>479</v>
      </c>
      <c r="G455" s="7" t="s">
        <v>10</v>
      </c>
      <c r="H455" s="8">
        <v>63</v>
      </c>
      <c r="I455" s="8" t="str">
        <f>IF(Table2[[#This Row],[Age]] &lt; 19, "Teenagers", IF(Table2[[#This Row],[Age]] &lt;= 34, "Young Adults", IF(Table2[[#This Row],[Age]] &lt;= 45, "Adults", IF(Table2[[#This Row],[Age]] &lt;= 55, "Seniors", "Elderly")) ))</f>
        <v>Elderly</v>
      </c>
      <c r="J455" s="7" t="s">
        <v>16</v>
      </c>
      <c r="K455" s="8">
        <v>4</v>
      </c>
      <c r="L455" s="8" t="str">
        <f>IF(Table2[[#This Row],[Quantity]]=1, "Single Order", IF(Table2[[#This Row],[Quantity]]=2, "Small Order", IF(Table2[[#This Row],[Quantity]]=3, "Medium Order", "Bulk Order")))</f>
        <v>Bulk Order</v>
      </c>
      <c r="M455" s="10">
        <v>25</v>
      </c>
      <c r="N455" s="10">
        <v>100</v>
      </c>
    </row>
    <row r="456" spans="1:14" x14ac:dyDescent="0.2">
      <c r="A456">
        <v>480</v>
      </c>
      <c r="B456" s="5">
        <v>45106</v>
      </c>
      <c r="C456" s="5" t="str">
        <f>TEXT(Table2[[#This Row],[Date]], "MMM")</f>
        <v>Jun</v>
      </c>
      <c r="D456" s="8">
        <f>MONTH(Table2[[#This Row],[Date]])</f>
        <v>6</v>
      </c>
      <c r="E456" s="8">
        <f>YEAR(Table2[[#This Row],[Date]])</f>
        <v>2023</v>
      </c>
      <c r="F456" s="7" t="s">
        <v>493</v>
      </c>
      <c r="G456" s="7" t="s">
        <v>13</v>
      </c>
      <c r="H456" s="8">
        <v>42</v>
      </c>
      <c r="I456" s="8" t="str">
        <f>IF(Table2[[#This Row],[Age]] &lt; 19, "Teenagers", IF(Table2[[#This Row],[Age]] &lt;= 34, "Young Adults", IF(Table2[[#This Row],[Age]] &lt;= 45, "Adults", IF(Table2[[#This Row],[Age]] &lt;= 55, "Seniors", "Elderly")) ))</f>
        <v>Adults</v>
      </c>
      <c r="J456" s="7" t="s">
        <v>11</v>
      </c>
      <c r="K456" s="8">
        <v>4</v>
      </c>
      <c r="L456" s="8" t="str">
        <f>IF(Table2[[#This Row],[Quantity]]=1, "Single Order", IF(Table2[[#This Row],[Quantity]]=2, "Small Order", IF(Table2[[#This Row],[Quantity]]=3, "Medium Order", "Bulk Order")))</f>
        <v>Bulk Order</v>
      </c>
      <c r="M456" s="10">
        <v>500</v>
      </c>
      <c r="N456" s="10">
        <v>2000</v>
      </c>
    </row>
    <row r="457" spans="1:14" x14ac:dyDescent="0.2">
      <c r="A457">
        <v>481</v>
      </c>
      <c r="B457" s="5">
        <v>45083</v>
      </c>
      <c r="C457" s="5" t="str">
        <f>TEXT(Table2[[#This Row],[Date]], "MMM")</f>
        <v>Jun</v>
      </c>
      <c r="D457" s="8">
        <f>MONTH(Table2[[#This Row],[Date]])</f>
        <v>6</v>
      </c>
      <c r="E457" s="8">
        <f>YEAR(Table2[[#This Row],[Date]])</f>
        <v>2023</v>
      </c>
      <c r="F457" s="7" t="s">
        <v>494</v>
      </c>
      <c r="G457" s="7" t="s">
        <v>13</v>
      </c>
      <c r="H457" s="8">
        <v>43</v>
      </c>
      <c r="I457" s="8" t="str">
        <f>IF(Table2[[#This Row],[Age]] &lt; 19, "Teenagers", IF(Table2[[#This Row],[Age]] &lt;= 34, "Young Adults", IF(Table2[[#This Row],[Age]] &lt;= 45, "Adults", IF(Table2[[#This Row],[Age]] &lt;= 55, "Seniors", "Elderly")) ))</f>
        <v>Adults</v>
      </c>
      <c r="J457" s="7" t="s">
        <v>16</v>
      </c>
      <c r="K457" s="8">
        <v>4</v>
      </c>
      <c r="L457" s="8" t="str">
        <f>IF(Table2[[#This Row],[Quantity]]=1, "Single Order", IF(Table2[[#This Row],[Quantity]]=2, "Small Order", IF(Table2[[#This Row],[Quantity]]=3, "Medium Order", "Bulk Order")))</f>
        <v>Bulk Order</v>
      </c>
      <c r="M457" s="10">
        <v>300</v>
      </c>
      <c r="N457" s="10">
        <v>1200</v>
      </c>
    </row>
    <row r="458" spans="1:14" x14ac:dyDescent="0.2">
      <c r="A458">
        <v>488</v>
      </c>
      <c r="B458" s="5">
        <v>45095</v>
      </c>
      <c r="C458" s="5" t="str">
        <f>TEXT(Table2[[#This Row],[Date]], "MMM")</f>
        <v>Jun</v>
      </c>
      <c r="D458" s="8">
        <f>MONTH(Table2[[#This Row],[Date]])</f>
        <v>6</v>
      </c>
      <c r="E458" s="8">
        <f>YEAR(Table2[[#This Row],[Date]])</f>
        <v>2023</v>
      </c>
      <c r="F458" s="7" t="s">
        <v>501</v>
      </c>
      <c r="G458" s="7" t="s">
        <v>13</v>
      </c>
      <c r="H458" s="8">
        <v>51</v>
      </c>
      <c r="I458" s="8" t="str">
        <f>IF(Table2[[#This Row],[Age]] &lt; 19, "Teenagers", IF(Table2[[#This Row],[Age]] &lt;= 34, "Young Adults", IF(Table2[[#This Row],[Age]] &lt;= 45, "Adults", IF(Table2[[#This Row],[Age]] &lt;= 55, "Seniors", "Elderly")) ))</f>
        <v>Seniors</v>
      </c>
      <c r="J458" s="7" t="s">
        <v>16</v>
      </c>
      <c r="K458" s="8">
        <v>3</v>
      </c>
      <c r="L458" s="8" t="str">
        <f>IF(Table2[[#This Row],[Quantity]]=1, "Single Order", IF(Table2[[#This Row],[Quantity]]=2, "Small Order", IF(Table2[[#This Row],[Quantity]]=3, "Medium Order", "Bulk Order")))</f>
        <v>Medium Order</v>
      </c>
      <c r="M458" s="10">
        <v>300</v>
      </c>
      <c r="N458" s="10">
        <v>900</v>
      </c>
    </row>
    <row r="459" spans="1:14" x14ac:dyDescent="0.2">
      <c r="A459">
        <v>492</v>
      </c>
      <c r="B459" s="5">
        <v>45106</v>
      </c>
      <c r="C459" s="5" t="str">
        <f>TEXT(Table2[[#This Row],[Date]], "MMM")</f>
        <v>Jun</v>
      </c>
      <c r="D459" s="8">
        <f>MONTH(Table2[[#This Row],[Date]])</f>
        <v>6</v>
      </c>
      <c r="E459" s="8">
        <f>YEAR(Table2[[#This Row],[Date]])</f>
        <v>2023</v>
      </c>
      <c r="F459" s="7" t="s">
        <v>505</v>
      </c>
      <c r="G459" s="7" t="s">
        <v>10</v>
      </c>
      <c r="H459" s="8">
        <v>61</v>
      </c>
      <c r="I459" s="8" t="str">
        <f>IF(Table2[[#This Row],[Age]] &lt; 19, "Teenagers", IF(Table2[[#This Row],[Age]] &lt;= 34, "Young Adults", IF(Table2[[#This Row],[Age]] &lt;= 45, "Adults", IF(Table2[[#This Row],[Age]] &lt;= 55, "Seniors", "Elderly")) ))</f>
        <v>Elderly</v>
      </c>
      <c r="J459" s="7" t="s">
        <v>11</v>
      </c>
      <c r="K459" s="8">
        <v>4</v>
      </c>
      <c r="L459" s="8" t="str">
        <f>IF(Table2[[#This Row],[Quantity]]=1, "Single Order", IF(Table2[[#This Row],[Quantity]]=2, "Small Order", IF(Table2[[#This Row],[Quantity]]=3, "Medium Order", "Bulk Order")))</f>
        <v>Bulk Order</v>
      </c>
      <c r="M459" s="10">
        <v>25</v>
      </c>
      <c r="N459" s="10">
        <v>100</v>
      </c>
    </row>
    <row r="460" spans="1:14" x14ac:dyDescent="0.2">
      <c r="A460">
        <v>498</v>
      </c>
      <c r="B460" s="5">
        <v>45096</v>
      </c>
      <c r="C460" s="5" t="str">
        <f>TEXT(Table2[[#This Row],[Date]], "MMM")</f>
        <v>Jun</v>
      </c>
      <c r="D460" s="8">
        <f>MONTH(Table2[[#This Row],[Date]])</f>
        <v>6</v>
      </c>
      <c r="E460" s="8">
        <f>YEAR(Table2[[#This Row],[Date]])</f>
        <v>2023</v>
      </c>
      <c r="F460" s="7" t="s">
        <v>511</v>
      </c>
      <c r="G460" s="7" t="s">
        <v>13</v>
      </c>
      <c r="H460" s="8">
        <v>50</v>
      </c>
      <c r="I460" s="8" t="str">
        <f>IF(Table2[[#This Row],[Age]] &lt; 19, "Teenagers", IF(Table2[[#This Row],[Age]] &lt;= 34, "Young Adults", IF(Table2[[#This Row],[Age]] &lt;= 45, "Adults", IF(Table2[[#This Row],[Age]] &lt;= 55, "Seniors", "Elderly")) ))</f>
        <v>Seniors</v>
      </c>
      <c r="J460" s="7" t="s">
        <v>14</v>
      </c>
      <c r="K460" s="8">
        <v>4</v>
      </c>
      <c r="L460" s="8" t="str">
        <f>IF(Table2[[#This Row],[Quantity]]=1, "Single Order", IF(Table2[[#This Row],[Quantity]]=2, "Small Order", IF(Table2[[#This Row],[Quantity]]=3, "Medium Order", "Bulk Order")))</f>
        <v>Bulk Order</v>
      </c>
      <c r="M460" s="10">
        <v>25</v>
      </c>
      <c r="N460" s="10">
        <v>100</v>
      </c>
    </row>
    <row r="461" spans="1:14" x14ac:dyDescent="0.2">
      <c r="A461">
        <v>509</v>
      </c>
      <c r="B461" s="5">
        <v>45103</v>
      </c>
      <c r="C461" s="5" t="str">
        <f>TEXT(Table2[[#This Row],[Date]], "MMM")</f>
        <v>Jun</v>
      </c>
      <c r="D461" s="8">
        <f>MONTH(Table2[[#This Row],[Date]])</f>
        <v>6</v>
      </c>
      <c r="E461" s="8">
        <f>YEAR(Table2[[#This Row],[Date]])</f>
        <v>2023</v>
      </c>
      <c r="F461" s="7" t="s">
        <v>522</v>
      </c>
      <c r="G461" s="7" t="s">
        <v>13</v>
      </c>
      <c r="H461" s="8">
        <v>37</v>
      </c>
      <c r="I461" s="8" t="str">
        <f>IF(Table2[[#This Row],[Age]] &lt; 19, "Teenagers", IF(Table2[[#This Row],[Age]] &lt;= 34, "Young Adults", IF(Table2[[#This Row],[Age]] &lt;= 45, "Adults", IF(Table2[[#This Row],[Age]] &lt;= 55, "Seniors", "Elderly")) ))</f>
        <v>Adults</v>
      </c>
      <c r="J461" s="7" t="s">
        <v>16</v>
      </c>
      <c r="K461" s="8">
        <v>3</v>
      </c>
      <c r="L461" s="8" t="str">
        <f>IF(Table2[[#This Row],[Quantity]]=1, "Single Order", IF(Table2[[#This Row],[Quantity]]=2, "Small Order", IF(Table2[[#This Row],[Quantity]]=3, "Medium Order", "Bulk Order")))</f>
        <v>Medium Order</v>
      </c>
      <c r="M461" s="10">
        <v>300</v>
      </c>
      <c r="N461" s="10">
        <v>900</v>
      </c>
    </row>
    <row r="462" spans="1:14" x14ac:dyDescent="0.2">
      <c r="A462">
        <v>510</v>
      </c>
      <c r="B462" s="5">
        <v>45087</v>
      </c>
      <c r="C462" s="5" t="str">
        <f>TEXT(Table2[[#This Row],[Date]], "MMM")</f>
        <v>Jun</v>
      </c>
      <c r="D462" s="8">
        <f>MONTH(Table2[[#This Row],[Date]])</f>
        <v>6</v>
      </c>
      <c r="E462" s="8">
        <f>YEAR(Table2[[#This Row],[Date]])</f>
        <v>2023</v>
      </c>
      <c r="F462" s="7" t="s">
        <v>523</v>
      </c>
      <c r="G462" s="7" t="s">
        <v>13</v>
      </c>
      <c r="H462" s="8">
        <v>39</v>
      </c>
      <c r="I462" s="8" t="str">
        <f>IF(Table2[[#This Row],[Age]] &lt; 19, "Teenagers", IF(Table2[[#This Row],[Age]] &lt;= 34, "Young Adults", IF(Table2[[#This Row],[Age]] &lt;= 45, "Adults", IF(Table2[[#This Row],[Age]] &lt;= 55, "Seniors", "Elderly")) ))</f>
        <v>Adults</v>
      </c>
      <c r="J462" s="7" t="s">
        <v>11</v>
      </c>
      <c r="K462" s="8">
        <v>4</v>
      </c>
      <c r="L462" s="8" t="str">
        <f>IF(Table2[[#This Row],[Quantity]]=1, "Single Order", IF(Table2[[#This Row],[Quantity]]=2, "Small Order", IF(Table2[[#This Row],[Quantity]]=3, "Medium Order", "Bulk Order")))</f>
        <v>Bulk Order</v>
      </c>
      <c r="M462" s="10">
        <v>50</v>
      </c>
      <c r="N462" s="10">
        <v>200</v>
      </c>
    </row>
    <row r="463" spans="1:14" x14ac:dyDescent="0.2">
      <c r="A463">
        <v>532</v>
      </c>
      <c r="B463" s="5">
        <v>45096</v>
      </c>
      <c r="C463" s="5" t="str">
        <f>TEXT(Table2[[#This Row],[Date]], "MMM")</f>
        <v>Jun</v>
      </c>
      <c r="D463" s="8">
        <f>MONTH(Table2[[#This Row],[Date]])</f>
        <v>6</v>
      </c>
      <c r="E463" s="8">
        <f>YEAR(Table2[[#This Row],[Date]])</f>
        <v>2023</v>
      </c>
      <c r="F463" s="7" t="s">
        <v>545</v>
      </c>
      <c r="G463" s="7" t="s">
        <v>13</v>
      </c>
      <c r="H463" s="8">
        <v>64</v>
      </c>
      <c r="I463" s="8" t="str">
        <f>IF(Table2[[#This Row],[Age]] &lt; 19, "Teenagers", IF(Table2[[#This Row],[Age]] &lt;= 34, "Young Adults", IF(Table2[[#This Row],[Age]] &lt;= 45, "Adults", IF(Table2[[#This Row],[Age]] &lt;= 55, "Seniors", "Elderly")) ))</f>
        <v>Elderly</v>
      </c>
      <c r="J463" s="7" t="s">
        <v>14</v>
      </c>
      <c r="K463" s="8">
        <v>4</v>
      </c>
      <c r="L463" s="8" t="str">
        <f>IF(Table2[[#This Row],[Quantity]]=1, "Single Order", IF(Table2[[#This Row],[Quantity]]=2, "Small Order", IF(Table2[[#This Row],[Quantity]]=3, "Medium Order", "Bulk Order")))</f>
        <v>Bulk Order</v>
      </c>
      <c r="M463" s="10">
        <v>30</v>
      </c>
      <c r="N463" s="10">
        <v>120</v>
      </c>
    </row>
    <row r="464" spans="1:14" x14ac:dyDescent="0.2">
      <c r="A464">
        <v>534</v>
      </c>
      <c r="B464" s="5">
        <v>45087</v>
      </c>
      <c r="C464" s="5" t="str">
        <f>TEXT(Table2[[#This Row],[Date]], "MMM")</f>
        <v>Jun</v>
      </c>
      <c r="D464" s="8">
        <f>MONTH(Table2[[#This Row],[Date]])</f>
        <v>6</v>
      </c>
      <c r="E464" s="8">
        <f>YEAR(Table2[[#This Row],[Date]])</f>
        <v>2023</v>
      </c>
      <c r="F464" s="7" t="s">
        <v>547</v>
      </c>
      <c r="G464" s="7" t="s">
        <v>10</v>
      </c>
      <c r="H464" s="8">
        <v>45</v>
      </c>
      <c r="I464" s="8" t="str">
        <f>IF(Table2[[#This Row],[Age]] &lt; 19, "Teenagers", IF(Table2[[#This Row],[Age]] &lt;= 34, "Young Adults", IF(Table2[[#This Row],[Age]] &lt;= 45, "Adults", IF(Table2[[#This Row],[Age]] &lt;= 55, "Seniors", "Elderly")) ))</f>
        <v>Adults</v>
      </c>
      <c r="J464" s="7" t="s">
        <v>14</v>
      </c>
      <c r="K464" s="8">
        <v>2</v>
      </c>
      <c r="L464" s="8" t="str">
        <f>IF(Table2[[#This Row],[Quantity]]=1, "Single Order", IF(Table2[[#This Row],[Quantity]]=2, "Small Order", IF(Table2[[#This Row],[Quantity]]=3, "Medium Order", "Bulk Order")))</f>
        <v>Small Order</v>
      </c>
      <c r="M464" s="10">
        <v>500</v>
      </c>
      <c r="N464" s="10">
        <v>1000</v>
      </c>
    </row>
    <row r="465" spans="1:14" x14ac:dyDescent="0.2">
      <c r="A465">
        <v>537</v>
      </c>
      <c r="B465" s="5">
        <v>45080</v>
      </c>
      <c r="C465" s="5" t="str">
        <f>TEXT(Table2[[#This Row],[Date]], "MMM")</f>
        <v>Jun</v>
      </c>
      <c r="D465" s="8">
        <f>MONTH(Table2[[#This Row],[Date]])</f>
        <v>6</v>
      </c>
      <c r="E465" s="8">
        <f>YEAR(Table2[[#This Row],[Date]])</f>
        <v>2023</v>
      </c>
      <c r="F465" s="7" t="s">
        <v>550</v>
      </c>
      <c r="G465" s="7" t="s">
        <v>13</v>
      </c>
      <c r="H465" s="8">
        <v>21</v>
      </c>
      <c r="I465" s="8" t="str">
        <f>IF(Table2[[#This Row],[Age]] &lt; 19, "Teenagers", IF(Table2[[#This Row],[Age]] &lt;= 34, "Young Adults", IF(Table2[[#This Row],[Age]] &lt;= 45, "Adults", IF(Table2[[#This Row],[Age]] &lt;= 55, "Seniors", "Elderly")) ))</f>
        <v>Young Adults</v>
      </c>
      <c r="J465" s="7" t="s">
        <v>11</v>
      </c>
      <c r="K465" s="8">
        <v>1</v>
      </c>
      <c r="L465" s="8" t="str">
        <f>IF(Table2[[#This Row],[Quantity]]=1, "Single Order", IF(Table2[[#This Row],[Quantity]]=2, "Small Order", IF(Table2[[#This Row],[Quantity]]=3, "Medium Order", "Bulk Order")))</f>
        <v>Single Order</v>
      </c>
      <c r="M465" s="10">
        <v>500</v>
      </c>
      <c r="N465" s="10">
        <v>500</v>
      </c>
    </row>
    <row r="466" spans="1:14" x14ac:dyDescent="0.2">
      <c r="A466">
        <v>539</v>
      </c>
      <c r="B466" s="5">
        <v>45085</v>
      </c>
      <c r="C466" s="5" t="str">
        <f>TEXT(Table2[[#This Row],[Date]], "MMM")</f>
        <v>Jun</v>
      </c>
      <c r="D466" s="8">
        <f>MONTH(Table2[[#This Row],[Date]])</f>
        <v>6</v>
      </c>
      <c r="E466" s="8">
        <f>YEAR(Table2[[#This Row],[Date]])</f>
        <v>2023</v>
      </c>
      <c r="F466" s="7" t="s">
        <v>552</v>
      </c>
      <c r="G466" s="7" t="s">
        <v>10</v>
      </c>
      <c r="H466" s="8">
        <v>25</v>
      </c>
      <c r="I466" s="8" t="str">
        <f>IF(Table2[[#This Row],[Age]] &lt; 19, "Teenagers", IF(Table2[[#This Row],[Age]] &lt;= 34, "Young Adults", IF(Table2[[#This Row],[Age]] &lt;= 45, "Adults", IF(Table2[[#This Row],[Age]] &lt;= 55, "Seniors", "Elderly")) ))</f>
        <v>Young Adults</v>
      </c>
      <c r="J466" s="7" t="s">
        <v>11</v>
      </c>
      <c r="K466" s="8">
        <v>1</v>
      </c>
      <c r="L466" s="8" t="str">
        <f>IF(Table2[[#This Row],[Quantity]]=1, "Single Order", IF(Table2[[#This Row],[Quantity]]=2, "Small Order", IF(Table2[[#This Row],[Quantity]]=3, "Medium Order", "Bulk Order")))</f>
        <v>Single Order</v>
      </c>
      <c r="M466" s="10">
        <v>500</v>
      </c>
      <c r="N466" s="10">
        <v>500</v>
      </c>
    </row>
    <row r="467" spans="1:14" x14ac:dyDescent="0.2">
      <c r="A467">
        <v>542</v>
      </c>
      <c r="B467" s="5">
        <v>45094</v>
      </c>
      <c r="C467" s="5" t="str">
        <f>TEXT(Table2[[#This Row],[Date]], "MMM")</f>
        <v>Jun</v>
      </c>
      <c r="D467" s="8">
        <f>MONTH(Table2[[#This Row],[Date]])</f>
        <v>6</v>
      </c>
      <c r="E467" s="8">
        <f>YEAR(Table2[[#This Row],[Date]])</f>
        <v>2023</v>
      </c>
      <c r="F467" s="7" t="s">
        <v>555</v>
      </c>
      <c r="G467" s="7" t="s">
        <v>13</v>
      </c>
      <c r="H467" s="8">
        <v>20</v>
      </c>
      <c r="I467" s="8" t="str">
        <f>IF(Table2[[#This Row],[Age]] &lt; 19, "Teenagers", IF(Table2[[#This Row],[Age]] &lt;= 34, "Young Adults", IF(Table2[[#This Row],[Age]] &lt;= 45, "Adults", IF(Table2[[#This Row],[Age]] &lt;= 55, "Seniors", "Elderly")) ))</f>
        <v>Young Adults</v>
      </c>
      <c r="J467" s="7" t="s">
        <v>11</v>
      </c>
      <c r="K467" s="8">
        <v>1</v>
      </c>
      <c r="L467" s="8" t="str">
        <f>IF(Table2[[#This Row],[Quantity]]=1, "Single Order", IF(Table2[[#This Row],[Quantity]]=2, "Small Order", IF(Table2[[#This Row],[Quantity]]=3, "Medium Order", "Bulk Order")))</f>
        <v>Single Order</v>
      </c>
      <c r="M467" s="10">
        <v>50</v>
      </c>
      <c r="N467" s="10">
        <v>50</v>
      </c>
    </row>
    <row r="468" spans="1:14" x14ac:dyDescent="0.2">
      <c r="A468">
        <v>545</v>
      </c>
      <c r="B468" s="5">
        <v>45078</v>
      </c>
      <c r="C468" s="5" t="str">
        <f>TEXT(Table2[[#This Row],[Date]], "MMM")</f>
        <v>Jun</v>
      </c>
      <c r="D468" s="8">
        <f>MONTH(Table2[[#This Row],[Date]])</f>
        <v>6</v>
      </c>
      <c r="E468" s="8">
        <f>YEAR(Table2[[#This Row],[Date]])</f>
        <v>2023</v>
      </c>
      <c r="F468" s="7" t="s">
        <v>558</v>
      </c>
      <c r="G468" s="7" t="s">
        <v>10</v>
      </c>
      <c r="H468" s="8">
        <v>27</v>
      </c>
      <c r="I468" s="8" t="str">
        <f>IF(Table2[[#This Row],[Age]] &lt; 19, "Teenagers", IF(Table2[[#This Row],[Age]] &lt;= 34, "Young Adults", IF(Table2[[#This Row],[Age]] &lt;= 45, "Adults", IF(Table2[[#This Row],[Age]] &lt;= 55, "Seniors", "Elderly")) ))</f>
        <v>Young Adults</v>
      </c>
      <c r="J468" s="7" t="s">
        <v>14</v>
      </c>
      <c r="K468" s="8">
        <v>2</v>
      </c>
      <c r="L468" s="8" t="str">
        <f>IF(Table2[[#This Row],[Quantity]]=1, "Single Order", IF(Table2[[#This Row],[Quantity]]=2, "Small Order", IF(Table2[[#This Row],[Quantity]]=3, "Medium Order", "Bulk Order")))</f>
        <v>Small Order</v>
      </c>
      <c r="M468" s="10">
        <v>25</v>
      </c>
      <c r="N468" s="10">
        <v>50</v>
      </c>
    </row>
    <row r="469" spans="1:14" x14ac:dyDescent="0.2">
      <c r="A469">
        <v>556</v>
      </c>
      <c r="B469" s="5">
        <v>45081</v>
      </c>
      <c r="C469" s="5" t="str">
        <f>TEXT(Table2[[#This Row],[Date]], "MMM")</f>
        <v>Jun</v>
      </c>
      <c r="D469" s="8">
        <f>MONTH(Table2[[#This Row],[Date]])</f>
        <v>6</v>
      </c>
      <c r="E469" s="8">
        <f>YEAR(Table2[[#This Row],[Date]])</f>
        <v>2023</v>
      </c>
      <c r="F469" s="7" t="s">
        <v>569</v>
      </c>
      <c r="G469" s="7" t="s">
        <v>13</v>
      </c>
      <c r="H469" s="8">
        <v>18</v>
      </c>
      <c r="I469" s="8" t="str">
        <f>IF(Table2[[#This Row],[Age]] &lt; 19, "Teenagers", IF(Table2[[#This Row],[Age]] &lt;= 34, "Young Adults", IF(Table2[[#This Row],[Age]] &lt;= 45, "Adults", IF(Table2[[#This Row],[Age]] &lt;= 55, "Seniors", "Elderly")) ))</f>
        <v>Teenagers</v>
      </c>
      <c r="J469" s="7" t="s">
        <v>16</v>
      </c>
      <c r="K469" s="8">
        <v>1</v>
      </c>
      <c r="L469" s="8" t="str">
        <f>IF(Table2[[#This Row],[Quantity]]=1, "Single Order", IF(Table2[[#This Row],[Quantity]]=2, "Small Order", IF(Table2[[#This Row],[Quantity]]=3, "Medium Order", "Bulk Order")))</f>
        <v>Single Order</v>
      </c>
      <c r="M469" s="10">
        <v>50</v>
      </c>
      <c r="N469" s="10">
        <v>50</v>
      </c>
    </row>
    <row r="470" spans="1:14" x14ac:dyDescent="0.2">
      <c r="A470">
        <v>560</v>
      </c>
      <c r="B470" s="5">
        <v>45082</v>
      </c>
      <c r="C470" s="5" t="str">
        <f>TEXT(Table2[[#This Row],[Date]], "MMM")</f>
        <v>Jun</v>
      </c>
      <c r="D470" s="8">
        <f>MONTH(Table2[[#This Row],[Date]])</f>
        <v>6</v>
      </c>
      <c r="E470" s="8">
        <f>YEAR(Table2[[#This Row],[Date]])</f>
        <v>2023</v>
      </c>
      <c r="F470" s="7" t="s">
        <v>573</v>
      </c>
      <c r="G470" s="7" t="s">
        <v>13</v>
      </c>
      <c r="H470" s="8">
        <v>25</v>
      </c>
      <c r="I470" s="8" t="str">
        <f>IF(Table2[[#This Row],[Age]] &lt; 19, "Teenagers", IF(Table2[[#This Row],[Age]] &lt;= 34, "Young Adults", IF(Table2[[#This Row],[Age]] &lt;= 45, "Adults", IF(Table2[[#This Row],[Age]] &lt;= 55, "Seniors", "Elderly")) ))</f>
        <v>Young Adults</v>
      </c>
      <c r="J470" s="7" t="s">
        <v>16</v>
      </c>
      <c r="K470" s="8">
        <v>1</v>
      </c>
      <c r="L470" s="8" t="str">
        <f>IF(Table2[[#This Row],[Quantity]]=1, "Single Order", IF(Table2[[#This Row],[Quantity]]=2, "Small Order", IF(Table2[[#This Row],[Quantity]]=3, "Medium Order", "Bulk Order")))</f>
        <v>Single Order</v>
      </c>
      <c r="M470" s="10">
        <v>50</v>
      </c>
      <c r="N470" s="10">
        <v>50</v>
      </c>
    </row>
    <row r="471" spans="1:14" x14ac:dyDescent="0.2">
      <c r="A471">
        <v>567</v>
      </c>
      <c r="B471" s="5">
        <v>45091</v>
      </c>
      <c r="C471" s="5" t="str">
        <f>TEXT(Table2[[#This Row],[Date]], "MMM")</f>
        <v>Jun</v>
      </c>
      <c r="D471" s="8">
        <f>MONTH(Table2[[#This Row],[Date]])</f>
        <v>6</v>
      </c>
      <c r="E471" s="8">
        <f>YEAR(Table2[[#This Row],[Date]])</f>
        <v>2023</v>
      </c>
      <c r="F471" s="7" t="s">
        <v>580</v>
      </c>
      <c r="G471" s="7" t="s">
        <v>13</v>
      </c>
      <c r="H471" s="8">
        <v>25</v>
      </c>
      <c r="I471" s="8" t="str">
        <f>IF(Table2[[#This Row],[Age]] &lt; 19, "Teenagers", IF(Table2[[#This Row],[Age]] &lt;= 34, "Young Adults", IF(Table2[[#This Row],[Age]] &lt;= 45, "Adults", IF(Table2[[#This Row],[Age]] &lt;= 55, "Seniors", "Elderly")) ))</f>
        <v>Young Adults</v>
      </c>
      <c r="J471" s="7" t="s">
        <v>14</v>
      </c>
      <c r="K471" s="8">
        <v>3</v>
      </c>
      <c r="L471" s="8" t="str">
        <f>IF(Table2[[#This Row],[Quantity]]=1, "Single Order", IF(Table2[[#This Row],[Quantity]]=2, "Small Order", IF(Table2[[#This Row],[Quantity]]=3, "Medium Order", "Bulk Order")))</f>
        <v>Medium Order</v>
      </c>
      <c r="M471" s="10">
        <v>300</v>
      </c>
      <c r="N471" s="10">
        <v>900</v>
      </c>
    </row>
    <row r="472" spans="1:14" x14ac:dyDescent="0.2">
      <c r="A472">
        <v>583</v>
      </c>
      <c r="B472" s="5">
        <v>45098</v>
      </c>
      <c r="C472" s="5" t="str">
        <f>TEXT(Table2[[#This Row],[Date]], "MMM")</f>
        <v>Jun</v>
      </c>
      <c r="D472" s="8">
        <f>MONTH(Table2[[#This Row],[Date]])</f>
        <v>6</v>
      </c>
      <c r="E472" s="8">
        <f>YEAR(Table2[[#This Row],[Date]])</f>
        <v>2023</v>
      </c>
      <c r="F472" s="7" t="s">
        <v>596</v>
      </c>
      <c r="G472" s="7" t="s">
        <v>13</v>
      </c>
      <c r="H472" s="8">
        <v>24</v>
      </c>
      <c r="I472" s="8" t="str">
        <f>IF(Table2[[#This Row],[Age]] &lt; 19, "Teenagers", IF(Table2[[#This Row],[Age]] &lt;= 34, "Young Adults", IF(Table2[[#This Row],[Age]] &lt;= 45, "Adults", IF(Table2[[#This Row],[Age]] &lt;= 55, "Seniors", "Elderly")) ))</f>
        <v>Young Adults</v>
      </c>
      <c r="J472" s="7" t="s">
        <v>16</v>
      </c>
      <c r="K472" s="8">
        <v>4</v>
      </c>
      <c r="L472" s="8" t="str">
        <f>IF(Table2[[#This Row],[Quantity]]=1, "Single Order", IF(Table2[[#This Row],[Quantity]]=2, "Small Order", IF(Table2[[#This Row],[Quantity]]=3, "Medium Order", "Bulk Order")))</f>
        <v>Bulk Order</v>
      </c>
      <c r="M472" s="10">
        <v>25</v>
      </c>
      <c r="N472" s="10">
        <v>100</v>
      </c>
    </row>
    <row r="473" spans="1:14" x14ac:dyDescent="0.2">
      <c r="A473">
        <v>587</v>
      </c>
      <c r="B473" s="5">
        <v>45085</v>
      </c>
      <c r="C473" s="5" t="str">
        <f>TEXT(Table2[[#This Row],[Date]], "MMM")</f>
        <v>Jun</v>
      </c>
      <c r="D473" s="8">
        <f>MONTH(Table2[[#This Row],[Date]])</f>
        <v>6</v>
      </c>
      <c r="E473" s="8">
        <f>YEAR(Table2[[#This Row],[Date]])</f>
        <v>2023</v>
      </c>
      <c r="F473" s="7" t="s">
        <v>600</v>
      </c>
      <c r="G473" s="7" t="s">
        <v>13</v>
      </c>
      <c r="H473" s="8">
        <v>40</v>
      </c>
      <c r="I473" s="8" t="str">
        <f>IF(Table2[[#This Row],[Age]] &lt; 19, "Teenagers", IF(Table2[[#This Row],[Age]] &lt;= 34, "Young Adults", IF(Table2[[#This Row],[Age]] &lt;= 45, "Adults", IF(Table2[[#This Row],[Age]] &lt;= 55, "Seniors", "Elderly")) ))</f>
        <v>Adults</v>
      </c>
      <c r="J473" s="7" t="s">
        <v>11</v>
      </c>
      <c r="K473" s="8">
        <v>4</v>
      </c>
      <c r="L473" s="8" t="str">
        <f>IF(Table2[[#This Row],[Quantity]]=1, "Single Order", IF(Table2[[#This Row],[Quantity]]=2, "Small Order", IF(Table2[[#This Row],[Quantity]]=3, "Medium Order", "Bulk Order")))</f>
        <v>Bulk Order</v>
      </c>
      <c r="M473" s="10">
        <v>300</v>
      </c>
      <c r="N473" s="10">
        <v>1200</v>
      </c>
    </row>
    <row r="474" spans="1:14" x14ac:dyDescent="0.2">
      <c r="A474">
        <v>629</v>
      </c>
      <c r="B474" s="5">
        <v>45089</v>
      </c>
      <c r="C474" s="5" t="str">
        <f>TEXT(Table2[[#This Row],[Date]], "MMM")</f>
        <v>Jun</v>
      </c>
      <c r="D474" s="8">
        <f>MONTH(Table2[[#This Row],[Date]])</f>
        <v>6</v>
      </c>
      <c r="E474" s="8">
        <f>YEAR(Table2[[#This Row],[Date]])</f>
        <v>2023</v>
      </c>
      <c r="F474" s="7" t="s">
        <v>642</v>
      </c>
      <c r="G474" s="7" t="s">
        <v>10</v>
      </c>
      <c r="H474" s="8">
        <v>62</v>
      </c>
      <c r="I474" s="8" t="str">
        <f>IF(Table2[[#This Row],[Age]] &lt; 19, "Teenagers", IF(Table2[[#This Row],[Age]] &lt;= 34, "Young Adults", IF(Table2[[#This Row],[Age]] &lt;= 45, "Adults", IF(Table2[[#This Row],[Age]] &lt;= 55, "Seniors", "Elderly")) ))</f>
        <v>Elderly</v>
      </c>
      <c r="J474" s="7" t="s">
        <v>16</v>
      </c>
      <c r="K474" s="8">
        <v>2</v>
      </c>
      <c r="L474" s="8" t="str">
        <f>IF(Table2[[#This Row],[Quantity]]=1, "Single Order", IF(Table2[[#This Row],[Quantity]]=2, "Small Order", IF(Table2[[#This Row],[Quantity]]=3, "Medium Order", "Bulk Order")))</f>
        <v>Small Order</v>
      </c>
      <c r="M474" s="10">
        <v>25</v>
      </c>
      <c r="N474" s="10">
        <v>50</v>
      </c>
    </row>
    <row r="475" spans="1:14" x14ac:dyDescent="0.2">
      <c r="A475">
        <v>654</v>
      </c>
      <c r="B475" s="5">
        <v>45098</v>
      </c>
      <c r="C475" s="5" t="str">
        <f>TEXT(Table2[[#This Row],[Date]], "MMM")</f>
        <v>Jun</v>
      </c>
      <c r="D475" s="8">
        <f>MONTH(Table2[[#This Row],[Date]])</f>
        <v>6</v>
      </c>
      <c r="E475" s="8">
        <f>YEAR(Table2[[#This Row],[Date]])</f>
        <v>2023</v>
      </c>
      <c r="F475" s="7" t="s">
        <v>667</v>
      </c>
      <c r="G475" s="7" t="s">
        <v>10</v>
      </c>
      <c r="H475" s="8">
        <v>42</v>
      </c>
      <c r="I475" s="8" t="str">
        <f>IF(Table2[[#This Row],[Age]] &lt; 19, "Teenagers", IF(Table2[[#This Row],[Age]] &lt;= 34, "Young Adults", IF(Table2[[#This Row],[Age]] &lt;= 45, "Adults", IF(Table2[[#This Row],[Age]] &lt;= 55, "Seniors", "Elderly")) ))</f>
        <v>Adults</v>
      </c>
      <c r="J475" s="7" t="s">
        <v>14</v>
      </c>
      <c r="K475" s="8">
        <v>3</v>
      </c>
      <c r="L475" s="8" t="str">
        <f>IF(Table2[[#This Row],[Quantity]]=1, "Single Order", IF(Table2[[#This Row],[Quantity]]=2, "Small Order", IF(Table2[[#This Row],[Quantity]]=3, "Medium Order", "Bulk Order")))</f>
        <v>Medium Order</v>
      </c>
      <c r="M475" s="10">
        <v>25</v>
      </c>
      <c r="N475" s="10">
        <v>75</v>
      </c>
    </row>
    <row r="476" spans="1:14" x14ac:dyDescent="0.2">
      <c r="A476">
        <v>655</v>
      </c>
      <c r="B476" s="5">
        <v>45090</v>
      </c>
      <c r="C476" s="5" t="str">
        <f>TEXT(Table2[[#This Row],[Date]], "MMM")</f>
        <v>Jun</v>
      </c>
      <c r="D476" s="8">
        <f>MONTH(Table2[[#This Row],[Date]])</f>
        <v>6</v>
      </c>
      <c r="E476" s="8">
        <f>YEAR(Table2[[#This Row],[Date]])</f>
        <v>2023</v>
      </c>
      <c r="F476" s="7" t="s">
        <v>668</v>
      </c>
      <c r="G476" s="7" t="s">
        <v>13</v>
      </c>
      <c r="H476" s="8">
        <v>55</v>
      </c>
      <c r="I476" s="8" t="str">
        <f>IF(Table2[[#This Row],[Age]] &lt; 19, "Teenagers", IF(Table2[[#This Row],[Age]] &lt;= 34, "Young Adults", IF(Table2[[#This Row],[Age]] &lt;= 45, "Adults", IF(Table2[[#This Row],[Age]] &lt;= 55, "Seniors", "Elderly")) ))</f>
        <v>Seniors</v>
      </c>
      <c r="J476" s="7" t="s">
        <v>14</v>
      </c>
      <c r="K476" s="8">
        <v>1</v>
      </c>
      <c r="L476" s="8" t="str">
        <f>IF(Table2[[#This Row],[Quantity]]=1, "Single Order", IF(Table2[[#This Row],[Quantity]]=2, "Small Order", IF(Table2[[#This Row],[Quantity]]=3, "Medium Order", "Bulk Order")))</f>
        <v>Single Order</v>
      </c>
      <c r="M476" s="10">
        <v>500</v>
      </c>
      <c r="N476" s="10">
        <v>500</v>
      </c>
    </row>
    <row r="477" spans="1:14" x14ac:dyDescent="0.2">
      <c r="A477">
        <v>669</v>
      </c>
      <c r="B477" s="5">
        <v>45096</v>
      </c>
      <c r="C477" s="5" t="str">
        <f>TEXT(Table2[[#This Row],[Date]], "MMM")</f>
        <v>Jun</v>
      </c>
      <c r="D477" s="8">
        <f>MONTH(Table2[[#This Row],[Date]])</f>
        <v>6</v>
      </c>
      <c r="E477" s="8">
        <f>YEAR(Table2[[#This Row],[Date]])</f>
        <v>2023</v>
      </c>
      <c r="F477" s="7" t="s">
        <v>682</v>
      </c>
      <c r="G477" s="7" t="s">
        <v>10</v>
      </c>
      <c r="H477" s="8">
        <v>24</v>
      </c>
      <c r="I477" s="8" t="str">
        <f>IF(Table2[[#This Row],[Age]] &lt; 19, "Teenagers", IF(Table2[[#This Row],[Age]] &lt;= 34, "Young Adults", IF(Table2[[#This Row],[Age]] &lt;= 45, "Adults", IF(Table2[[#This Row],[Age]] &lt;= 55, "Seniors", "Elderly")) ))</f>
        <v>Young Adults</v>
      </c>
      <c r="J477" s="7" t="s">
        <v>11</v>
      </c>
      <c r="K477" s="8">
        <v>4</v>
      </c>
      <c r="L477" s="8" t="str">
        <f>IF(Table2[[#This Row],[Quantity]]=1, "Single Order", IF(Table2[[#This Row],[Quantity]]=2, "Small Order", IF(Table2[[#This Row],[Quantity]]=3, "Medium Order", "Bulk Order")))</f>
        <v>Bulk Order</v>
      </c>
      <c r="M477" s="10">
        <v>300</v>
      </c>
      <c r="N477" s="10">
        <v>1200</v>
      </c>
    </row>
    <row r="478" spans="1:14" x14ac:dyDescent="0.2">
      <c r="A478">
        <v>684</v>
      </c>
      <c r="B478" s="5">
        <v>45107</v>
      </c>
      <c r="C478" s="5" t="str">
        <f>TEXT(Table2[[#This Row],[Date]], "MMM")</f>
        <v>Jun</v>
      </c>
      <c r="D478" s="8">
        <f>MONTH(Table2[[#This Row],[Date]])</f>
        <v>6</v>
      </c>
      <c r="E478" s="8">
        <f>YEAR(Table2[[#This Row],[Date]])</f>
        <v>2023</v>
      </c>
      <c r="F478" s="7" t="s">
        <v>697</v>
      </c>
      <c r="G478" s="7" t="s">
        <v>13</v>
      </c>
      <c r="H478" s="8">
        <v>28</v>
      </c>
      <c r="I478" s="8" t="str">
        <f>IF(Table2[[#This Row],[Age]] &lt; 19, "Teenagers", IF(Table2[[#This Row],[Age]] &lt;= 34, "Young Adults", IF(Table2[[#This Row],[Age]] &lt;= 45, "Adults", IF(Table2[[#This Row],[Age]] &lt;= 55, "Seniors", "Elderly")) ))</f>
        <v>Young Adults</v>
      </c>
      <c r="J478" s="7" t="s">
        <v>14</v>
      </c>
      <c r="K478" s="8">
        <v>2</v>
      </c>
      <c r="L478" s="8" t="str">
        <f>IF(Table2[[#This Row],[Quantity]]=1, "Single Order", IF(Table2[[#This Row],[Quantity]]=2, "Small Order", IF(Table2[[#This Row],[Quantity]]=3, "Medium Order", "Bulk Order")))</f>
        <v>Small Order</v>
      </c>
      <c r="M478" s="10">
        <v>500</v>
      </c>
      <c r="N478" s="10">
        <v>1000</v>
      </c>
    </row>
    <row r="479" spans="1:14" x14ac:dyDescent="0.2">
      <c r="A479">
        <v>685</v>
      </c>
      <c r="B479" s="5">
        <v>45079</v>
      </c>
      <c r="C479" s="5" t="str">
        <f>TEXT(Table2[[#This Row],[Date]], "MMM")</f>
        <v>Jun</v>
      </c>
      <c r="D479" s="8">
        <f>MONTH(Table2[[#This Row],[Date]])</f>
        <v>6</v>
      </c>
      <c r="E479" s="8">
        <f>YEAR(Table2[[#This Row],[Date]])</f>
        <v>2023</v>
      </c>
      <c r="F479" s="7" t="s">
        <v>698</v>
      </c>
      <c r="G479" s="7" t="s">
        <v>10</v>
      </c>
      <c r="H479" s="8">
        <v>57</v>
      </c>
      <c r="I479" s="8" t="str">
        <f>IF(Table2[[#This Row],[Age]] &lt; 19, "Teenagers", IF(Table2[[#This Row],[Age]] &lt;= 34, "Young Adults", IF(Table2[[#This Row],[Age]] &lt;= 45, "Adults", IF(Table2[[#This Row],[Age]] &lt;= 55, "Seniors", "Elderly")) ))</f>
        <v>Elderly</v>
      </c>
      <c r="J479" s="7" t="s">
        <v>16</v>
      </c>
      <c r="K479" s="8">
        <v>2</v>
      </c>
      <c r="L479" s="8" t="str">
        <f>IF(Table2[[#This Row],[Quantity]]=1, "Single Order", IF(Table2[[#This Row],[Quantity]]=2, "Small Order", IF(Table2[[#This Row],[Quantity]]=3, "Medium Order", "Bulk Order")))</f>
        <v>Small Order</v>
      </c>
      <c r="M479" s="10">
        <v>25</v>
      </c>
      <c r="N479" s="10">
        <v>50</v>
      </c>
    </row>
    <row r="480" spans="1:14" x14ac:dyDescent="0.2">
      <c r="A480">
        <v>699</v>
      </c>
      <c r="B480" s="5">
        <v>45099</v>
      </c>
      <c r="C480" s="5" t="str">
        <f>TEXT(Table2[[#This Row],[Date]], "MMM")</f>
        <v>Jun</v>
      </c>
      <c r="D480" s="8">
        <f>MONTH(Table2[[#This Row],[Date]])</f>
        <v>6</v>
      </c>
      <c r="E480" s="8">
        <f>YEAR(Table2[[#This Row],[Date]])</f>
        <v>2023</v>
      </c>
      <c r="F480" s="7" t="s">
        <v>712</v>
      </c>
      <c r="G480" s="7" t="s">
        <v>13</v>
      </c>
      <c r="H480" s="8">
        <v>37</v>
      </c>
      <c r="I480" s="8" t="str">
        <f>IF(Table2[[#This Row],[Age]] &lt; 19, "Teenagers", IF(Table2[[#This Row],[Age]] &lt;= 34, "Young Adults", IF(Table2[[#This Row],[Age]] &lt;= 45, "Adults", IF(Table2[[#This Row],[Age]] &lt;= 55, "Seniors", "Elderly")) ))</f>
        <v>Adults</v>
      </c>
      <c r="J480" s="7" t="s">
        <v>14</v>
      </c>
      <c r="K480" s="8">
        <v>4</v>
      </c>
      <c r="L480" s="8" t="str">
        <f>IF(Table2[[#This Row],[Quantity]]=1, "Single Order", IF(Table2[[#This Row],[Quantity]]=2, "Small Order", IF(Table2[[#This Row],[Quantity]]=3, "Medium Order", "Bulk Order")))</f>
        <v>Bulk Order</v>
      </c>
      <c r="M480" s="10">
        <v>30</v>
      </c>
      <c r="N480" s="10">
        <v>120</v>
      </c>
    </row>
    <row r="481" spans="1:14" x14ac:dyDescent="0.2">
      <c r="A481">
        <v>723</v>
      </c>
      <c r="B481" s="5">
        <v>45094</v>
      </c>
      <c r="C481" s="5" t="str">
        <f>TEXT(Table2[[#This Row],[Date]], "MMM")</f>
        <v>Jun</v>
      </c>
      <c r="D481" s="8">
        <f>MONTH(Table2[[#This Row],[Date]])</f>
        <v>6</v>
      </c>
      <c r="E481" s="8">
        <f>YEAR(Table2[[#This Row],[Date]])</f>
        <v>2023</v>
      </c>
      <c r="F481" s="7" t="s">
        <v>736</v>
      </c>
      <c r="G481" s="7" t="s">
        <v>13</v>
      </c>
      <c r="H481" s="8">
        <v>54</v>
      </c>
      <c r="I481" s="8" t="str">
        <f>IF(Table2[[#This Row],[Age]] &lt; 19, "Teenagers", IF(Table2[[#This Row],[Age]] &lt;= 34, "Young Adults", IF(Table2[[#This Row],[Age]] &lt;= 45, "Adults", IF(Table2[[#This Row],[Age]] &lt;= 55, "Seniors", "Elderly")) ))</f>
        <v>Seniors</v>
      </c>
      <c r="J481" s="7" t="s">
        <v>11</v>
      </c>
      <c r="K481" s="8">
        <v>4</v>
      </c>
      <c r="L481" s="8" t="str">
        <f>IF(Table2[[#This Row],[Quantity]]=1, "Single Order", IF(Table2[[#This Row],[Quantity]]=2, "Small Order", IF(Table2[[#This Row],[Quantity]]=3, "Medium Order", "Bulk Order")))</f>
        <v>Bulk Order</v>
      </c>
      <c r="M481" s="10">
        <v>50</v>
      </c>
      <c r="N481" s="10">
        <v>200</v>
      </c>
    </row>
    <row r="482" spans="1:14" x14ac:dyDescent="0.2">
      <c r="A482">
        <v>726</v>
      </c>
      <c r="B482" s="5">
        <v>45094</v>
      </c>
      <c r="C482" s="5" t="str">
        <f>TEXT(Table2[[#This Row],[Date]], "MMM")</f>
        <v>Jun</v>
      </c>
      <c r="D482" s="8">
        <f>MONTH(Table2[[#This Row],[Date]])</f>
        <v>6</v>
      </c>
      <c r="E482" s="8">
        <f>YEAR(Table2[[#This Row],[Date]])</f>
        <v>2023</v>
      </c>
      <c r="F482" s="7" t="s">
        <v>739</v>
      </c>
      <c r="G482" s="7" t="s">
        <v>10</v>
      </c>
      <c r="H482" s="8">
        <v>47</v>
      </c>
      <c r="I482" s="8" t="str">
        <f>IF(Table2[[#This Row],[Age]] &lt; 19, "Teenagers", IF(Table2[[#This Row],[Age]] &lt;= 34, "Young Adults", IF(Table2[[#This Row],[Age]] &lt;= 45, "Adults", IF(Table2[[#This Row],[Age]] &lt;= 55, "Seniors", "Elderly")) ))</f>
        <v>Seniors</v>
      </c>
      <c r="J482" s="7" t="s">
        <v>14</v>
      </c>
      <c r="K482" s="8">
        <v>4</v>
      </c>
      <c r="L482" s="8" t="str">
        <f>IF(Table2[[#This Row],[Quantity]]=1, "Single Order", IF(Table2[[#This Row],[Quantity]]=2, "Small Order", IF(Table2[[#This Row],[Quantity]]=3, "Medium Order", "Bulk Order")))</f>
        <v>Bulk Order</v>
      </c>
      <c r="M482" s="10">
        <v>300</v>
      </c>
      <c r="N482" s="10">
        <v>1200</v>
      </c>
    </row>
    <row r="483" spans="1:14" x14ac:dyDescent="0.2">
      <c r="A483">
        <v>727</v>
      </c>
      <c r="B483" s="5">
        <v>45099</v>
      </c>
      <c r="C483" s="5" t="str">
        <f>TEXT(Table2[[#This Row],[Date]], "MMM")</f>
        <v>Jun</v>
      </c>
      <c r="D483" s="8">
        <f>MONTH(Table2[[#This Row],[Date]])</f>
        <v>6</v>
      </c>
      <c r="E483" s="8">
        <f>YEAR(Table2[[#This Row],[Date]])</f>
        <v>2023</v>
      </c>
      <c r="F483" s="7" t="s">
        <v>740</v>
      </c>
      <c r="G483" s="7" t="s">
        <v>10</v>
      </c>
      <c r="H483" s="8">
        <v>55</v>
      </c>
      <c r="I483" s="8" t="str">
        <f>IF(Table2[[#This Row],[Age]] &lt; 19, "Teenagers", IF(Table2[[#This Row],[Age]] &lt;= 34, "Young Adults", IF(Table2[[#This Row],[Age]] &lt;= 45, "Adults", IF(Table2[[#This Row],[Age]] &lt;= 55, "Seniors", "Elderly")) ))</f>
        <v>Seniors</v>
      </c>
      <c r="J483" s="7" t="s">
        <v>11</v>
      </c>
      <c r="K483" s="8">
        <v>3</v>
      </c>
      <c r="L483" s="8" t="str">
        <f>IF(Table2[[#This Row],[Quantity]]=1, "Single Order", IF(Table2[[#This Row],[Quantity]]=2, "Small Order", IF(Table2[[#This Row],[Quantity]]=3, "Medium Order", "Bulk Order")))</f>
        <v>Medium Order</v>
      </c>
      <c r="M483" s="10">
        <v>300</v>
      </c>
      <c r="N483" s="10">
        <v>900</v>
      </c>
    </row>
    <row r="484" spans="1:14" x14ac:dyDescent="0.2">
      <c r="A484">
        <v>737</v>
      </c>
      <c r="B484" s="5">
        <v>45106</v>
      </c>
      <c r="C484" s="5" t="str">
        <f>TEXT(Table2[[#This Row],[Date]], "MMM")</f>
        <v>Jun</v>
      </c>
      <c r="D484" s="8">
        <f>MONTH(Table2[[#This Row],[Date]])</f>
        <v>6</v>
      </c>
      <c r="E484" s="8">
        <f>YEAR(Table2[[#This Row],[Date]])</f>
        <v>2023</v>
      </c>
      <c r="F484" s="7" t="s">
        <v>750</v>
      </c>
      <c r="G484" s="7" t="s">
        <v>13</v>
      </c>
      <c r="H484" s="8">
        <v>33</v>
      </c>
      <c r="I484" s="8" t="str">
        <f>IF(Table2[[#This Row],[Age]] &lt; 19, "Teenagers", IF(Table2[[#This Row],[Age]] &lt;= 34, "Young Adults", IF(Table2[[#This Row],[Age]] &lt;= 45, "Adults", IF(Table2[[#This Row],[Age]] &lt;= 55, "Seniors", "Elderly")) ))</f>
        <v>Young Adults</v>
      </c>
      <c r="J484" s="7" t="s">
        <v>14</v>
      </c>
      <c r="K484" s="8">
        <v>1</v>
      </c>
      <c r="L484" s="8" t="str">
        <f>IF(Table2[[#This Row],[Quantity]]=1, "Single Order", IF(Table2[[#This Row],[Quantity]]=2, "Small Order", IF(Table2[[#This Row],[Quantity]]=3, "Medium Order", "Bulk Order")))</f>
        <v>Single Order</v>
      </c>
      <c r="M484" s="10">
        <v>50</v>
      </c>
      <c r="N484" s="10">
        <v>50</v>
      </c>
    </row>
    <row r="485" spans="1:14" x14ac:dyDescent="0.2">
      <c r="A485">
        <v>765</v>
      </c>
      <c r="B485" s="5">
        <v>45086</v>
      </c>
      <c r="C485" s="5" t="str">
        <f>TEXT(Table2[[#This Row],[Date]], "MMM")</f>
        <v>Jun</v>
      </c>
      <c r="D485" s="8">
        <f>MONTH(Table2[[#This Row],[Date]])</f>
        <v>6</v>
      </c>
      <c r="E485" s="8">
        <f>YEAR(Table2[[#This Row],[Date]])</f>
        <v>2023</v>
      </c>
      <c r="F485" s="7" t="s">
        <v>778</v>
      </c>
      <c r="G485" s="7" t="s">
        <v>10</v>
      </c>
      <c r="H485" s="8">
        <v>43</v>
      </c>
      <c r="I485" s="8" t="str">
        <f>IF(Table2[[#This Row],[Age]] &lt; 19, "Teenagers", IF(Table2[[#This Row],[Age]] &lt;= 34, "Young Adults", IF(Table2[[#This Row],[Age]] &lt;= 45, "Adults", IF(Table2[[#This Row],[Age]] &lt;= 55, "Seniors", "Elderly")) ))</f>
        <v>Adults</v>
      </c>
      <c r="J485" s="7" t="s">
        <v>14</v>
      </c>
      <c r="K485" s="8">
        <v>4</v>
      </c>
      <c r="L485" s="8" t="str">
        <f>IF(Table2[[#This Row],[Quantity]]=1, "Single Order", IF(Table2[[#This Row],[Quantity]]=2, "Small Order", IF(Table2[[#This Row],[Quantity]]=3, "Medium Order", "Bulk Order")))</f>
        <v>Bulk Order</v>
      </c>
      <c r="M485" s="10">
        <v>50</v>
      </c>
      <c r="N485" s="10">
        <v>200</v>
      </c>
    </row>
    <row r="486" spans="1:14" x14ac:dyDescent="0.2">
      <c r="A486">
        <v>769</v>
      </c>
      <c r="B486" s="5">
        <v>45086</v>
      </c>
      <c r="C486" s="5" t="str">
        <f>TEXT(Table2[[#This Row],[Date]], "MMM")</f>
        <v>Jun</v>
      </c>
      <c r="D486" s="8">
        <f>MONTH(Table2[[#This Row],[Date]])</f>
        <v>6</v>
      </c>
      <c r="E486" s="8">
        <f>YEAR(Table2[[#This Row],[Date]])</f>
        <v>2023</v>
      </c>
      <c r="F486" s="7" t="s">
        <v>782</v>
      </c>
      <c r="G486" s="7" t="s">
        <v>13</v>
      </c>
      <c r="H486" s="8">
        <v>31</v>
      </c>
      <c r="I486" s="8" t="str">
        <f>IF(Table2[[#This Row],[Age]] &lt; 19, "Teenagers", IF(Table2[[#This Row],[Age]] &lt;= 34, "Young Adults", IF(Table2[[#This Row],[Age]] &lt;= 45, "Adults", IF(Table2[[#This Row],[Age]] &lt;= 55, "Seniors", "Elderly")) ))</f>
        <v>Young Adults</v>
      </c>
      <c r="J486" s="7" t="s">
        <v>16</v>
      </c>
      <c r="K486" s="8">
        <v>4</v>
      </c>
      <c r="L486" s="8" t="str">
        <f>IF(Table2[[#This Row],[Quantity]]=1, "Single Order", IF(Table2[[#This Row],[Quantity]]=2, "Small Order", IF(Table2[[#This Row],[Quantity]]=3, "Medium Order", "Bulk Order")))</f>
        <v>Bulk Order</v>
      </c>
      <c r="M486" s="10">
        <v>30</v>
      </c>
      <c r="N486" s="10">
        <v>120</v>
      </c>
    </row>
    <row r="487" spans="1:14" x14ac:dyDescent="0.2">
      <c r="A487">
        <v>782</v>
      </c>
      <c r="B487" s="5">
        <v>45081</v>
      </c>
      <c r="C487" s="5" t="str">
        <f>TEXT(Table2[[#This Row],[Date]], "MMM")</f>
        <v>Jun</v>
      </c>
      <c r="D487" s="8">
        <f>MONTH(Table2[[#This Row],[Date]])</f>
        <v>6</v>
      </c>
      <c r="E487" s="8">
        <f>YEAR(Table2[[#This Row],[Date]])</f>
        <v>2023</v>
      </c>
      <c r="F487" s="7" t="s">
        <v>795</v>
      </c>
      <c r="G487" s="7" t="s">
        <v>10</v>
      </c>
      <c r="H487" s="8">
        <v>59</v>
      </c>
      <c r="I487" s="8" t="str">
        <f>IF(Table2[[#This Row],[Age]] &lt; 19, "Teenagers", IF(Table2[[#This Row],[Age]] &lt;= 34, "Young Adults", IF(Table2[[#This Row],[Age]] &lt;= 45, "Adults", IF(Table2[[#This Row],[Age]] &lt;= 55, "Seniors", "Elderly")) ))</f>
        <v>Elderly</v>
      </c>
      <c r="J487" s="7" t="s">
        <v>14</v>
      </c>
      <c r="K487" s="8">
        <v>3</v>
      </c>
      <c r="L487" s="8" t="str">
        <f>IF(Table2[[#This Row],[Quantity]]=1, "Single Order", IF(Table2[[#This Row],[Quantity]]=2, "Small Order", IF(Table2[[#This Row],[Quantity]]=3, "Medium Order", "Bulk Order")))</f>
        <v>Medium Order</v>
      </c>
      <c r="M487" s="10">
        <v>300</v>
      </c>
      <c r="N487" s="10">
        <v>900</v>
      </c>
    </row>
    <row r="488" spans="1:14" x14ac:dyDescent="0.2">
      <c r="A488">
        <v>788</v>
      </c>
      <c r="B488" s="5">
        <v>45104</v>
      </c>
      <c r="C488" s="5" t="str">
        <f>TEXT(Table2[[#This Row],[Date]], "MMM")</f>
        <v>Jun</v>
      </c>
      <c r="D488" s="8">
        <f>MONTH(Table2[[#This Row],[Date]])</f>
        <v>6</v>
      </c>
      <c r="E488" s="8">
        <f>YEAR(Table2[[#This Row],[Date]])</f>
        <v>2023</v>
      </c>
      <c r="F488" s="7" t="s">
        <v>801</v>
      </c>
      <c r="G488" s="7" t="s">
        <v>13</v>
      </c>
      <c r="H488" s="8">
        <v>52</v>
      </c>
      <c r="I488" s="8" t="str">
        <f>IF(Table2[[#This Row],[Age]] &lt; 19, "Teenagers", IF(Table2[[#This Row],[Age]] &lt;= 34, "Young Adults", IF(Table2[[#This Row],[Age]] &lt;= 45, "Adults", IF(Table2[[#This Row],[Age]] &lt;= 55, "Seniors", "Elderly")) ))</f>
        <v>Seniors</v>
      </c>
      <c r="J488" s="7" t="s">
        <v>11</v>
      </c>
      <c r="K488" s="8">
        <v>3</v>
      </c>
      <c r="L488" s="8" t="str">
        <f>IF(Table2[[#This Row],[Quantity]]=1, "Single Order", IF(Table2[[#This Row],[Quantity]]=2, "Small Order", IF(Table2[[#This Row],[Quantity]]=3, "Medium Order", "Bulk Order")))</f>
        <v>Medium Order</v>
      </c>
      <c r="M488" s="10">
        <v>300</v>
      </c>
      <c r="N488" s="10">
        <v>900</v>
      </c>
    </row>
    <row r="489" spans="1:14" x14ac:dyDescent="0.2">
      <c r="A489">
        <v>796</v>
      </c>
      <c r="B489" s="5">
        <v>45101</v>
      </c>
      <c r="C489" s="5" t="str">
        <f>TEXT(Table2[[#This Row],[Date]], "MMM")</f>
        <v>Jun</v>
      </c>
      <c r="D489" s="8">
        <f>MONTH(Table2[[#This Row],[Date]])</f>
        <v>6</v>
      </c>
      <c r="E489" s="8">
        <f>YEAR(Table2[[#This Row],[Date]])</f>
        <v>2023</v>
      </c>
      <c r="F489" s="7" t="s">
        <v>809</v>
      </c>
      <c r="G489" s="7" t="s">
        <v>10</v>
      </c>
      <c r="H489" s="8">
        <v>43</v>
      </c>
      <c r="I489" s="8" t="str">
        <f>IF(Table2[[#This Row],[Age]] &lt; 19, "Teenagers", IF(Table2[[#This Row],[Age]] &lt;= 34, "Young Adults", IF(Table2[[#This Row],[Age]] &lt;= 45, "Adults", IF(Table2[[#This Row],[Age]] &lt;= 55, "Seniors", "Elderly")) ))</f>
        <v>Adults</v>
      </c>
      <c r="J489" s="7" t="s">
        <v>11</v>
      </c>
      <c r="K489" s="8">
        <v>4</v>
      </c>
      <c r="L489" s="8" t="str">
        <f>IF(Table2[[#This Row],[Quantity]]=1, "Single Order", IF(Table2[[#This Row],[Quantity]]=2, "Small Order", IF(Table2[[#This Row],[Quantity]]=3, "Medium Order", "Bulk Order")))</f>
        <v>Bulk Order</v>
      </c>
      <c r="M489" s="10">
        <v>30</v>
      </c>
      <c r="N489" s="10">
        <v>120</v>
      </c>
    </row>
    <row r="490" spans="1:14" x14ac:dyDescent="0.2">
      <c r="A490">
        <v>819</v>
      </c>
      <c r="B490" s="5">
        <v>45092</v>
      </c>
      <c r="C490" s="5" t="str">
        <f>TEXT(Table2[[#This Row],[Date]], "MMM")</f>
        <v>Jun</v>
      </c>
      <c r="D490" s="8">
        <f>MONTH(Table2[[#This Row],[Date]])</f>
        <v>6</v>
      </c>
      <c r="E490" s="8">
        <f>YEAR(Table2[[#This Row],[Date]])</f>
        <v>2023</v>
      </c>
      <c r="F490" s="7" t="s">
        <v>832</v>
      </c>
      <c r="G490" s="7" t="s">
        <v>13</v>
      </c>
      <c r="H490" s="8">
        <v>35</v>
      </c>
      <c r="I490" s="8" t="str">
        <f>IF(Table2[[#This Row],[Age]] &lt; 19, "Teenagers", IF(Table2[[#This Row],[Age]] &lt;= 34, "Young Adults", IF(Table2[[#This Row],[Age]] &lt;= 45, "Adults", IF(Table2[[#This Row],[Age]] &lt;= 55, "Seniors", "Elderly")) ))</f>
        <v>Adults</v>
      </c>
      <c r="J490" s="7" t="s">
        <v>11</v>
      </c>
      <c r="K490" s="8">
        <v>2</v>
      </c>
      <c r="L490" s="8" t="str">
        <f>IF(Table2[[#This Row],[Quantity]]=1, "Single Order", IF(Table2[[#This Row],[Quantity]]=2, "Small Order", IF(Table2[[#This Row],[Quantity]]=3, "Medium Order", "Bulk Order")))</f>
        <v>Small Order</v>
      </c>
      <c r="M490" s="10">
        <v>50</v>
      </c>
      <c r="N490" s="10">
        <v>100</v>
      </c>
    </row>
    <row r="491" spans="1:14" x14ac:dyDescent="0.2">
      <c r="A491">
        <v>830</v>
      </c>
      <c r="B491" s="5">
        <v>45099</v>
      </c>
      <c r="C491" s="5" t="str">
        <f>TEXT(Table2[[#This Row],[Date]], "MMM")</f>
        <v>Jun</v>
      </c>
      <c r="D491" s="8">
        <f>MONTH(Table2[[#This Row],[Date]])</f>
        <v>6</v>
      </c>
      <c r="E491" s="8">
        <f>YEAR(Table2[[#This Row],[Date]])</f>
        <v>2023</v>
      </c>
      <c r="F491" s="7" t="s">
        <v>843</v>
      </c>
      <c r="G491" s="7" t="s">
        <v>13</v>
      </c>
      <c r="H491" s="8">
        <v>64</v>
      </c>
      <c r="I491" s="8" t="str">
        <f>IF(Table2[[#This Row],[Age]] &lt; 19, "Teenagers", IF(Table2[[#This Row],[Age]] &lt;= 34, "Young Adults", IF(Table2[[#This Row],[Age]] &lt;= 45, "Adults", IF(Table2[[#This Row],[Age]] &lt;= 55, "Seniors", "Elderly")) ))</f>
        <v>Elderly</v>
      </c>
      <c r="J491" s="7" t="s">
        <v>14</v>
      </c>
      <c r="K491" s="8">
        <v>3</v>
      </c>
      <c r="L491" s="8" t="str">
        <f>IF(Table2[[#This Row],[Quantity]]=1, "Single Order", IF(Table2[[#This Row],[Quantity]]=2, "Small Order", IF(Table2[[#This Row],[Quantity]]=3, "Medium Order", "Bulk Order")))</f>
        <v>Medium Order</v>
      </c>
      <c r="M491" s="10">
        <v>50</v>
      </c>
      <c r="N491" s="10">
        <v>150</v>
      </c>
    </row>
    <row r="492" spans="1:14" x14ac:dyDescent="0.2">
      <c r="A492">
        <v>833</v>
      </c>
      <c r="B492" s="5">
        <v>45093</v>
      </c>
      <c r="C492" s="5" t="str">
        <f>TEXT(Table2[[#This Row],[Date]], "MMM")</f>
        <v>Jun</v>
      </c>
      <c r="D492" s="8">
        <f>MONTH(Table2[[#This Row],[Date]])</f>
        <v>6</v>
      </c>
      <c r="E492" s="8">
        <f>YEAR(Table2[[#This Row],[Date]])</f>
        <v>2023</v>
      </c>
      <c r="F492" s="7" t="s">
        <v>846</v>
      </c>
      <c r="G492" s="7" t="s">
        <v>10</v>
      </c>
      <c r="H492" s="8">
        <v>42</v>
      </c>
      <c r="I492" s="8" t="str">
        <f>IF(Table2[[#This Row],[Age]] &lt; 19, "Teenagers", IF(Table2[[#This Row],[Age]] &lt;= 34, "Young Adults", IF(Table2[[#This Row],[Age]] &lt;= 45, "Adults", IF(Table2[[#This Row],[Age]] &lt;= 55, "Seniors", "Elderly")) ))</f>
        <v>Adults</v>
      </c>
      <c r="J492" s="7" t="s">
        <v>11</v>
      </c>
      <c r="K492" s="8">
        <v>4</v>
      </c>
      <c r="L492" s="8" t="str">
        <f>IF(Table2[[#This Row],[Quantity]]=1, "Single Order", IF(Table2[[#This Row],[Quantity]]=2, "Small Order", IF(Table2[[#This Row],[Quantity]]=3, "Medium Order", "Bulk Order")))</f>
        <v>Bulk Order</v>
      </c>
      <c r="M492" s="10">
        <v>50</v>
      </c>
      <c r="N492" s="10">
        <v>200</v>
      </c>
    </row>
    <row r="493" spans="1:14" x14ac:dyDescent="0.2">
      <c r="A493">
        <v>839</v>
      </c>
      <c r="B493" s="5">
        <v>45101</v>
      </c>
      <c r="C493" s="5" t="str">
        <f>TEXT(Table2[[#This Row],[Date]], "MMM")</f>
        <v>Jun</v>
      </c>
      <c r="D493" s="8">
        <f>MONTH(Table2[[#This Row],[Date]])</f>
        <v>6</v>
      </c>
      <c r="E493" s="8">
        <f>YEAR(Table2[[#This Row],[Date]])</f>
        <v>2023</v>
      </c>
      <c r="F493" s="7" t="s">
        <v>852</v>
      </c>
      <c r="G493" s="7" t="s">
        <v>13</v>
      </c>
      <c r="H493" s="8">
        <v>20</v>
      </c>
      <c r="I493" s="8" t="str">
        <f>IF(Table2[[#This Row],[Age]] &lt; 19, "Teenagers", IF(Table2[[#This Row],[Age]] &lt;= 34, "Young Adults", IF(Table2[[#This Row],[Age]] &lt;= 45, "Adults", IF(Table2[[#This Row],[Age]] &lt;= 55, "Seniors", "Elderly")) ))</f>
        <v>Young Adults</v>
      </c>
      <c r="J493" s="7" t="s">
        <v>16</v>
      </c>
      <c r="K493" s="8">
        <v>4</v>
      </c>
      <c r="L493" s="8" t="str">
        <f>IF(Table2[[#This Row],[Quantity]]=1, "Single Order", IF(Table2[[#This Row],[Quantity]]=2, "Small Order", IF(Table2[[#This Row],[Quantity]]=3, "Medium Order", "Bulk Order")))</f>
        <v>Bulk Order</v>
      </c>
      <c r="M493" s="10">
        <v>300</v>
      </c>
      <c r="N493" s="10">
        <v>1200</v>
      </c>
    </row>
    <row r="494" spans="1:14" x14ac:dyDescent="0.2">
      <c r="A494">
        <v>867</v>
      </c>
      <c r="B494" s="5">
        <v>45083</v>
      </c>
      <c r="C494" s="5" t="str">
        <f>TEXT(Table2[[#This Row],[Date]], "MMM")</f>
        <v>Jun</v>
      </c>
      <c r="D494" s="8">
        <f>MONTH(Table2[[#This Row],[Date]])</f>
        <v>6</v>
      </c>
      <c r="E494" s="8">
        <f>YEAR(Table2[[#This Row],[Date]])</f>
        <v>2023</v>
      </c>
      <c r="F494" s="7" t="s">
        <v>880</v>
      </c>
      <c r="G494" s="7" t="s">
        <v>10</v>
      </c>
      <c r="H494" s="8">
        <v>21</v>
      </c>
      <c r="I494" s="8" t="str">
        <f>IF(Table2[[#This Row],[Age]] &lt; 19, "Teenagers", IF(Table2[[#This Row],[Age]] &lt;= 34, "Young Adults", IF(Table2[[#This Row],[Age]] &lt;= 45, "Adults", IF(Table2[[#This Row],[Age]] &lt;= 55, "Seniors", "Elderly")) ))</f>
        <v>Young Adults</v>
      </c>
      <c r="J494" s="7" t="s">
        <v>16</v>
      </c>
      <c r="K494" s="8">
        <v>1</v>
      </c>
      <c r="L494" s="8" t="str">
        <f>IF(Table2[[#This Row],[Quantity]]=1, "Single Order", IF(Table2[[#This Row],[Quantity]]=2, "Small Order", IF(Table2[[#This Row],[Quantity]]=3, "Medium Order", "Bulk Order")))</f>
        <v>Single Order</v>
      </c>
      <c r="M494" s="10">
        <v>500</v>
      </c>
      <c r="N494" s="10">
        <v>500</v>
      </c>
    </row>
    <row r="495" spans="1:14" x14ac:dyDescent="0.2">
      <c r="A495">
        <v>874</v>
      </c>
      <c r="B495" s="5">
        <v>45103</v>
      </c>
      <c r="C495" s="5" t="str">
        <f>TEXT(Table2[[#This Row],[Date]], "MMM")</f>
        <v>Jun</v>
      </c>
      <c r="D495" s="8">
        <f>MONTH(Table2[[#This Row],[Date]])</f>
        <v>6</v>
      </c>
      <c r="E495" s="8">
        <f>YEAR(Table2[[#This Row],[Date]])</f>
        <v>2023</v>
      </c>
      <c r="F495" s="7" t="s">
        <v>887</v>
      </c>
      <c r="G495" s="7" t="s">
        <v>10</v>
      </c>
      <c r="H495" s="8">
        <v>60</v>
      </c>
      <c r="I495" s="8" t="str">
        <f>IF(Table2[[#This Row],[Age]] &lt; 19, "Teenagers", IF(Table2[[#This Row],[Age]] &lt;= 34, "Young Adults", IF(Table2[[#This Row],[Age]] &lt;= 45, "Adults", IF(Table2[[#This Row],[Age]] &lt;= 55, "Seniors", "Elderly")) ))</f>
        <v>Elderly</v>
      </c>
      <c r="J495" s="7" t="s">
        <v>11</v>
      </c>
      <c r="K495" s="8">
        <v>1</v>
      </c>
      <c r="L495" s="8" t="str">
        <f>IF(Table2[[#This Row],[Quantity]]=1, "Single Order", IF(Table2[[#This Row],[Quantity]]=2, "Small Order", IF(Table2[[#This Row],[Quantity]]=3, "Medium Order", "Bulk Order")))</f>
        <v>Single Order</v>
      </c>
      <c r="M495" s="10">
        <v>30</v>
      </c>
      <c r="N495" s="10">
        <v>30</v>
      </c>
    </row>
    <row r="496" spans="1:14" x14ac:dyDescent="0.2">
      <c r="A496">
        <v>877</v>
      </c>
      <c r="B496" s="5">
        <v>45096</v>
      </c>
      <c r="C496" s="5" t="str">
        <f>TEXT(Table2[[#This Row],[Date]], "MMM")</f>
        <v>Jun</v>
      </c>
      <c r="D496" s="8">
        <f>MONTH(Table2[[#This Row],[Date]])</f>
        <v>6</v>
      </c>
      <c r="E496" s="8">
        <f>YEAR(Table2[[#This Row],[Date]])</f>
        <v>2023</v>
      </c>
      <c r="F496" s="7" t="s">
        <v>890</v>
      </c>
      <c r="G496" s="7" t="s">
        <v>13</v>
      </c>
      <c r="H496" s="8">
        <v>58</v>
      </c>
      <c r="I496" s="8" t="str">
        <f>IF(Table2[[#This Row],[Age]] &lt; 19, "Teenagers", IF(Table2[[#This Row],[Age]] &lt;= 34, "Young Adults", IF(Table2[[#This Row],[Age]] &lt;= 45, "Adults", IF(Table2[[#This Row],[Age]] &lt;= 55, "Seniors", "Elderly")) ))</f>
        <v>Elderly</v>
      </c>
      <c r="J496" s="7" t="s">
        <v>14</v>
      </c>
      <c r="K496" s="8">
        <v>1</v>
      </c>
      <c r="L496" s="8" t="str">
        <f>IF(Table2[[#This Row],[Quantity]]=1, "Single Order", IF(Table2[[#This Row],[Quantity]]=2, "Small Order", IF(Table2[[#This Row],[Quantity]]=3, "Medium Order", "Bulk Order")))</f>
        <v>Single Order</v>
      </c>
      <c r="M496" s="10">
        <v>25</v>
      </c>
      <c r="N496" s="10">
        <v>25</v>
      </c>
    </row>
    <row r="497" spans="1:14" x14ac:dyDescent="0.2">
      <c r="A497">
        <v>878</v>
      </c>
      <c r="B497" s="5">
        <v>45107</v>
      </c>
      <c r="C497" s="5" t="str">
        <f>TEXT(Table2[[#This Row],[Date]], "MMM")</f>
        <v>Jun</v>
      </c>
      <c r="D497" s="8">
        <f>MONTH(Table2[[#This Row],[Date]])</f>
        <v>6</v>
      </c>
      <c r="E497" s="8">
        <f>YEAR(Table2[[#This Row],[Date]])</f>
        <v>2023</v>
      </c>
      <c r="F497" s="7" t="s">
        <v>891</v>
      </c>
      <c r="G497" s="7" t="s">
        <v>13</v>
      </c>
      <c r="H497" s="8">
        <v>20</v>
      </c>
      <c r="I497" s="8" t="str">
        <f>IF(Table2[[#This Row],[Age]] &lt; 19, "Teenagers", IF(Table2[[#This Row],[Age]] &lt;= 34, "Young Adults", IF(Table2[[#This Row],[Age]] &lt;= 45, "Adults", IF(Table2[[#This Row],[Age]] &lt;= 55, "Seniors", "Elderly")) ))</f>
        <v>Young Adults</v>
      </c>
      <c r="J497" s="7" t="s">
        <v>14</v>
      </c>
      <c r="K497" s="8">
        <v>1</v>
      </c>
      <c r="L497" s="8" t="str">
        <f>IF(Table2[[#This Row],[Quantity]]=1, "Single Order", IF(Table2[[#This Row],[Quantity]]=2, "Small Order", IF(Table2[[#This Row],[Quantity]]=3, "Medium Order", "Bulk Order")))</f>
        <v>Single Order</v>
      </c>
      <c r="M497" s="10">
        <v>30</v>
      </c>
      <c r="N497" s="10">
        <v>30</v>
      </c>
    </row>
    <row r="498" spans="1:14" x14ac:dyDescent="0.2">
      <c r="A498">
        <v>882</v>
      </c>
      <c r="B498" s="5">
        <v>45083</v>
      </c>
      <c r="C498" s="5" t="str">
        <f>TEXT(Table2[[#This Row],[Date]], "MMM")</f>
        <v>Jun</v>
      </c>
      <c r="D498" s="8">
        <f>MONTH(Table2[[#This Row],[Date]])</f>
        <v>6</v>
      </c>
      <c r="E498" s="8">
        <f>YEAR(Table2[[#This Row],[Date]])</f>
        <v>2023</v>
      </c>
      <c r="F498" s="7" t="s">
        <v>895</v>
      </c>
      <c r="G498" s="7" t="s">
        <v>13</v>
      </c>
      <c r="H498" s="8">
        <v>64</v>
      </c>
      <c r="I498" s="8" t="str">
        <f>IF(Table2[[#This Row],[Age]] &lt; 19, "Teenagers", IF(Table2[[#This Row],[Age]] &lt;= 34, "Young Adults", IF(Table2[[#This Row],[Age]] &lt;= 45, "Adults", IF(Table2[[#This Row],[Age]] &lt;= 55, "Seniors", "Elderly")) ))</f>
        <v>Elderly</v>
      </c>
      <c r="J498" s="7" t="s">
        <v>16</v>
      </c>
      <c r="K498" s="8">
        <v>2</v>
      </c>
      <c r="L498" s="8" t="str">
        <f>IF(Table2[[#This Row],[Quantity]]=1, "Single Order", IF(Table2[[#This Row],[Quantity]]=2, "Small Order", IF(Table2[[#This Row],[Quantity]]=3, "Medium Order", "Bulk Order")))</f>
        <v>Small Order</v>
      </c>
      <c r="M498" s="10">
        <v>25</v>
      </c>
      <c r="N498" s="10">
        <v>50</v>
      </c>
    </row>
    <row r="499" spans="1:14" x14ac:dyDescent="0.2">
      <c r="A499">
        <v>887</v>
      </c>
      <c r="B499" s="5">
        <v>45088</v>
      </c>
      <c r="C499" s="5" t="str">
        <f>TEXT(Table2[[#This Row],[Date]], "MMM")</f>
        <v>Jun</v>
      </c>
      <c r="D499" s="8">
        <f>MONTH(Table2[[#This Row],[Date]])</f>
        <v>6</v>
      </c>
      <c r="E499" s="8">
        <f>YEAR(Table2[[#This Row],[Date]])</f>
        <v>2023</v>
      </c>
      <c r="F499" s="7" t="s">
        <v>900</v>
      </c>
      <c r="G499" s="7" t="s">
        <v>10</v>
      </c>
      <c r="H499" s="8">
        <v>59</v>
      </c>
      <c r="I499" s="8" t="str">
        <f>IF(Table2[[#This Row],[Age]] &lt; 19, "Teenagers", IF(Table2[[#This Row],[Age]] &lt;= 34, "Young Adults", IF(Table2[[#This Row],[Age]] &lt;= 45, "Adults", IF(Table2[[#This Row],[Age]] &lt;= 55, "Seniors", "Elderly")) ))</f>
        <v>Elderly</v>
      </c>
      <c r="J499" s="7" t="s">
        <v>14</v>
      </c>
      <c r="K499" s="8">
        <v>4</v>
      </c>
      <c r="L499" s="8" t="str">
        <f>IF(Table2[[#This Row],[Quantity]]=1, "Single Order", IF(Table2[[#This Row],[Quantity]]=2, "Small Order", IF(Table2[[#This Row],[Quantity]]=3, "Medium Order", "Bulk Order")))</f>
        <v>Bulk Order</v>
      </c>
      <c r="M499" s="10">
        <v>25</v>
      </c>
      <c r="N499" s="10">
        <v>100</v>
      </c>
    </row>
    <row r="500" spans="1:14" x14ac:dyDescent="0.2">
      <c r="A500">
        <v>902</v>
      </c>
      <c r="B500" s="5">
        <v>45078</v>
      </c>
      <c r="C500" s="5" t="str">
        <f>TEXT(Table2[[#This Row],[Date]], "MMM")</f>
        <v>Jun</v>
      </c>
      <c r="D500" s="8">
        <f>MONTH(Table2[[#This Row],[Date]])</f>
        <v>6</v>
      </c>
      <c r="E500" s="8">
        <f>YEAR(Table2[[#This Row],[Date]])</f>
        <v>2023</v>
      </c>
      <c r="F500" s="7" t="s">
        <v>915</v>
      </c>
      <c r="G500" s="7" t="s">
        <v>13</v>
      </c>
      <c r="H500" s="8">
        <v>54</v>
      </c>
      <c r="I500" s="8" t="str">
        <f>IF(Table2[[#This Row],[Age]] &lt; 19, "Teenagers", IF(Table2[[#This Row],[Age]] &lt;= 34, "Young Adults", IF(Table2[[#This Row],[Age]] &lt;= 45, "Adults", IF(Table2[[#This Row],[Age]] &lt;= 55, "Seniors", "Elderly")) ))</f>
        <v>Seniors</v>
      </c>
      <c r="J500" s="7" t="s">
        <v>11</v>
      </c>
      <c r="K500" s="8">
        <v>1</v>
      </c>
      <c r="L500" s="8" t="str">
        <f>IF(Table2[[#This Row],[Quantity]]=1, "Single Order", IF(Table2[[#This Row],[Quantity]]=2, "Small Order", IF(Table2[[#This Row],[Quantity]]=3, "Medium Order", "Bulk Order")))</f>
        <v>Single Order</v>
      </c>
      <c r="M500" s="10">
        <v>50</v>
      </c>
      <c r="N500" s="10">
        <v>50</v>
      </c>
    </row>
    <row r="501" spans="1:14" x14ac:dyDescent="0.2">
      <c r="A501">
        <v>906</v>
      </c>
      <c r="B501" s="5">
        <v>45081</v>
      </c>
      <c r="C501" s="5" t="str">
        <f>TEXT(Table2[[#This Row],[Date]], "MMM")</f>
        <v>Jun</v>
      </c>
      <c r="D501" s="8">
        <f>MONTH(Table2[[#This Row],[Date]])</f>
        <v>6</v>
      </c>
      <c r="E501" s="8">
        <f>YEAR(Table2[[#This Row],[Date]])</f>
        <v>2023</v>
      </c>
      <c r="F501" s="7" t="s">
        <v>919</v>
      </c>
      <c r="G501" s="7" t="s">
        <v>13</v>
      </c>
      <c r="H501" s="8">
        <v>20</v>
      </c>
      <c r="I501" s="8" t="str">
        <f>IF(Table2[[#This Row],[Age]] &lt; 19, "Teenagers", IF(Table2[[#This Row],[Age]] &lt;= 34, "Young Adults", IF(Table2[[#This Row],[Age]] &lt;= 45, "Adults", IF(Table2[[#This Row],[Age]] &lt;= 55, "Seniors", "Elderly")) ))</f>
        <v>Young Adults</v>
      </c>
      <c r="J501" s="7" t="s">
        <v>14</v>
      </c>
      <c r="K501" s="8">
        <v>1</v>
      </c>
      <c r="L501" s="8" t="str">
        <f>IF(Table2[[#This Row],[Quantity]]=1, "Single Order", IF(Table2[[#This Row],[Quantity]]=2, "Small Order", IF(Table2[[#This Row],[Quantity]]=3, "Medium Order", "Bulk Order")))</f>
        <v>Single Order</v>
      </c>
      <c r="M501" s="10">
        <v>50</v>
      </c>
      <c r="N501" s="10">
        <v>50</v>
      </c>
    </row>
    <row r="502" spans="1:14" x14ac:dyDescent="0.2">
      <c r="A502">
        <v>927</v>
      </c>
      <c r="B502" s="5">
        <v>45101</v>
      </c>
      <c r="C502" s="5" t="str">
        <f>TEXT(Table2[[#This Row],[Date]], "MMM")</f>
        <v>Jun</v>
      </c>
      <c r="D502" s="8">
        <f>MONTH(Table2[[#This Row],[Date]])</f>
        <v>6</v>
      </c>
      <c r="E502" s="8">
        <f>YEAR(Table2[[#This Row],[Date]])</f>
        <v>2023</v>
      </c>
      <c r="F502" s="7" t="s">
        <v>940</v>
      </c>
      <c r="G502" s="7" t="s">
        <v>10</v>
      </c>
      <c r="H502" s="8">
        <v>43</v>
      </c>
      <c r="I502" s="8" t="str">
        <f>IF(Table2[[#This Row],[Age]] &lt; 19, "Teenagers", IF(Table2[[#This Row],[Age]] &lt;= 34, "Young Adults", IF(Table2[[#This Row],[Age]] &lt;= 45, "Adults", IF(Table2[[#This Row],[Age]] &lt;= 55, "Seniors", "Elderly")) ))</f>
        <v>Adults</v>
      </c>
      <c r="J502" s="7" t="s">
        <v>16</v>
      </c>
      <c r="K502" s="8">
        <v>4</v>
      </c>
      <c r="L502" s="8" t="str">
        <f>IF(Table2[[#This Row],[Quantity]]=1, "Single Order", IF(Table2[[#This Row],[Quantity]]=2, "Small Order", IF(Table2[[#This Row],[Quantity]]=3, "Medium Order", "Bulk Order")))</f>
        <v>Bulk Order</v>
      </c>
      <c r="M502" s="10">
        <v>500</v>
      </c>
      <c r="N502" s="10">
        <v>2000</v>
      </c>
    </row>
    <row r="503" spans="1:14" x14ac:dyDescent="0.2">
      <c r="A503">
        <v>944</v>
      </c>
      <c r="B503" s="5">
        <v>45082</v>
      </c>
      <c r="C503" s="5" t="str">
        <f>TEXT(Table2[[#This Row],[Date]], "MMM")</f>
        <v>Jun</v>
      </c>
      <c r="D503" s="8">
        <f>MONTH(Table2[[#This Row],[Date]])</f>
        <v>6</v>
      </c>
      <c r="E503" s="8">
        <f>YEAR(Table2[[#This Row],[Date]])</f>
        <v>2023</v>
      </c>
      <c r="F503" s="7" t="s">
        <v>957</v>
      </c>
      <c r="G503" s="7" t="s">
        <v>10</v>
      </c>
      <c r="H503" s="8">
        <v>44</v>
      </c>
      <c r="I503" s="8" t="str">
        <f>IF(Table2[[#This Row],[Age]] &lt; 19, "Teenagers", IF(Table2[[#This Row],[Age]] &lt;= 34, "Young Adults", IF(Table2[[#This Row],[Age]] &lt;= 45, "Adults", IF(Table2[[#This Row],[Age]] &lt;= 55, "Seniors", "Elderly")) ))</f>
        <v>Adults</v>
      </c>
      <c r="J503" s="7" t="s">
        <v>14</v>
      </c>
      <c r="K503" s="8">
        <v>2</v>
      </c>
      <c r="L503" s="8" t="str">
        <f>IF(Table2[[#This Row],[Quantity]]=1, "Single Order", IF(Table2[[#This Row],[Quantity]]=2, "Small Order", IF(Table2[[#This Row],[Quantity]]=3, "Medium Order", "Bulk Order")))</f>
        <v>Small Order</v>
      </c>
      <c r="M503" s="10">
        <v>25</v>
      </c>
      <c r="N503" s="10">
        <v>50</v>
      </c>
    </row>
    <row r="504" spans="1:14" x14ac:dyDescent="0.2">
      <c r="A504">
        <v>958</v>
      </c>
      <c r="B504" s="5">
        <v>45079</v>
      </c>
      <c r="C504" s="5" t="str">
        <f>TEXT(Table2[[#This Row],[Date]], "MMM")</f>
        <v>Jun</v>
      </c>
      <c r="D504" s="8">
        <f>MONTH(Table2[[#This Row],[Date]])</f>
        <v>6</v>
      </c>
      <c r="E504" s="8">
        <f>YEAR(Table2[[#This Row],[Date]])</f>
        <v>2023</v>
      </c>
      <c r="F504" s="7" t="s">
        <v>971</v>
      </c>
      <c r="G504" s="7" t="s">
        <v>10</v>
      </c>
      <c r="H504" s="8">
        <v>62</v>
      </c>
      <c r="I504" s="8" t="str">
        <f>IF(Table2[[#This Row],[Age]] &lt; 19, "Teenagers", IF(Table2[[#This Row],[Age]] &lt;= 34, "Young Adults", IF(Table2[[#This Row],[Age]] &lt;= 45, "Adults", IF(Table2[[#This Row],[Age]] &lt;= 55, "Seniors", "Elderly")) ))</f>
        <v>Elderly</v>
      </c>
      <c r="J504" s="7" t="s">
        <v>16</v>
      </c>
      <c r="K504" s="8">
        <v>2</v>
      </c>
      <c r="L504" s="8" t="str">
        <f>IF(Table2[[#This Row],[Quantity]]=1, "Single Order", IF(Table2[[#This Row],[Quantity]]=2, "Small Order", IF(Table2[[#This Row],[Quantity]]=3, "Medium Order", "Bulk Order")))</f>
        <v>Small Order</v>
      </c>
      <c r="M504" s="10">
        <v>25</v>
      </c>
      <c r="N504" s="10">
        <v>50</v>
      </c>
    </row>
    <row r="505" spans="1:14" x14ac:dyDescent="0.2">
      <c r="A505">
        <v>961</v>
      </c>
      <c r="B505" s="5">
        <v>45083</v>
      </c>
      <c r="C505" s="5" t="str">
        <f>TEXT(Table2[[#This Row],[Date]], "MMM")</f>
        <v>Jun</v>
      </c>
      <c r="D505" s="8">
        <f>MONTH(Table2[[#This Row],[Date]])</f>
        <v>6</v>
      </c>
      <c r="E505" s="8">
        <f>YEAR(Table2[[#This Row],[Date]])</f>
        <v>2023</v>
      </c>
      <c r="F505" s="7" t="s">
        <v>974</v>
      </c>
      <c r="G505" s="7" t="s">
        <v>10</v>
      </c>
      <c r="H505" s="8">
        <v>53</v>
      </c>
      <c r="I505" s="8" t="str">
        <f>IF(Table2[[#This Row],[Age]] &lt; 19, "Teenagers", IF(Table2[[#This Row],[Age]] &lt;= 34, "Young Adults", IF(Table2[[#This Row],[Age]] &lt;= 45, "Adults", IF(Table2[[#This Row],[Age]] &lt;= 55, "Seniors", "Elderly")) ))</f>
        <v>Seniors</v>
      </c>
      <c r="J505" s="7" t="s">
        <v>11</v>
      </c>
      <c r="K505" s="8">
        <v>4</v>
      </c>
      <c r="L505" s="8" t="str">
        <f>IF(Table2[[#This Row],[Quantity]]=1, "Single Order", IF(Table2[[#This Row],[Quantity]]=2, "Small Order", IF(Table2[[#This Row],[Quantity]]=3, "Medium Order", "Bulk Order")))</f>
        <v>Bulk Order</v>
      </c>
      <c r="M505" s="10">
        <v>50</v>
      </c>
      <c r="N505" s="10">
        <v>200</v>
      </c>
    </row>
    <row r="506" spans="1:14" x14ac:dyDescent="0.2">
      <c r="A506">
        <v>43</v>
      </c>
      <c r="B506" s="5">
        <v>45121</v>
      </c>
      <c r="C506" s="5" t="str">
        <f>TEXT(Table2[[#This Row],[Date]], "MMM")</f>
        <v>Jul</v>
      </c>
      <c r="D506" s="8">
        <f>MONTH(Table2[[#This Row],[Date]])</f>
        <v>7</v>
      </c>
      <c r="E506" s="8">
        <f>YEAR(Table2[[#This Row],[Date]])</f>
        <v>2023</v>
      </c>
      <c r="F506" s="7" t="s">
        <v>56</v>
      </c>
      <c r="G506" s="7" t="s">
        <v>13</v>
      </c>
      <c r="H506" s="8">
        <v>48</v>
      </c>
      <c r="I506" s="8" t="str">
        <f>IF(Table2[[#This Row],[Age]] &lt; 19, "Teenagers", IF(Table2[[#This Row],[Age]] &lt;= 34, "Young Adults", IF(Table2[[#This Row],[Age]] &lt;= 45, "Adults", IF(Table2[[#This Row],[Age]] &lt;= 55, "Seniors", "Elderly")) ))</f>
        <v>Seniors</v>
      </c>
      <c r="J506" s="7" t="s">
        <v>14</v>
      </c>
      <c r="K506" s="8">
        <v>1</v>
      </c>
      <c r="L506" s="8" t="str">
        <f>IF(Table2[[#This Row],[Quantity]]=1, "Single Order", IF(Table2[[#This Row],[Quantity]]=2, "Small Order", IF(Table2[[#This Row],[Quantity]]=3, "Medium Order", "Bulk Order")))</f>
        <v>Single Order</v>
      </c>
      <c r="M506" s="10">
        <v>300</v>
      </c>
      <c r="N506" s="10">
        <v>300</v>
      </c>
    </row>
    <row r="507" spans="1:14" x14ac:dyDescent="0.2">
      <c r="A507">
        <v>45</v>
      </c>
      <c r="B507" s="5">
        <v>45110</v>
      </c>
      <c r="C507" s="5" t="str">
        <f>TEXT(Table2[[#This Row],[Date]], "MMM")</f>
        <v>Jul</v>
      </c>
      <c r="D507" s="8">
        <f>MONTH(Table2[[#This Row],[Date]])</f>
        <v>7</v>
      </c>
      <c r="E507" s="8">
        <f>YEAR(Table2[[#This Row],[Date]])</f>
        <v>2023</v>
      </c>
      <c r="F507" s="7" t="s">
        <v>58</v>
      </c>
      <c r="G507" s="7" t="s">
        <v>13</v>
      </c>
      <c r="H507" s="8">
        <v>55</v>
      </c>
      <c r="I507" s="8" t="str">
        <f>IF(Table2[[#This Row],[Age]] &lt; 19, "Teenagers", IF(Table2[[#This Row],[Age]] &lt;= 34, "Young Adults", IF(Table2[[#This Row],[Age]] &lt;= 45, "Adults", IF(Table2[[#This Row],[Age]] &lt;= 55, "Seniors", "Elderly")) ))</f>
        <v>Seniors</v>
      </c>
      <c r="J507" s="7" t="s">
        <v>16</v>
      </c>
      <c r="K507" s="8">
        <v>1</v>
      </c>
      <c r="L507" s="8" t="str">
        <f>IF(Table2[[#This Row],[Quantity]]=1, "Single Order", IF(Table2[[#This Row],[Quantity]]=2, "Small Order", IF(Table2[[#This Row],[Quantity]]=3, "Medium Order", "Bulk Order")))</f>
        <v>Single Order</v>
      </c>
      <c r="M507" s="10">
        <v>30</v>
      </c>
      <c r="N507" s="10">
        <v>30</v>
      </c>
    </row>
    <row r="508" spans="1:14" x14ac:dyDescent="0.2">
      <c r="A508">
        <v>53</v>
      </c>
      <c r="B508" s="5">
        <v>45120</v>
      </c>
      <c r="C508" s="5" t="str">
        <f>TEXT(Table2[[#This Row],[Date]], "MMM")</f>
        <v>Jul</v>
      </c>
      <c r="D508" s="8">
        <f>MONTH(Table2[[#This Row],[Date]])</f>
        <v>7</v>
      </c>
      <c r="E508" s="8">
        <f>YEAR(Table2[[#This Row],[Date]])</f>
        <v>2023</v>
      </c>
      <c r="F508" s="7" t="s">
        <v>66</v>
      </c>
      <c r="G508" s="7" t="s">
        <v>10</v>
      </c>
      <c r="H508" s="8">
        <v>34</v>
      </c>
      <c r="I508" s="8" t="str">
        <f>IF(Table2[[#This Row],[Age]] &lt; 19, "Teenagers", IF(Table2[[#This Row],[Age]] &lt;= 34, "Young Adults", IF(Table2[[#This Row],[Age]] &lt;= 45, "Adults", IF(Table2[[#This Row],[Age]] &lt;= 55, "Seniors", "Elderly")) ))</f>
        <v>Young Adults</v>
      </c>
      <c r="J508" s="7" t="s">
        <v>16</v>
      </c>
      <c r="K508" s="8">
        <v>2</v>
      </c>
      <c r="L508" s="8" t="str">
        <f>IF(Table2[[#This Row],[Quantity]]=1, "Single Order", IF(Table2[[#This Row],[Quantity]]=2, "Small Order", IF(Table2[[#This Row],[Quantity]]=3, "Medium Order", "Bulk Order")))</f>
        <v>Small Order</v>
      </c>
      <c r="M508" s="10">
        <v>50</v>
      </c>
      <c r="N508" s="10">
        <v>100</v>
      </c>
    </row>
    <row r="509" spans="1:14" x14ac:dyDescent="0.2">
      <c r="A509">
        <v>59</v>
      </c>
      <c r="B509" s="5">
        <v>45112</v>
      </c>
      <c r="C509" s="5" t="str">
        <f>TEXT(Table2[[#This Row],[Date]], "MMM")</f>
        <v>Jul</v>
      </c>
      <c r="D509" s="8">
        <f>MONTH(Table2[[#This Row],[Date]])</f>
        <v>7</v>
      </c>
      <c r="E509" s="8">
        <f>YEAR(Table2[[#This Row],[Date]])</f>
        <v>2023</v>
      </c>
      <c r="F509" s="7" t="s">
        <v>72</v>
      </c>
      <c r="G509" s="7" t="s">
        <v>10</v>
      </c>
      <c r="H509" s="8">
        <v>62</v>
      </c>
      <c r="I509" s="8" t="str">
        <f>IF(Table2[[#This Row],[Age]] &lt; 19, "Teenagers", IF(Table2[[#This Row],[Age]] &lt;= 34, "Young Adults", IF(Table2[[#This Row],[Age]] &lt;= 45, "Adults", IF(Table2[[#This Row],[Age]] &lt;= 55, "Seniors", "Elderly")) ))</f>
        <v>Elderly</v>
      </c>
      <c r="J509" s="7" t="s">
        <v>14</v>
      </c>
      <c r="K509" s="8">
        <v>1</v>
      </c>
      <c r="L509" s="8" t="str">
        <f>IF(Table2[[#This Row],[Quantity]]=1, "Single Order", IF(Table2[[#This Row],[Quantity]]=2, "Small Order", IF(Table2[[#This Row],[Quantity]]=3, "Medium Order", "Bulk Order")))</f>
        <v>Single Order</v>
      </c>
      <c r="M509" s="10">
        <v>50</v>
      </c>
      <c r="N509" s="10">
        <v>50</v>
      </c>
    </row>
    <row r="510" spans="1:14" x14ac:dyDescent="0.2">
      <c r="A510">
        <v>71</v>
      </c>
      <c r="B510" s="5">
        <v>45121</v>
      </c>
      <c r="C510" s="5" t="str">
        <f>TEXT(Table2[[#This Row],[Date]], "MMM")</f>
        <v>Jul</v>
      </c>
      <c r="D510" s="8">
        <f>MONTH(Table2[[#This Row],[Date]])</f>
        <v>7</v>
      </c>
      <c r="E510" s="8">
        <f>YEAR(Table2[[#This Row],[Date]])</f>
        <v>2023</v>
      </c>
      <c r="F510" s="7" t="s">
        <v>84</v>
      </c>
      <c r="G510" s="7" t="s">
        <v>13</v>
      </c>
      <c r="H510" s="8">
        <v>51</v>
      </c>
      <c r="I510" s="8" t="str">
        <f>IF(Table2[[#This Row],[Age]] &lt; 19, "Teenagers", IF(Table2[[#This Row],[Age]] &lt;= 34, "Young Adults", IF(Table2[[#This Row],[Age]] &lt;= 45, "Adults", IF(Table2[[#This Row],[Age]] &lt;= 55, "Seniors", "Elderly")) ))</f>
        <v>Seniors</v>
      </c>
      <c r="J510" s="7" t="s">
        <v>11</v>
      </c>
      <c r="K510" s="8">
        <v>4</v>
      </c>
      <c r="L510" s="8" t="str">
        <f>IF(Table2[[#This Row],[Quantity]]=1, "Single Order", IF(Table2[[#This Row],[Quantity]]=2, "Small Order", IF(Table2[[#This Row],[Quantity]]=3, "Medium Order", "Bulk Order")))</f>
        <v>Bulk Order</v>
      </c>
      <c r="M510" s="10">
        <v>25</v>
      </c>
      <c r="N510" s="10">
        <v>100</v>
      </c>
    </row>
    <row r="511" spans="1:14" x14ac:dyDescent="0.2">
      <c r="A511">
        <v>75</v>
      </c>
      <c r="B511" s="5">
        <v>45113</v>
      </c>
      <c r="C511" s="5" t="str">
        <f>TEXT(Table2[[#This Row],[Date]], "MMM")</f>
        <v>Jul</v>
      </c>
      <c r="D511" s="8">
        <f>MONTH(Table2[[#This Row],[Date]])</f>
        <v>7</v>
      </c>
      <c r="E511" s="8">
        <f>YEAR(Table2[[#This Row],[Date]])</f>
        <v>2023</v>
      </c>
      <c r="F511" s="7" t="s">
        <v>88</v>
      </c>
      <c r="G511" s="7" t="s">
        <v>10</v>
      </c>
      <c r="H511" s="8">
        <v>61</v>
      </c>
      <c r="I511" s="8" t="str">
        <f>IF(Table2[[#This Row],[Age]] &lt; 19, "Teenagers", IF(Table2[[#This Row],[Age]] &lt;= 34, "Young Adults", IF(Table2[[#This Row],[Age]] &lt;= 45, "Adults", IF(Table2[[#This Row],[Age]] &lt;= 55, "Seniors", "Elderly")) ))</f>
        <v>Elderly</v>
      </c>
      <c r="J511" s="7" t="s">
        <v>11</v>
      </c>
      <c r="K511" s="8">
        <v>4</v>
      </c>
      <c r="L511" s="8" t="str">
        <f>IF(Table2[[#This Row],[Quantity]]=1, "Single Order", IF(Table2[[#This Row],[Quantity]]=2, "Small Order", IF(Table2[[#This Row],[Quantity]]=3, "Medium Order", "Bulk Order")))</f>
        <v>Bulk Order</v>
      </c>
      <c r="M511" s="10">
        <v>50</v>
      </c>
      <c r="N511" s="10">
        <v>200</v>
      </c>
    </row>
    <row r="512" spans="1:14" x14ac:dyDescent="0.2">
      <c r="A512">
        <v>77</v>
      </c>
      <c r="B512" s="5">
        <v>45116</v>
      </c>
      <c r="C512" s="5" t="str">
        <f>TEXT(Table2[[#This Row],[Date]], "MMM")</f>
        <v>Jul</v>
      </c>
      <c r="D512" s="8">
        <f>MONTH(Table2[[#This Row],[Date]])</f>
        <v>7</v>
      </c>
      <c r="E512" s="8">
        <f>YEAR(Table2[[#This Row],[Date]])</f>
        <v>2023</v>
      </c>
      <c r="F512" s="7" t="s">
        <v>90</v>
      </c>
      <c r="G512" s="7" t="s">
        <v>13</v>
      </c>
      <c r="H512" s="8">
        <v>47</v>
      </c>
      <c r="I512" s="8" t="str">
        <f>IF(Table2[[#This Row],[Age]] &lt; 19, "Teenagers", IF(Table2[[#This Row],[Age]] &lt;= 34, "Young Adults", IF(Table2[[#This Row],[Age]] &lt;= 45, "Adults", IF(Table2[[#This Row],[Age]] &lt;= 55, "Seniors", "Elderly")) ))</f>
        <v>Seniors</v>
      </c>
      <c r="J512" s="7" t="s">
        <v>14</v>
      </c>
      <c r="K512" s="8">
        <v>2</v>
      </c>
      <c r="L512" s="8" t="str">
        <f>IF(Table2[[#This Row],[Quantity]]=1, "Single Order", IF(Table2[[#This Row],[Quantity]]=2, "Small Order", IF(Table2[[#This Row],[Quantity]]=3, "Medium Order", "Bulk Order")))</f>
        <v>Small Order</v>
      </c>
      <c r="M512" s="10">
        <v>50</v>
      </c>
      <c r="N512" s="10">
        <v>100</v>
      </c>
    </row>
    <row r="513" spans="1:14" x14ac:dyDescent="0.2">
      <c r="A513">
        <v>78</v>
      </c>
      <c r="B513" s="5">
        <v>45108</v>
      </c>
      <c r="C513" s="5" t="str">
        <f>TEXT(Table2[[#This Row],[Date]], "MMM")</f>
        <v>Jul</v>
      </c>
      <c r="D513" s="8">
        <f>MONTH(Table2[[#This Row],[Date]])</f>
        <v>7</v>
      </c>
      <c r="E513" s="8">
        <f>YEAR(Table2[[#This Row],[Date]])</f>
        <v>2023</v>
      </c>
      <c r="F513" s="7" t="s">
        <v>91</v>
      </c>
      <c r="G513" s="7" t="s">
        <v>13</v>
      </c>
      <c r="H513" s="8">
        <v>47</v>
      </c>
      <c r="I513" s="8" t="str">
        <f>IF(Table2[[#This Row],[Age]] &lt; 19, "Teenagers", IF(Table2[[#This Row],[Age]] &lt;= 34, "Young Adults", IF(Table2[[#This Row],[Age]] &lt;= 45, "Adults", IF(Table2[[#This Row],[Age]] &lt;= 55, "Seniors", "Elderly")) ))</f>
        <v>Seniors</v>
      </c>
      <c r="J513" s="7" t="s">
        <v>14</v>
      </c>
      <c r="K513" s="8">
        <v>3</v>
      </c>
      <c r="L513" s="8" t="str">
        <f>IF(Table2[[#This Row],[Quantity]]=1, "Single Order", IF(Table2[[#This Row],[Quantity]]=2, "Small Order", IF(Table2[[#This Row],[Quantity]]=3, "Medium Order", "Bulk Order")))</f>
        <v>Medium Order</v>
      </c>
      <c r="M513" s="10">
        <v>500</v>
      </c>
      <c r="N513" s="10">
        <v>1500</v>
      </c>
    </row>
    <row r="514" spans="1:14" x14ac:dyDescent="0.2">
      <c r="A514">
        <v>93</v>
      </c>
      <c r="B514" s="5">
        <v>45121</v>
      </c>
      <c r="C514" s="5" t="str">
        <f>TEXT(Table2[[#This Row],[Date]], "MMM")</f>
        <v>Jul</v>
      </c>
      <c r="D514" s="8">
        <f>MONTH(Table2[[#This Row],[Date]])</f>
        <v>7</v>
      </c>
      <c r="E514" s="8">
        <f>YEAR(Table2[[#This Row],[Date]])</f>
        <v>2023</v>
      </c>
      <c r="F514" s="7" t="s">
        <v>106</v>
      </c>
      <c r="G514" s="7" t="s">
        <v>13</v>
      </c>
      <c r="H514" s="8">
        <v>35</v>
      </c>
      <c r="I514" s="8" t="str">
        <f>IF(Table2[[#This Row],[Age]] &lt; 19, "Teenagers", IF(Table2[[#This Row],[Age]] &lt;= 34, "Young Adults", IF(Table2[[#This Row],[Age]] &lt;= 45, "Adults", IF(Table2[[#This Row],[Age]] &lt;= 55, "Seniors", "Elderly")) ))</f>
        <v>Adults</v>
      </c>
      <c r="J514" s="7" t="s">
        <v>11</v>
      </c>
      <c r="K514" s="8">
        <v>4</v>
      </c>
      <c r="L514" s="8" t="str">
        <f>IF(Table2[[#This Row],[Quantity]]=1, "Single Order", IF(Table2[[#This Row],[Quantity]]=2, "Small Order", IF(Table2[[#This Row],[Quantity]]=3, "Medium Order", "Bulk Order")))</f>
        <v>Bulk Order</v>
      </c>
      <c r="M514" s="10">
        <v>500</v>
      </c>
      <c r="N514" s="10">
        <v>2000</v>
      </c>
    </row>
    <row r="515" spans="1:14" x14ac:dyDescent="0.2">
      <c r="A515">
        <v>105</v>
      </c>
      <c r="B515" s="5">
        <v>45132</v>
      </c>
      <c r="C515" s="5" t="str">
        <f>TEXT(Table2[[#This Row],[Date]], "MMM")</f>
        <v>Jul</v>
      </c>
      <c r="D515" s="8">
        <f>MONTH(Table2[[#This Row],[Date]])</f>
        <v>7</v>
      </c>
      <c r="E515" s="8">
        <f>YEAR(Table2[[#This Row],[Date]])</f>
        <v>2023</v>
      </c>
      <c r="F515" s="7" t="s">
        <v>118</v>
      </c>
      <c r="G515" s="7" t="s">
        <v>13</v>
      </c>
      <c r="H515" s="8">
        <v>22</v>
      </c>
      <c r="I515" s="8" t="str">
        <f>IF(Table2[[#This Row],[Age]] &lt; 19, "Teenagers", IF(Table2[[#This Row],[Age]] &lt;= 34, "Young Adults", IF(Table2[[#This Row],[Age]] &lt;= 45, "Adults", IF(Table2[[#This Row],[Age]] &lt;= 55, "Seniors", "Elderly")) ))</f>
        <v>Young Adults</v>
      </c>
      <c r="J515" s="7" t="s">
        <v>16</v>
      </c>
      <c r="K515" s="8">
        <v>1</v>
      </c>
      <c r="L515" s="8" t="str">
        <f>IF(Table2[[#This Row],[Quantity]]=1, "Single Order", IF(Table2[[#This Row],[Quantity]]=2, "Small Order", IF(Table2[[#This Row],[Quantity]]=3, "Medium Order", "Bulk Order")))</f>
        <v>Single Order</v>
      </c>
      <c r="M515" s="10">
        <v>500</v>
      </c>
      <c r="N515" s="10">
        <v>500</v>
      </c>
    </row>
    <row r="516" spans="1:14" x14ac:dyDescent="0.2">
      <c r="A516">
        <v>114</v>
      </c>
      <c r="B516" s="5">
        <v>45129</v>
      </c>
      <c r="C516" s="5" t="str">
        <f>TEXT(Table2[[#This Row],[Date]], "MMM")</f>
        <v>Jul</v>
      </c>
      <c r="D516" s="8">
        <f>MONTH(Table2[[#This Row],[Date]])</f>
        <v>7</v>
      </c>
      <c r="E516" s="8">
        <f>YEAR(Table2[[#This Row],[Date]])</f>
        <v>2023</v>
      </c>
      <c r="F516" s="7" t="s">
        <v>127</v>
      </c>
      <c r="G516" s="7" t="s">
        <v>13</v>
      </c>
      <c r="H516" s="8">
        <v>22</v>
      </c>
      <c r="I516" s="8" t="str">
        <f>IF(Table2[[#This Row],[Age]] &lt; 19, "Teenagers", IF(Table2[[#This Row],[Age]] &lt;= 34, "Young Adults", IF(Table2[[#This Row],[Age]] &lt;= 45, "Adults", IF(Table2[[#This Row],[Age]] &lt;= 55, "Seniors", "Elderly")) ))</f>
        <v>Young Adults</v>
      </c>
      <c r="J516" s="7" t="s">
        <v>11</v>
      </c>
      <c r="K516" s="8">
        <v>4</v>
      </c>
      <c r="L516" s="8" t="str">
        <f>IF(Table2[[#This Row],[Quantity]]=1, "Single Order", IF(Table2[[#This Row],[Quantity]]=2, "Small Order", IF(Table2[[#This Row],[Quantity]]=3, "Medium Order", "Bulk Order")))</f>
        <v>Bulk Order</v>
      </c>
      <c r="M516" s="10">
        <v>25</v>
      </c>
      <c r="N516" s="10">
        <v>100</v>
      </c>
    </row>
    <row r="517" spans="1:14" x14ac:dyDescent="0.2">
      <c r="A517">
        <v>127</v>
      </c>
      <c r="B517" s="5">
        <v>45131</v>
      </c>
      <c r="C517" s="5" t="str">
        <f>TEXT(Table2[[#This Row],[Date]], "MMM")</f>
        <v>Jul</v>
      </c>
      <c r="D517" s="8">
        <f>MONTH(Table2[[#This Row],[Date]])</f>
        <v>7</v>
      </c>
      <c r="E517" s="8">
        <f>YEAR(Table2[[#This Row],[Date]])</f>
        <v>2023</v>
      </c>
      <c r="F517" s="7" t="s">
        <v>140</v>
      </c>
      <c r="G517" s="7" t="s">
        <v>13</v>
      </c>
      <c r="H517" s="8">
        <v>33</v>
      </c>
      <c r="I517" s="8" t="str">
        <f>IF(Table2[[#This Row],[Age]] &lt; 19, "Teenagers", IF(Table2[[#This Row],[Age]] &lt;= 34, "Young Adults", IF(Table2[[#This Row],[Age]] &lt;= 45, "Adults", IF(Table2[[#This Row],[Age]] &lt;= 55, "Seniors", "Elderly")) ))</f>
        <v>Young Adults</v>
      </c>
      <c r="J517" s="7" t="s">
        <v>14</v>
      </c>
      <c r="K517" s="8">
        <v>2</v>
      </c>
      <c r="L517" s="8" t="str">
        <f>IF(Table2[[#This Row],[Quantity]]=1, "Single Order", IF(Table2[[#This Row],[Quantity]]=2, "Small Order", IF(Table2[[#This Row],[Quantity]]=3, "Medium Order", "Bulk Order")))</f>
        <v>Small Order</v>
      </c>
      <c r="M517" s="10">
        <v>25</v>
      </c>
      <c r="N517" s="10">
        <v>50</v>
      </c>
    </row>
    <row r="518" spans="1:14" x14ac:dyDescent="0.2">
      <c r="A518">
        <v>128</v>
      </c>
      <c r="B518" s="5">
        <v>45112</v>
      </c>
      <c r="C518" s="5" t="str">
        <f>TEXT(Table2[[#This Row],[Date]], "MMM")</f>
        <v>Jul</v>
      </c>
      <c r="D518" s="8">
        <f>MONTH(Table2[[#This Row],[Date]])</f>
        <v>7</v>
      </c>
      <c r="E518" s="8">
        <f>YEAR(Table2[[#This Row],[Date]])</f>
        <v>2023</v>
      </c>
      <c r="F518" s="7" t="s">
        <v>141</v>
      </c>
      <c r="G518" s="7" t="s">
        <v>10</v>
      </c>
      <c r="H518" s="8">
        <v>25</v>
      </c>
      <c r="I518" s="8" t="str">
        <f>IF(Table2[[#This Row],[Age]] &lt; 19, "Teenagers", IF(Table2[[#This Row],[Age]] &lt;= 34, "Young Adults", IF(Table2[[#This Row],[Age]] &lt;= 45, "Adults", IF(Table2[[#This Row],[Age]] &lt;= 55, "Seniors", "Elderly")) ))</f>
        <v>Young Adults</v>
      </c>
      <c r="J518" s="7" t="s">
        <v>11</v>
      </c>
      <c r="K518" s="8">
        <v>1</v>
      </c>
      <c r="L518" s="8" t="str">
        <f>IF(Table2[[#This Row],[Quantity]]=1, "Single Order", IF(Table2[[#This Row],[Quantity]]=2, "Small Order", IF(Table2[[#This Row],[Quantity]]=3, "Medium Order", "Bulk Order")))</f>
        <v>Single Order</v>
      </c>
      <c r="M518" s="10">
        <v>500</v>
      </c>
      <c r="N518" s="10">
        <v>500</v>
      </c>
    </row>
    <row r="519" spans="1:14" x14ac:dyDescent="0.2">
      <c r="A519">
        <v>143</v>
      </c>
      <c r="B519" s="5">
        <v>45124</v>
      </c>
      <c r="C519" s="5" t="str">
        <f>TEXT(Table2[[#This Row],[Date]], "MMM")</f>
        <v>Jul</v>
      </c>
      <c r="D519" s="8">
        <f>MONTH(Table2[[#This Row],[Date]])</f>
        <v>7</v>
      </c>
      <c r="E519" s="8">
        <f>YEAR(Table2[[#This Row],[Date]])</f>
        <v>2023</v>
      </c>
      <c r="F519" s="7" t="s">
        <v>156</v>
      </c>
      <c r="G519" s="7" t="s">
        <v>13</v>
      </c>
      <c r="H519" s="8">
        <v>45</v>
      </c>
      <c r="I519" s="8" t="str">
        <f>IF(Table2[[#This Row],[Age]] &lt; 19, "Teenagers", IF(Table2[[#This Row],[Age]] &lt;= 34, "Young Adults", IF(Table2[[#This Row],[Age]] &lt;= 45, "Adults", IF(Table2[[#This Row],[Age]] &lt;= 55, "Seniors", "Elderly")) ))</f>
        <v>Adults</v>
      </c>
      <c r="J519" s="7" t="s">
        <v>14</v>
      </c>
      <c r="K519" s="8">
        <v>1</v>
      </c>
      <c r="L519" s="8" t="str">
        <f>IF(Table2[[#This Row],[Quantity]]=1, "Single Order", IF(Table2[[#This Row],[Quantity]]=2, "Small Order", IF(Table2[[#This Row],[Quantity]]=3, "Medium Order", "Bulk Order")))</f>
        <v>Single Order</v>
      </c>
      <c r="M519" s="10">
        <v>50</v>
      </c>
      <c r="N519" s="10">
        <v>50</v>
      </c>
    </row>
    <row r="520" spans="1:14" x14ac:dyDescent="0.2">
      <c r="A520">
        <v>144</v>
      </c>
      <c r="B520" s="5">
        <v>45122</v>
      </c>
      <c r="C520" s="5" t="str">
        <f>TEXT(Table2[[#This Row],[Date]], "MMM")</f>
        <v>Jul</v>
      </c>
      <c r="D520" s="8">
        <f>MONTH(Table2[[#This Row],[Date]])</f>
        <v>7</v>
      </c>
      <c r="E520" s="8">
        <f>YEAR(Table2[[#This Row],[Date]])</f>
        <v>2023</v>
      </c>
      <c r="F520" s="7" t="s">
        <v>157</v>
      </c>
      <c r="G520" s="7" t="s">
        <v>13</v>
      </c>
      <c r="H520" s="8">
        <v>59</v>
      </c>
      <c r="I520" s="8" t="str">
        <f>IF(Table2[[#This Row],[Age]] &lt; 19, "Teenagers", IF(Table2[[#This Row],[Age]] &lt;= 34, "Young Adults", IF(Table2[[#This Row],[Age]] &lt;= 45, "Adults", IF(Table2[[#This Row],[Age]] &lt;= 55, "Seniors", "Elderly")) ))</f>
        <v>Elderly</v>
      </c>
      <c r="J520" s="7" t="s">
        <v>11</v>
      </c>
      <c r="K520" s="8">
        <v>3</v>
      </c>
      <c r="L520" s="8" t="str">
        <f>IF(Table2[[#This Row],[Quantity]]=1, "Single Order", IF(Table2[[#This Row],[Quantity]]=2, "Small Order", IF(Table2[[#This Row],[Quantity]]=3, "Medium Order", "Bulk Order")))</f>
        <v>Medium Order</v>
      </c>
      <c r="M520" s="10">
        <v>500</v>
      </c>
      <c r="N520" s="10">
        <v>1500</v>
      </c>
    </row>
    <row r="521" spans="1:14" x14ac:dyDescent="0.2">
      <c r="A521">
        <v>176</v>
      </c>
      <c r="B521" s="5">
        <v>45118</v>
      </c>
      <c r="C521" s="5" t="str">
        <f>TEXT(Table2[[#This Row],[Date]], "MMM")</f>
        <v>Jul</v>
      </c>
      <c r="D521" s="8">
        <f>MONTH(Table2[[#This Row],[Date]])</f>
        <v>7</v>
      </c>
      <c r="E521" s="8">
        <f>YEAR(Table2[[#This Row],[Date]])</f>
        <v>2023</v>
      </c>
      <c r="F521" s="7" t="s">
        <v>189</v>
      </c>
      <c r="G521" s="7" t="s">
        <v>13</v>
      </c>
      <c r="H521" s="8">
        <v>43</v>
      </c>
      <c r="I521" s="8" t="str">
        <f>IF(Table2[[#This Row],[Age]] &lt; 19, "Teenagers", IF(Table2[[#This Row],[Age]] &lt;= 34, "Young Adults", IF(Table2[[#This Row],[Age]] &lt;= 45, "Adults", IF(Table2[[#This Row],[Age]] &lt;= 55, "Seniors", "Elderly")) ))</f>
        <v>Adults</v>
      </c>
      <c r="J521" s="7" t="s">
        <v>11</v>
      </c>
      <c r="K521" s="8">
        <v>2</v>
      </c>
      <c r="L521" s="8" t="str">
        <f>IF(Table2[[#This Row],[Quantity]]=1, "Single Order", IF(Table2[[#This Row],[Quantity]]=2, "Small Order", IF(Table2[[#This Row],[Quantity]]=3, "Medium Order", "Bulk Order")))</f>
        <v>Small Order</v>
      </c>
      <c r="M521" s="10">
        <v>50</v>
      </c>
      <c r="N521" s="10">
        <v>100</v>
      </c>
    </row>
    <row r="522" spans="1:14" x14ac:dyDescent="0.2">
      <c r="A522">
        <v>186</v>
      </c>
      <c r="B522" s="5">
        <v>45112</v>
      </c>
      <c r="C522" s="5" t="str">
        <f>TEXT(Table2[[#This Row],[Date]], "MMM")</f>
        <v>Jul</v>
      </c>
      <c r="D522" s="8">
        <f>MONTH(Table2[[#This Row],[Date]])</f>
        <v>7</v>
      </c>
      <c r="E522" s="8">
        <f>YEAR(Table2[[#This Row],[Date]])</f>
        <v>2023</v>
      </c>
      <c r="F522" s="7" t="s">
        <v>199</v>
      </c>
      <c r="G522" s="7" t="s">
        <v>10</v>
      </c>
      <c r="H522" s="8">
        <v>20</v>
      </c>
      <c r="I522" s="8" t="str">
        <f>IF(Table2[[#This Row],[Age]] &lt; 19, "Teenagers", IF(Table2[[#This Row],[Age]] &lt;= 34, "Young Adults", IF(Table2[[#This Row],[Age]] &lt;= 45, "Adults", IF(Table2[[#This Row],[Age]] &lt;= 55, "Seniors", "Elderly")) ))</f>
        <v>Young Adults</v>
      </c>
      <c r="J522" s="7" t="s">
        <v>14</v>
      </c>
      <c r="K522" s="8">
        <v>4</v>
      </c>
      <c r="L522" s="8" t="str">
        <f>IF(Table2[[#This Row],[Quantity]]=1, "Single Order", IF(Table2[[#This Row],[Quantity]]=2, "Small Order", IF(Table2[[#This Row],[Quantity]]=3, "Medium Order", "Bulk Order")))</f>
        <v>Bulk Order</v>
      </c>
      <c r="M522" s="10">
        <v>50</v>
      </c>
      <c r="N522" s="10">
        <v>200</v>
      </c>
    </row>
    <row r="523" spans="1:14" x14ac:dyDescent="0.2">
      <c r="A523">
        <v>213</v>
      </c>
      <c r="B523" s="5">
        <v>45131</v>
      </c>
      <c r="C523" s="5" t="str">
        <f>TEXT(Table2[[#This Row],[Date]], "MMM")</f>
        <v>Jul</v>
      </c>
      <c r="D523" s="8">
        <f>MONTH(Table2[[#This Row],[Date]])</f>
        <v>7</v>
      </c>
      <c r="E523" s="8">
        <f>YEAR(Table2[[#This Row],[Date]])</f>
        <v>2023</v>
      </c>
      <c r="F523" s="7" t="s">
        <v>226</v>
      </c>
      <c r="G523" s="7" t="s">
        <v>10</v>
      </c>
      <c r="H523" s="8">
        <v>27</v>
      </c>
      <c r="I523" s="8" t="str">
        <f>IF(Table2[[#This Row],[Age]] &lt; 19, "Teenagers", IF(Table2[[#This Row],[Age]] &lt;= 34, "Young Adults", IF(Table2[[#This Row],[Age]] &lt;= 45, "Adults", IF(Table2[[#This Row],[Age]] &lt;= 55, "Seniors", "Elderly")) ))</f>
        <v>Young Adults</v>
      </c>
      <c r="J523" s="7" t="s">
        <v>11</v>
      </c>
      <c r="K523" s="8">
        <v>3</v>
      </c>
      <c r="L523" s="8" t="str">
        <f>IF(Table2[[#This Row],[Quantity]]=1, "Single Order", IF(Table2[[#This Row],[Quantity]]=2, "Small Order", IF(Table2[[#This Row],[Quantity]]=3, "Medium Order", "Bulk Order")))</f>
        <v>Medium Order</v>
      </c>
      <c r="M523" s="10">
        <v>500</v>
      </c>
      <c r="N523" s="10">
        <v>1500</v>
      </c>
    </row>
    <row r="524" spans="1:14" x14ac:dyDescent="0.2">
      <c r="A524">
        <v>216</v>
      </c>
      <c r="B524" s="5">
        <v>45118</v>
      </c>
      <c r="C524" s="5" t="str">
        <f>TEXT(Table2[[#This Row],[Date]], "MMM")</f>
        <v>Jul</v>
      </c>
      <c r="D524" s="8">
        <f>MONTH(Table2[[#This Row],[Date]])</f>
        <v>7</v>
      </c>
      <c r="E524" s="8">
        <f>YEAR(Table2[[#This Row],[Date]])</f>
        <v>2023</v>
      </c>
      <c r="F524" s="7" t="s">
        <v>229</v>
      </c>
      <c r="G524" s="7" t="s">
        <v>10</v>
      </c>
      <c r="H524" s="8">
        <v>62</v>
      </c>
      <c r="I524" s="8" t="str">
        <f>IF(Table2[[#This Row],[Age]] &lt; 19, "Teenagers", IF(Table2[[#This Row],[Age]] &lt;= 34, "Young Adults", IF(Table2[[#This Row],[Age]] &lt;= 45, "Adults", IF(Table2[[#This Row],[Age]] &lt;= 55, "Seniors", "Elderly")) ))</f>
        <v>Elderly</v>
      </c>
      <c r="J524" s="7" t="s">
        <v>16</v>
      </c>
      <c r="K524" s="8">
        <v>2</v>
      </c>
      <c r="L524" s="8" t="str">
        <f>IF(Table2[[#This Row],[Quantity]]=1, "Single Order", IF(Table2[[#This Row],[Quantity]]=2, "Small Order", IF(Table2[[#This Row],[Quantity]]=3, "Medium Order", "Bulk Order")))</f>
        <v>Small Order</v>
      </c>
      <c r="M524" s="10">
        <v>50</v>
      </c>
      <c r="N524" s="10">
        <v>100</v>
      </c>
    </row>
    <row r="525" spans="1:14" x14ac:dyDescent="0.2">
      <c r="A525">
        <v>254</v>
      </c>
      <c r="B525" s="5">
        <v>45135</v>
      </c>
      <c r="C525" s="5" t="str">
        <f>TEXT(Table2[[#This Row],[Date]], "MMM")</f>
        <v>Jul</v>
      </c>
      <c r="D525" s="8">
        <f>MONTH(Table2[[#This Row],[Date]])</f>
        <v>7</v>
      </c>
      <c r="E525" s="8">
        <f>YEAR(Table2[[#This Row],[Date]])</f>
        <v>2023</v>
      </c>
      <c r="F525" s="7" t="s">
        <v>267</v>
      </c>
      <c r="G525" s="7" t="s">
        <v>10</v>
      </c>
      <c r="H525" s="8">
        <v>41</v>
      </c>
      <c r="I525" s="8" t="str">
        <f>IF(Table2[[#This Row],[Age]] &lt; 19, "Teenagers", IF(Table2[[#This Row],[Age]] &lt;= 34, "Young Adults", IF(Table2[[#This Row],[Age]] &lt;= 45, "Adults", IF(Table2[[#This Row],[Age]] &lt;= 55, "Seniors", "Elderly")) ))</f>
        <v>Adults</v>
      </c>
      <c r="J525" s="7" t="s">
        <v>16</v>
      </c>
      <c r="K525" s="8">
        <v>1</v>
      </c>
      <c r="L525" s="8" t="str">
        <f>IF(Table2[[#This Row],[Quantity]]=1, "Single Order", IF(Table2[[#This Row],[Quantity]]=2, "Small Order", IF(Table2[[#This Row],[Quantity]]=3, "Medium Order", "Bulk Order")))</f>
        <v>Single Order</v>
      </c>
      <c r="M525" s="10">
        <v>500</v>
      </c>
      <c r="N525" s="10">
        <v>500</v>
      </c>
    </row>
    <row r="526" spans="1:14" x14ac:dyDescent="0.2">
      <c r="A526">
        <v>260</v>
      </c>
      <c r="B526" s="5">
        <v>45108</v>
      </c>
      <c r="C526" s="5" t="str">
        <f>TEXT(Table2[[#This Row],[Date]], "MMM")</f>
        <v>Jul</v>
      </c>
      <c r="D526" s="8">
        <f>MONTH(Table2[[#This Row],[Date]])</f>
        <v>7</v>
      </c>
      <c r="E526" s="8">
        <f>YEAR(Table2[[#This Row],[Date]])</f>
        <v>2023</v>
      </c>
      <c r="F526" s="7" t="s">
        <v>273</v>
      </c>
      <c r="G526" s="7" t="s">
        <v>10</v>
      </c>
      <c r="H526" s="8">
        <v>28</v>
      </c>
      <c r="I526" s="8" t="str">
        <f>IF(Table2[[#This Row],[Age]] &lt; 19, "Teenagers", IF(Table2[[#This Row],[Age]] &lt;= 34, "Young Adults", IF(Table2[[#This Row],[Age]] &lt;= 45, "Adults", IF(Table2[[#This Row],[Age]] &lt;= 55, "Seniors", "Elderly")) ))</f>
        <v>Young Adults</v>
      </c>
      <c r="J526" s="7" t="s">
        <v>11</v>
      </c>
      <c r="K526" s="8">
        <v>2</v>
      </c>
      <c r="L526" s="8" t="str">
        <f>IF(Table2[[#This Row],[Quantity]]=1, "Single Order", IF(Table2[[#This Row],[Quantity]]=2, "Small Order", IF(Table2[[#This Row],[Quantity]]=3, "Medium Order", "Bulk Order")))</f>
        <v>Small Order</v>
      </c>
      <c r="M526" s="10">
        <v>30</v>
      </c>
      <c r="N526" s="10">
        <v>60</v>
      </c>
    </row>
    <row r="527" spans="1:14" x14ac:dyDescent="0.2">
      <c r="A527">
        <v>262</v>
      </c>
      <c r="B527" s="5">
        <v>45137</v>
      </c>
      <c r="C527" s="5" t="str">
        <f>TEXT(Table2[[#This Row],[Date]], "MMM")</f>
        <v>Jul</v>
      </c>
      <c r="D527" s="8">
        <f>MONTH(Table2[[#This Row],[Date]])</f>
        <v>7</v>
      </c>
      <c r="E527" s="8">
        <f>YEAR(Table2[[#This Row],[Date]])</f>
        <v>2023</v>
      </c>
      <c r="F527" s="7" t="s">
        <v>275</v>
      </c>
      <c r="G527" s="7" t="s">
        <v>13</v>
      </c>
      <c r="H527" s="8">
        <v>32</v>
      </c>
      <c r="I527" s="8" t="str">
        <f>IF(Table2[[#This Row],[Age]] &lt; 19, "Teenagers", IF(Table2[[#This Row],[Age]] &lt;= 34, "Young Adults", IF(Table2[[#This Row],[Age]] &lt;= 45, "Adults", IF(Table2[[#This Row],[Age]] &lt;= 55, "Seniors", "Elderly")) ))</f>
        <v>Young Adults</v>
      </c>
      <c r="J527" s="7" t="s">
        <v>11</v>
      </c>
      <c r="K527" s="8">
        <v>4</v>
      </c>
      <c r="L527" s="8" t="str">
        <f>IF(Table2[[#This Row],[Quantity]]=1, "Single Order", IF(Table2[[#This Row],[Quantity]]=2, "Small Order", IF(Table2[[#This Row],[Quantity]]=3, "Medium Order", "Bulk Order")))</f>
        <v>Bulk Order</v>
      </c>
      <c r="M527" s="10">
        <v>30</v>
      </c>
      <c r="N527" s="10">
        <v>120</v>
      </c>
    </row>
    <row r="528" spans="1:14" x14ac:dyDescent="0.2">
      <c r="A528">
        <v>270</v>
      </c>
      <c r="B528" s="5">
        <v>45133</v>
      </c>
      <c r="C528" s="5" t="str">
        <f>TEXT(Table2[[#This Row],[Date]], "MMM")</f>
        <v>Jul</v>
      </c>
      <c r="D528" s="8">
        <f>MONTH(Table2[[#This Row],[Date]])</f>
        <v>7</v>
      </c>
      <c r="E528" s="8">
        <f>YEAR(Table2[[#This Row],[Date]])</f>
        <v>2023</v>
      </c>
      <c r="F528" s="7" t="s">
        <v>283</v>
      </c>
      <c r="G528" s="7" t="s">
        <v>10</v>
      </c>
      <c r="H528" s="8">
        <v>43</v>
      </c>
      <c r="I528" s="8" t="str">
        <f>IF(Table2[[#This Row],[Age]] &lt; 19, "Teenagers", IF(Table2[[#This Row],[Age]] &lt;= 34, "Young Adults", IF(Table2[[#This Row],[Age]] &lt;= 45, "Adults", IF(Table2[[#This Row],[Age]] &lt;= 55, "Seniors", "Elderly")) ))</f>
        <v>Adults</v>
      </c>
      <c r="J528" s="7" t="s">
        <v>16</v>
      </c>
      <c r="K528" s="8">
        <v>1</v>
      </c>
      <c r="L528" s="8" t="str">
        <f>IF(Table2[[#This Row],[Quantity]]=1, "Single Order", IF(Table2[[#This Row],[Quantity]]=2, "Small Order", IF(Table2[[#This Row],[Quantity]]=3, "Medium Order", "Bulk Order")))</f>
        <v>Single Order</v>
      </c>
      <c r="M528" s="10">
        <v>300</v>
      </c>
      <c r="N528" s="10">
        <v>300</v>
      </c>
    </row>
    <row r="529" spans="1:14" x14ac:dyDescent="0.2">
      <c r="A529">
        <v>295</v>
      </c>
      <c r="B529" s="5">
        <v>45135</v>
      </c>
      <c r="C529" s="5" t="str">
        <f>TEXT(Table2[[#This Row],[Date]], "MMM")</f>
        <v>Jul</v>
      </c>
      <c r="D529" s="8">
        <f>MONTH(Table2[[#This Row],[Date]])</f>
        <v>7</v>
      </c>
      <c r="E529" s="8">
        <f>YEAR(Table2[[#This Row],[Date]])</f>
        <v>2023</v>
      </c>
      <c r="F529" s="7" t="s">
        <v>308</v>
      </c>
      <c r="G529" s="7" t="s">
        <v>13</v>
      </c>
      <c r="H529" s="8">
        <v>27</v>
      </c>
      <c r="I529" s="8" t="str">
        <f>IF(Table2[[#This Row],[Age]] &lt; 19, "Teenagers", IF(Table2[[#This Row],[Age]] &lt;= 34, "Young Adults", IF(Table2[[#This Row],[Age]] &lt;= 45, "Adults", IF(Table2[[#This Row],[Age]] &lt;= 55, "Seniors", "Elderly")) ))</f>
        <v>Young Adults</v>
      </c>
      <c r="J529" s="7" t="s">
        <v>11</v>
      </c>
      <c r="K529" s="8">
        <v>3</v>
      </c>
      <c r="L529" s="8" t="str">
        <f>IF(Table2[[#This Row],[Quantity]]=1, "Single Order", IF(Table2[[#This Row],[Quantity]]=2, "Small Order", IF(Table2[[#This Row],[Quantity]]=3, "Medium Order", "Bulk Order")))</f>
        <v>Medium Order</v>
      </c>
      <c r="M529" s="10">
        <v>300</v>
      </c>
      <c r="N529" s="10">
        <v>900</v>
      </c>
    </row>
    <row r="530" spans="1:14" x14ac:dyDescent="0.2">
      <c r="A530">
        <v>299</v>
      </c>
      <c r="B530" s="5">
        <v>45132</v>
      </c>
      <c r="C530" s="5" t="str">
        <f>TEXT(Table2[[#This Row],[Date]], "MMM")</f>
        <v>Jul</v>
      </c>
      <c r="D530" s="8">
        <f>MONTH(Table2[[#This Row],[Date]])</f>
        <v>7</v>
      </c>
      <c r="E530" s="8">
        <f>YEAR(Table2[[#This Row],[Date]])</f>
        <v>2023</v>
      </c>
      <c r="F530" s="7" t="s">
        <v>312</v>
      </c>
      <c r="G530" s="7" t="s">
        <v>10</v>
      </c>
      <c r="H530" s="8">
        <v>61</v>
      </c>
      <c r="I530" s="8" t="str">
        <f>IF(Table2[[#This Row],[Age]] &lt; 19, "Teenagers", IF(Table2[[#This Row],[Age]] &lt;= 34, "Young Adults", IF(Table2[[#This Row],[Age]] &lt;= 45, "Adults", IF(Table2[[#This Row],[Age]] &lt;= 55, "Seniors", "Elderly")) ))</f>
        <v>Elderly</v>
      </c>
      <c r="J530" s="7" t="s">
        <v>16</v>
      </c>
      <c r="K530" s="8">
        <v>2</v>
      </c>
      <c r="L530" s="8" t="str">
        <f>IF(Table2[[#This Row],[Quantity]]=1, "Single Order", IF(Table2[[#This Row],[Quantity]]=2, "Small Order", IF(Table2[[#This Row],[Quantity]]=3, "Medium Order", "Bulk Order")))</f>
        <v>Small Order</v>
      </c>
      <c r="M530" s="10">
        <v>500</v>
      </c>
      <c r="N530" s="10">
        <v>1000</v>
      </c>
    </row>
    <row r="531" spans="1:14" x14ac:dyDescent="0.2">
      <c r="A531">
        <v>302</v>
      </c>
      <c r="B531" s="5">
        <v>45121</v>
      </c>
      <c r="C531" s="5" t="str">
        <f>TEXT(Table2[[#This Row],[Date]], "MMM")</f>
        <v>Jul</v>
      </c>
      <c r="D531" s="8">
        <f>MONTH(Table2[[#This Row],[Date]])</f>
        <v>7</v>
      </c>
      <c r="E531" s="8">
        <f>YEAR(Table2[[#This Row],[Date]])</f>
        <v>2023</v>
      </c>
      <c r="F531" s="7" t="s">
        <v>315</v>
      </c>
      <c r="G531" s="7" t="s">
        <v>10</v>
      </c>
      <c r="H531" s="8">
        <v>57</v>
      </c>
      <c r="I531" s="8" t="str">
        <f>IF(Table2[[#This Row],[Age]] &lt; 19, "Teenagers", IF(Table2[[#This Row],[Age]] &lt;= 34, "Young Adults", IF(Table2[[#This Row],[Age]] &lt;= 45, "Adults", IF(Table2[[#This Row],[Age]] &lt;= 55, "Seniors", "Elderly")) ))</f>
        <v>Elderly</v>
      </c>
      <c r="J531" s="7" t="s">
        <v>11</v>
      </c>
      <c r="K531" s="8">
        <v>2</v>
      </c>
      <c r="L531" s="8" t="str">
        <f>IF(Table2[[#This Row],[Quantity]]=1, "Single Order", IF(Table2[[#This Row],[Quantity]]=2, "Small Order", IF(Table2[[#This Row],[Quantity]]=3, "Medium Order", "Bulk Order")))</f>
        <v>Small Order</v>
      </c>
      <c r="M531" s="10">
        <v>300</v>
      </c>
      <c r="N531" s="10">
        <v>600</v>
      </c>
    </row>
    <row r="532" spans="1:14" x14ac:dyDescent="0.2">
      <c r="A532">
        <v>304</v>
      </c>
      <c r="B532" s="5">
        <v>45126</v>
      </c>
      <c r="C532" s="5" t="str">
        <f>TEXT(Table2[[#This Row],[Date]], "MMM")</f>
        <v>Jul</v>
      </c>
      <c r="D532" s="8">
        <f>MONTH(Table2[[#This Row],[Date]])</f>
        <v>7</v>
      </c>
      <c r="E532" s="8">
        <f>YEAR(Table2[[#This Row],[Date]])</f>
        <v>2023</v>
      </c>
      <c r="F532" s="7" t="s">
        <v>317</v>
      </c>
      <c r="G532" s="7" t="s">
        <v>13</v>
      </c>
      <c r="H532" s="8">
        <v>37</v>
      </c>
      <c r="I532" s="8" t="str">
        <f>IF(Table2[[#This Row],[Age]] &lt; 19, "Teenagers", IF(Table2[[#This Row],[Age]] &lt;= 34, "Young Adults", IF(Table2[[#This Row],[Age]] &lt;= 45, "Adults", IF(Table2[[#This Row],[Age]] &lt;= 55, "Seniors", "Elderly")) ))</f>
        <v>Adults</v>
      </c>
      <c r="J532" s="7" t="s">
        <v>16</v>
      </c>
      <c r="K532" s="8">
        <v>2</v>
      </c>
      <c r="L532" s="8" t="str">
        <f>IF(Table2[[#This Row],[Quantity]]=1, "Single Order", IF(Table2[[#This Row],[Quantity]]=2, "Small Order", IF(Table2[[#This Row],[Quantity]]=3, "Medium Order", "Bulk Order")))</f>
        <v>Small Order</v>
      </c>
      <c r="M532" s="10">
        <v>30</v>
      </c>
      <c r="N532" s="10">
        <v>60</v>
      </c>
    </row>
    <row r="533" spans="1:14" x14ac:dyDescent="0.2">
      <c r="A533">
        <v>338</v>
      </c>
      <c r="B533" s="5">
        <v>45133</v>
      </c>
      <c r="C533" s="5" t="str">
        <f>TEXT(Table2[[#This Row],[Date]], "MMM")</f>
        <v>Jul</v>
      </c>
      <c r="D533" s="8">
        <f>MONTH(Table2[[#This Row],[Date]])</f>
        <v>7</v>
      </c>
      <c r="E533" s="8">
        <f>YEAR(Table2[[#This Row],[Date]])</f>
        <v>2023</v>
      </c>
      <c r="F533" s="7" t="s">
        <v>351</v>
      </c>
      <c r="G533" s="7" t="s">
        <v>10</v>
      </c>
      <c r="H533" s="8">
        <v>54</v>
      </c>
      <c r="I533" s="8" t="str">
        <f>IF(Table2[[#This Row],[Age]] &lt; 19, "Teenagers", IF(Table2[[#This Row],[Age]] &lt;= 34, "Young Adults", IF(Table2[[#This Row],[Age]] &lt;= 45, "Adults", IF(Table2[[#This Row],[Age]] &lt;= 55, "Seniors", "Elderly")) ))</f>
        <v>Seniors</v>
      </c>
      <c r="J533" s="7" t="s">
        <v>11</v>
      </c>
      <c r="K533" s="8">
        <v>2</v>
      </c>
      <c r="L533" s="8" t="str">
        <f>IF(Table2[[#This Row],[Quantity]]=1, "Single Order", IF(Table2[[#This Row],[Quantity]]=2, "Small Order", IF(Table2[[#This Row],[Quantity]]=3, "Medium Order", "Bulk Order")))</f>
        <v>Small Order</v>
      </c>
      <c r="M533" s="10">
        <v>50</v>
      </c>
      <c r="N533" s="10">
        <v>100</v>
      </c>
    </row>
    <row r="534" spans="1:14" x14ac:dyDescent="0.2">
      <c r="A534">
        <v>359</v>
      </c>
      <c r="B534" s="5">
        <v>45129</v>
      </c>
      <c r="C534" s="5" t="str">
        <f>TEXT(Table2[[#This Row],[Date]], "MMM")</f>
        <v>Jul</v>
      </c>
      <c r="D534" s="8">
        <f>MONTH(Table2[[#This Row],[Date]])</f>
        <v>7</v>
      </c>
      <c r="E534" s="8">
        <f>YEAR(Table2[[#This Row],[Date]])</f>
        <v>2023</v>
      </c>
      <c r="F534" s="7" t="s">
        <v>372</v>
      </c>
      <c r="G534" s="7" t="s">
        <v>10</v>
      </c>
      <c r="H534" s="8">
        <v>50</v>
      </c>
      <c r="I534" s="8" t="str">
        <f>IF(Table2[[#This Row],[Age]] &lt; 19, "Teenagers", IF(Table2[[#This Row],[Age]] &lt;= 34, "Young Adults", IF(Table2[[#This Row],[Age]] &lt;= 45, "Adults", IF(Table2[[#This Row],[Age]] &lt;= 55, "Seniors", "Elderly")) ))</f>
        <v>Seniors</v>
      </c>
      <c r="J534" s="7" t="s">
        <v>14</v>
      </c>
      <c r="K534" s="8">
        <v>1</v>
      </c>
      <c r="L534" s="8" t="str">
        <f>IF(Table2[[#This Row],[Quantity]]=1, "Single Order", IF(Table2[[#This Row],[Quantity]]=2, "Small Order", IF(Table2[[#This Row],[Quantity]]=3, "Medium Order", "Bulk Order")))</f>
        <v>Single Order</v>
      </c>
      <c r="M534" s="10">
        <v>50</v>
      </c>
      <c r="N534" s="10">
        <v>50</v>
      </c>
    </row>
    <row r="535" spans="1:14" x14ac:dyDescent="0.2">
      <c r="A535">
        <v>381</v>
      </c>
      <c r="B535" s="5">
        <v>45116</v>
      </c>
      <c r="C535" s="5" t="str">
        <f>TEXT(Table2[[#This Row],[Date]], "MMM")</f>
        <v>Jul</v>
      </c>
      <c r="D535" s="8">
        <f>MONTH(Table2[[#This Row],[Date]])</f>
        <v>7</v>
      </c>
      <c r="E535" s="8">
        <f>YEAR(Table2[[#This Row],[Date]])</f>
        <v>2023</v>
      </c>
      <c r="F535" s="7" t="s">
        <v>394</v>
      </c>
      <c r="G535" s="7" t="s">
        <v>13</v>
      </c>
      <c r="H535" s="8">
        <v>44</v>
      </c>
      <c r="I535" s="8" t="str">
        <f>IF(Table2[[#This Row],[Age]] &lt; 19, "Teenagers", IF(Table2[[#This Row],[Age]] &lt;= 34, "Young Adults", IF(Table2[[#This Row],[Age]] &lt;= 45, "Adults", IF(Table2[[#This Row],[Age]] &lt;= 55, "Seniors", "Elderly")) ))</f>
        <v>Adults</v>
      </c>
      <c r="J535" s="7" t="s">
        <v>14</v>
      </c>
      <c r="K535" s="8">
        <v>4</v>
      </c>
      <c r="L535" s="8" t="str">
        <f>IF(Table2[[#This Row],[Quantity]]=1, "Single Order", IF(Table2[[#This Row],[Quantity]]=2, "Small Order", IF(Table2[[#This Row],[Quantity]]=3, "Medium Order", "Bulk Order")))</f>
        <v>Bulk Order</v>
      </c>
      <c r="M535" s="10">
        <v>25</v>
      </c>
      <c r="N535" s="10">
        <v>100</v>
      </c>
    </row>
    <row r="536" spans="1:14" x14ac:dyDescent="0.2">
      <c r="A536">
        <v>439</v>
      </c>
      <c r="B536" s="5">
        <v>45116</v>
      </c>
      <c r="C536" s="5" t="str">
        <f>TEXT(Table2[[#This Row],[Date]], "MMM")</f>
        <v>Jul</v>
      </c>
      <c r="D536" s="8">
        <f>MONTH(Table2[[#This Row],[Date]])</f>
        <v>7</v>
      </c>
      <c r="E536" s="8">
        <f>YEAR(Table2[[#This Row],[Date]])</f>
        <v>2023</v>
      </c>
      <c r="F536" s="7" t="s">
        <v>452</v>
      </c>
      <c r="G536" s="7" t="s">
        <v>10</v>
      </c>
      <c r="H536" s="8">
        <v>50</v>
      </c>
      <c r="I536" s="8" t="str">
        <f>IF(Table2[[#This Row],[Age]] &lt; 19, "Teenagers", IF(Table2[[#This Row],[Age]] &lt;= 34, "Young Adults", IF(Table2[[#This Row],[Age]] &lt;= 45, "Adults", IF(Table2[[#This Row],[Age]] &lt;= 55, "Seniors", "Elderly")) ))</f>
        <v>Seniors</v>
      </c>
      <c r="J536" s="7" t="s">
        <v>14</v>
      </c>
      <c r="K536" s="8">
        <v>3</v>
      </c>
      <c r="L536" s="8" t="str">
        <f>IF(Table2[[#This Row],[Quantity]]=1, "Single Order", IF(Table2[[#This Row],[Quantity]]=2, "Small Order", IF(Table2[[#This Row],[Quantity]]=3, "Medium Order", "Bulk Order")))</f>
        <v>Medium Order</v>
      </c>
      <c r="M536" s="10">
        <v>25</v>
      </c>
      <c r="N536" s="10">
        <v>75</v>
      </c>
    </row>
    <row r="537" spans="1:14" x14ac:dyDescent="0.2">
      <c r="A537">
        <v>447</v>
      </c>
      <c r="B537" s="5">
        <v>45113</v>
      </c>
      <c r="C537" s="5" t="str">
        <f>TEXT(Table2[[#This Row],[Date]], "MMM")</f>
        <v>Jul</v>
      </c>
      <c r="D537" s="8">
        <f>MONTH(Table2[[#This Row],[Date]])</f>
        <v>7</v>
      </c>
      <c r="E537" s="8">
        <f>YEAR(Table2[[#This Row],[Date]])</f>
        <v>2023</v>
      </c>
      <c r="F537" s="7" t="s">
        <v>460</v>
      </c>
      <c r="G537" s="7" t="s">
        <v>10</v>
      </c>
      <c r="H537" s="8">
        <v>22</v>
      </c>
      <c r="I537" s="8" t="str">
        <f>IF(Table2[[#This Row],[Age]] &lt; 19, "Teenagers", IF(Table2[[#This Row],[Age]] &lt;= 34, "Young Adults", IF(Table2[[#This Row],[Age]] &lt;= 45, "Adults", IF(Table2[[#This Row],[Age]] &lt;= 55, "Seniors", "Elderly")) ))</f>
        <v>Young Adults</v>
      </c>
      <c r="J537" s="7" t="s">
        <v>11</v>
      </c>
      <c r="K537" s="8">
        <v>4</v>
      </c>
      <c r="L537" s="8" t="str">
        <f>IF(Table2[[#This Row],[Quantity]]=1, "Single Order", IF(Table2[[#This Row],[Quantity]]=2, "Small Order", IF(Table2[[#This Row],[Quantity]]=3, "Medium Order", "Bulk Order")))</f>
        <v>Bulk Order</v>
      </c>
      <c r="M537" s="10">
        <v>500</v>
      </c>
      <c r="N537" s="10">
        <v>2000</v>
      </c>
    </row>
    <row r="538" spans="1:14" x14ac:dyDescent="0.2">
      <c r="A538">
        <v>449</v>
      </c>
      <c r="B538" s="5">
        <v>45110</v>
      </c>
      <c r="C538" s="5" t="str">
        <f>TEXT(Table2[[#This Row],[Date]], "MMM")</f>
        <v>Jul</v>
      </c>
      <c r="D538" s="8">
        <f>MONTH(Table2[[#This Row],[Date]])</f>
        <v>7</v>
      </c>
      <c r="E538" s="8">
        <f>YEAR(Table2[[#This Row],[Date]])</f>
        <v>2023</v>
      </c>
      <c r="F538" s="7" t="s">
        <v>462</v>
      </c>
      <c r="G538" s="7" t="s">
        <v>10</v>
      </c>
      <c r="H538" s="8">
        <v>25</v>
      </c>
      <c r="I538" s="8" t="str">
        <f>IF(Table2[[#This Row],[Age]] &lt; 19, "Teenagers", IF(Table2[[#This Row],[Age]] &lt;= 34, "Young Adults", IF(Table2[[#This Row],[Age]] &lt;= 45, "Adults", IF(Table2[[#This Row],[Age]] &lt;= 55, "Seniors", "Elderly")) ))</f>
        <v>Young Adults</v>
      </c>
      <c r="J538" s="7" t="s">
        <v>16</v>
      </c>
      <c r="K538" s="8">
        <v>4</v>
      </c>
      <c r="L538" s="8" t="str">
        <f>IF(Table2[[#This Row],[Quantity]]=1, "Single Order", IF(Table2[[#This Row],[Quantity]]=2, "Small Order", IF(Table2[[#This Row],[Quantity]]=3, "Medium Order", "Bulk Order")))</f>
        <v>Bulk Order</v>
      </c>
      <c r="M538" s="10">
        <v>50</v>
      </c>
      <c r="N538" s="10">
        <v>200</v>
      </c>
    </row>
    <row r="539" spans="1:14" x14ac:dyDescent="0.2">
      <c r="A539">
        <v>455</v>
      </c>
      <c r="B539" s="5">
        <v>45108</v>
      </c>
      <c r="C539" s="5" t="str">
        <f>TEXT(Table2[[#This Row],[Date]], "MMM")</f>
        <v>Jul</v>
      </c>
      <c r="D539" s="8">
        <f>MONTH(Table2[[#This Row],[Date]])</f>
        <v>7</v>
      </c>
      <c r="E539" s="8">
        <f>YEAR(Table2[[#This Row],[Date]])</f>
        <v>2023</v>
      </c>
      <c r="F539" s="7" t="s">
        <v>468</v>
      </c>
      <c r="G539" s="7" t="s">
        <v>10</v>
      </c>
      <c r="H539" s="8">
        <v>31</v>
      </c>
      <c r="I539" s="8" t="str">
        <f>IF(Table2[[#This Row],[Age]] &lt; 19, "Teenagers", IF(Table2[[#This Row],[Age]] &lt;= 34, "Young Adults", IF(Table2[[#This Row],[Age]] &lt;= 45, "Adults", IF(Table2[[#This Row],[Age]] &lt;= 55, "Seniors", "Elderly")) ))</f>
        <v>Young Adults</v>
      </c>
      <c r="J539" s="7" t="s">
        <v>16</v>
      </c>
      <c r="K539" s="8">
        <v>4</v>
      </c>
      <c r="L539" s="8" t="str">
        <f>IF(Table2[[#This Row],[Quantity]]=1, "Single Order", IF(Table2[[#This Row],[Quantity]]=2, "Small Order", IF(Table2[[#This Row],[Quantity]]=3, "Medium Order", "Bulk Order")))</f>
        <v>Bulk Order</v>
      </c>
      <c r="M539" s="10">
        <v>25</v>
      </c>
      <c r="N539" s="10">
        <v>100</v>
      </c>
    </row>
    <row r="540" spans="1:14" x14ac:dyDescent="0.2">
      <c r="A540">
        <v>457</v>
      </c>
      <c r="B540" s="5">
        <v>45135</v>
      </c>
      <c r="C540" s="5" t="str">
        <f>TEXT(Table2[[#This Row],[Date]], "MMM")</f>
        <v>Jul</v>
      </c>
      <c r="D540" s="8">
        <f>MONTH(Table2[[#This Row],[Date]])</f>
        <v>7</v>
      </c>
      <c r="E540" s="8">
        <f>YEAR(Table2[[#This Row],[Date]])</f>
        <v>2023</v>
      </c>
      <c r="F540" s="7" t="s">
        <v>470</v>
      </c>
      <c r="G540" s="7" t="s">
        <v>13</v>
      </c>
      <c r="H540" s="8">
        <v>58</v>
      </c>
      <c r="I540" s="8" t="str">
        <f>IF(Table2[[#This Row],[Age]] &lt; 19, "Teenagers", IF(Table2[[#This Row],[Age]] &lt;= 34, "Young Adults", IF(Table2[[#This Row],[Age]] &lt;= 45, "Adults", IF(Table2[[#This Row],[Age]] &lt;= 55, "Seniors", "Elderly")) ))</f>
        <v>Elderly</v>
      </c>
      <c r="J540" s="7" t="s">
        <v>11</v>
      </c>
      <c r="K540" s="8">
        <v>3</v>
      </c>
      <c r="L540" s="8" t="str">
        <f>IF(Table2[[#This Row],[Quantity]]=1, "Single Order", IF(Table2[[#This Row],[Quantity]]=2, "Small Order", IF(Table2[[#This Row],[Quantity]]=3, "Medium Order", "Bulk Order")))</f>
        <v>Medium Order</v>
      </c>
      <c r="M540" s="10">
        <v>300</v>
      </c>
      <c r="N540" s="10">
        <v>900</v>
      </c>
    </row>
    <row r="541" spans="1:14" x14ac:dyDescent="0.2">
      <c r="A541">
        <v>463</v>
      </c>
      <c r="B541" s="5">
        <v>45138</v>
      </c>
      <c r="C541" s="5" t="str">
        <f>TEXT(Table2[[#This Row],[Date]], "MMM")</f>
        <v>Jul</v>
      </c>
      <c r="D541" s="8">
        <f>MONTH(Table2[[#This Row],[Date]])</f>
        <v>7</v>
      </c>
      <c r="E541" s="8">
        <f>YEAR(Table2[[#This Row],[Date]])</f>
        <v>2023</v>
      </c>
      <c r="F541" s="7" t="s">
        <v>476</v>
      </c>
      <c r="G541" s="7" t="s">
        <v>13</v>
      </c>
      <c r="H541" s="8">
        <v>54</v>
      </c>
      <c r="I541" s="8" t="str">
        <f>IF(Table2[[#This Row],[Age]] &lt; 19, "Teenagers", IF(Table2[[#This Row],[Age]] &lt;= 34, "Young Adults", IF(Table2[[#This Row],[Age]] &lt;= 45, "Adults", IF(Table2[[#This Row],[Age]] &lt;= 55, "Seniors", "Elderly")) ))</f>
        <v>Seniors</v>
      </c>
      <c r="J541" s="7" t="s">
        <v>11</v>
      </c>
      <c r="K541" s="8">
        <v>3</v>
      </c>
      <c r="L541" s="8" t="str">
        <f>IF(Table2[[#This Row],[Quantity]]=1, "Single Order", IF(Table2[[#This Row],[Quantity]]=2, "Small Order", IF(Table2[[#This Row],[Quantity]]=3, "Medium Order", "Bulk Order")))</f>
        <v>Medium Order</v>
      </c>
      <c r="M541" s="10">
        <v>500</v>
      </c>
      <c r="N541" s="10">
        <v>1500</v>
      </c>
    </row>
    <row r="542" spans="1:14" x14ac:dyDescent="0.2">
      <c r="A542">
        <v>467</v>
      </c>
      <c r="B542" s="5">
        <v>45137</v>
      </c>
      <c r="C542" s="5" t="str">
        <f>TEXT(Table2[[#This Row],[Date]], "MMM")</f>
        <v>Jul</v>
      </c>
      <c r="D542" s="8">
        <f>MONTH(Table2[[#This Row],[Date]])</f>
        <v>7</v>
      </c>
      <c r="E542" s="8">
        <f>YEAR(Table2[[#This Row],[Date]])</f>
        <v>2023</v>
      </c>
      <c r="F542" s="7" t="s">
        <v>480</v>
      </c>
      <c r="G542" s="7" t="s">
        <v>13</v>
      </c>
      <c r="H542" s="8">
        <v>53</v>
      </c>
      <c r="I542" s="8" t="str">
        <f>IF(Table2[[#This Row],[Age]] &lt; 19, "Teenagers", IF(Table2[[#This Row],[Age]] &lt;= 34, "Young Adults", IF(Table2[[#This Row],[Age]] &lt;= 45, "Adults", IF(Table2[[#This Row],[Age]] &lt;= 55, "Seniors", "Elderly")) ))</f>
        <v>Seniors</v>
      </c>
      <c r="J542" s="7" t="s">
        <v>16</v>
      </c>
      <c r="K542" s="8">
        <v>3</v>
      </c>
      <c r="L542" s="8" t="str">
        <f>IF(Table2[[#This Row],[Quantity]]=1, "Single Order", IF(Table2[[#This Row],[Quantity]]=2, "Small Order", IF(Table2[[#This Row],[Quantity]]=3, "Medium Order", "Bulk Order")))</f>
        <v>Medium Order</v>
      </c>
      <c r="M542" s="10">
        <v>50</v>
      </c>
      <c r="N542" s="10">
        <v>150</v>
      </c>
    </row>
    <row r="543" spans="1:14" x14ac:dyDescent="0.2">
      <c r="A543">
        <v>474</v>
      </c>
      <c r="B543" s="5">
        <v>45122</v>
      </c>
      <c r="C543" s="5" t="str">
        <f>TEXT(Table2[[#This Row],[Date]], "MMM")</f>
        <v>Jul</v>
      </c>
      <c r="D543" s="8">
        <f>MONTH(Table2[[#This Row],[Date]])</f>
        <v>7</v>
      </c>
      <c r="E543" s="8">
        <f>YEAR(Table2[[#This Row],[Date]])</f>
        <v>2023</v>
      </c>
      <c r="F543" s="7" t="s">
        <v>487</v>
      </c>
      <c r="G543" s="7" t="s">
        <v>13</v>
      </c>
      <c r="H543" s="8">
        <v>26</v>
      </c>
      <c r="I543" s="8" t="str">
        <f>IF(Table2[[#This Row],[Age]] &lt; 19, "Teenagers", IF(Table2[[#This Row],[Age]] &lt;= 34, "Young Adults", IF(Table2[[#This Row],[Age]] &lt;= 45, "Adults", IF(Table2[[#This Row],[Age]] &lt;= 55, "Seniors", "Elderly")) ))</f>
        <v>Young Adults</v>
      </c>
      <c r="J543" s="7" t="s">
        <v>14</v>
      </c>
      <c r="K543" s="8">
        <v>3</v>
      </c>
      <c r="L543" s="8" t="str">
        <f>IF(Table2[[#This Row],[Quantity]]=1, "Single Order", IF(Table2[[#This Row],[Quantity]]=2, "Small Order", IF(Table2[[#This Row],[Quantity]]=3, "Medium Order", "Bulk Order")))</f>
        <v>Medium Order</v>
      </c>
      <c r="M543" s="10">
        <v>500</v>
      </c>
      <c r="N543" s="10">
        <v>1500</v>
      </c>
    </row>
    <row r="544" spans="1:14" x14ac:dyDescent="0.2">
      <c r="A544">
        <v>487</v>
      </c>
      <c r="B544" s="5">
        <v>45131</v>
      </c>
      <c r="C544" s="5" t="str">
        <f>TEXT(Table2[[#This Row],[Date]], "MMM")</f>
        <v>Jul</v>
      </c>
      <c r="D544" s="8">
        <f>MONTH(Table2[[#This Row],[Date]])</f>
        <v>7</v>
      </c>
      <c r="E544" s="8">
        <f>YEAR(Table2[[#This Row],[Date]])</f>
        <v>2023</v>
      </c>
      <c r="F544" s="7" t="s">
        <v>500</v>
      </c>
      <c r="G544" s="7" t="s">
        <v>10</v>
      </c>
      <c r="H544" s="8">
        <v>44</v>
      </c>
      <c r="I544" s="8" t="str">
        <f>IF(Table2[[#This Row],[Age]] &lt; 19, "Teenagers", IF(Table2[[#This Row],[Age]] &lt;= 34, "Young Adults", IF(Table2[[#This Row],[Age]] &lt;= 45, "Adults", IF(Table2[[#This Row],[Age]] &lt;= 55, "Seniors", "Elderly")) ))</f>
        <v>Adults</v>
      </c>
      <c r="J544" s="7" t="s">
        <v>14</v>
      </c>
      <c r="K544" s="8">
        <v>4</v>
      </c>
      <c r="L544" s="8" t="str">
        <f>IF(Table2[[#This Row],[Quantity]]=1, "Single Order", IF(Table2[[#This Row],[Quantity]]=2, "Small Order", IF(Table2[[#This Row],[Quantity]]=3, "Medium Order", "Bulk Order")))</f>
        <v>Bulk Order</v>
      </c>
      <c r="M544" s="10">
        <v>500</v>
      </c>
      <c r="N544" s="10">
        <v>2000</v>
      </c>
    </row>
    <row r="545" spans="1:14" x14ac:dyDescent="0.2">
      <c r="A545">
        <v>495</v>
      </c>
      <c r="B545" s="5">
        <v>45131</v>
      </c>
      <c r="C545" s="5" t="str">
        <f>TEXT(Table2[[#This Row],[Date]], "MMM")</f>
        <v>Jul</v>
      </c>
      <c r="D545" s="8">
        <f>MONTH(Table2[[#This Row],[Date]])</f>
        <v>7</v>
      </c>
      <c r="E545" s="8">
        <f>YEAR(Table2[[#This Row],[Date]])</f>
        <v>2023</v>
      </c>
      <c r="F545" s="7" t="s">
        <v>508</v>
      </c>
      <c r="G545" s="7" t="s">
        <v>10</v>
      </c>
      <c r="H545" s="8">
        <v>24</v>
      </c>
      <c r="I545" s="8" t="str">
        <f>IF(Table2[[#This Row],[Age]] &lt; 19, "Teenagers", IF(Table2[[#This Row],[Age]] &lt;= 34, "Young Adults", IF(Table2[[#This Row],[Age]] &lt;= 45, "Adults", IF(Table2[[#This Row],[Age]] &lt;= 55, "Seniors", "Elderly")) ))</f>
        <v>Young Adults</v>
      </c>
      <c r="J545" s="7" t="s">
        <v>11</v>
      </c>
      <c r="K545" s="8">
        <v>2</v>
      </c>
      <c r="L545" s="8" t="str">
        <f>IF(Table2[[#This Row],[Quantity]]=1, "Single Order", IF(Table2[[#This Row],[Quantity]]=2, "Small Order", IF(Table2[[#This Row],[Quantity]]=3, "Medium Order", "Bulk Order")))</f>
        <v>Small Order</v>
      </c>
      <c r="M545" s="10">
        <v>30</v>
      </c>
      <c r="N545" s="10">
        <v>60</v>
      </c>
    </row>
    <row r="546" spans="1:14" x14ac:dyDescent="0.2">
      <c r="A546">
        <v>515</v>
      </c>
      <c r="B546" s="5">
        <v>45124</v>
      </c>
      <c r="C546" s="5" t="str">
        <f>TEXT(Table2[[#This Row],[Date]], "MMM")</f>
        <v>Jul</v>
      </c>
      <c r="D546" s="8">
        <f>MONTH(Table2[[#This Row],[Date]])</f>
        <v>7</v>
      </c>
      <c r="E546" s="8">
        <f>YEAR(Table2[[#This Row],[Date]])</f>
        <v>2023</v>
      </c>
      <c r="F546" s="7" t="s">
        <v>528</v>
      </c>
      <c r="G546" s="7" t="s">
        <v>13</v>
      </c>
      <c r="H546" s="8">
        <v>49</v>
      </c>
      <c r="I546" s="8" t="str">
        <f>IF(Table2[[#This Row],[Age]] &lt; 19, "Teenagers", IF(Table2[[#This Row],[Age]] &lt;= 34, "Young Adults", IF(Table2[[#This Row],[Age]] &lt;= 45, "Adults", IF(Table2[[#This Row],[Age]] &lt;= 55, "Seniors", "Elderly")) ))</f>
        <v>Seniors</v>
      </c>
      <c r="J546" s="7" t="s">
        <v>14</v>
      </c>
      <c r="K546" s="8">
        <v>3</v>
      </c>
      <c r="L546" s="8" t="str">
        <f>IF(Table2[[#This Row],[Quantity]]=1, "Single Order", IF(Table2[[#This Row],[Quantity]]=2, "Small Order", IF(Table2[[#This Row],[Quantity]]=3, "Medium Order", "Bulk Order")))</f>
        <v>Medium Order</v>
      </c>
      <c r="M546" s="10">
        <v>300</v>
      </c>
      <c r="N546" s="10">
        <v>900</v>
      </c>
    </row>
    <row r="547" spans="1:14" x14ac:dyDescent="0.2">
      <c r="A547">
        <v>528</v>
      </c>
      <c r="B547" s="5">
        <v>45113</v>
      </c>
      <c r="C547" s="5" t="str">
        <f>TEXT(Table2[[#This Row],[Date]], "MMM")</f>
        <v>Jul</v>
      </c>
      <c r="D547" s="8">
        <f>MONTH(Table2[[#This Row],[Date]])</f>
        <v>7</v>
      </c>
      <c r="E547" s="8">
        <f>YEAR(Table2[[#This Row],[Date]])</f>
        <v>2023</v>
      </c>
      <c r="F547" s="7" t="s">
        <v>541</v>
      </c>
      <c r="G547" s="7" t="s">
        <v>13</v>
      </c>
      <c r="H547" s="8">
        <v>36</v>
      </c>
      <c r="I547" s="8" t="str">
        <f>IF(Table2[[#This Row],[Age]] &lt; 19, "Teenagers", IF(Table2[[#This Row],[Age]] &lt;= 34, "Young Adults", IF(Table2[[#This Row],[Age]] &lt;= 45, "Adults", IF(Table2[[#This Row],[Age]] &lt;= 55, "Seniors", "Elderly")) ))</f>
        <v>Adults</v>
      </c>
      <c r="J547" s="7" t="s">
        <v>14</v>
      </c>
      <c r="K547" s="8">
        <v>2</v>
      </c>
      <c r="L547" s="8" t="str">
        <f>IF(Table2[[#This Row],[Quantity]]=1, "Single Order", IF(Table2[[#This Row],[Quantity]]=2, "Small Order", IF(Table2[[#This Row],[Quantity]]=3, "Medium Order", "Bulk Order")))</f>
        <v>Small Order</v>
      </c>
      <c r="M547" s="10">
        <v>30</v>
      </c>
      <c r="N547" s="10">
        <v>60</v>
      </c>
    </row>
    <row r="548" spans="1:14" x14ac:dyDescent="0.2">
      <c r="A548">
        <v>541</v>
      </c>
      <c r="B548" s="5">
        <v>45136</v>
      </c>
      <c r="C548" s="5" t="str">
        <f>TEXT(Table2[[#This Row],[Date]], "MMM")</f>
        <v>Jul</v>
      </c>
      <c r="D548" s="8">
        <f>MONTH(Table2[[#This Row],[Date]])</f>
        <v>7</v>
      </c>
      <c r="E548" s="8">
        <f>YEAR(Table2[[#This Row],[Date]])</f>
        <v>2023</v>
      </c>
      <c r="F548" s="7" t="s">
        <v>554</v>
      </c>
      <c r="G548" s="7" t="s">
        <v>10</v>
      </c>
      <c r="H548" s="8">
        <v>56</v>
      </c>
      <c r="I548" s="8" t="str">
        <f>IF(Table2[[#This Row],[Age]] &lt; 19, "Teenagers", IF(Table2[[#This Row],[Age]] &lt;= 34, "Young Adults", IF(Table2[[#This Row],[Age]] &lt;= 45, "Adults", IF(Table2[[#This Row],[Age]] &lt;= 55, "Seniors", "Elderly")) ))</f>
        <v>Elderly</v>
      </c>
      <c r="J548" s="7" t="s">
        <v>11</v>
      </c>
      <c r="K548" s="8">
        <v>1</v>
      </c>
      <c r="L548" s="8" t="str">
        <f>IF(Table2[[#This Row],[Quantity]]=1, "Single Order", IF(Table2[[#This Row],[Quantity]]=2, "Small Order", IF(Table2[[#This Row],[Quantity]]=3, "Medium Order", "Bulk Order")))</f>
        <v>Single Order</v>
      </c>
      <c r="M548" s="10">
        <v>500</v>
      </c>
      <c r="N548" s="10">
        <v>500</v>
      </c>
    </row>
    <row r="549" spans="1:14" x14ac:dyDescent="0.2">
      <c r="A549">
        <v>543</v>
      </c>
      <c r="B549" s="5">
        <v>45133</v>
      </c>
      <c r="C549" s="5" t="str">
        <f>TEXT(Table2[[#This Row],[Date]], "MMM")</f>
        <v>Jul</v>
      </c>
      <c r="D549" s="8">
        <f>MONTH(Table2[[#This Row],[Date]])</f>
        <v>7</v>
      </c>
      <c r="E549" s="8">
        <f>YEAR(Table2[[#This Row],[Date]])</f>
        <v>2023</v>
      </c>
      <c r="F549" s="7" t="s">
        <v>556</v>
      </c>
      <c r="G549" s="7" t="s">
        <v>10</v>
      </c>
      <c r="H549" s="8">
        <v>49</v>
      </c>
      <c r="I549" s="8" t="str">
        <f>IF(Table2[[#This Row],[Age]] &lt; 19, "Teenagers", IF(Table2[[#This Row],[Age]] &lt;= 34, "Young Adults", IF(Table2[[#This Row],[Age]] &lt;= 45, "Adults", IF(Table2[[#This Row],[Age]] &lt;= 55, "Seniors", "Elderly")) ))</f>
        <v>Seniors</v>
      </c>
      <c r="J549" s="7" t="s">
        <v>11</v>
      </c>
      <c r="K549" s="8">
        <v>2</v>
      </c>
      <c r="L549" s="8" t="str">
        <f>IF(Table2[[#This Row],[Quantity]]=1, "Single Order", IF(Table2[[#This Row],[Quantity]]=2, "Small Order", IF(Table2[[#This Row],[Quantity]]=3, "Medium Order", "Bulk Order")))</f>
        <v>Small Order</v>
      </c>
      <c r="M549" s="10">
        <v>300</v>
      </c>
      <c r="N549" s="10">
        <v>600</v>
      </c>
    </row>
    <row r="550" spans="1:14" x14ac:dyDescent="0.2">
      <c r="A550">
        <v>551</v>
      </c>
      <c r="B550" s="5">
        <v>45121</v>
      </c>
      <c r="C550" s="5" t="str">
        <f>TEXT(Table2[[#This Row],[Date]], "MMM")</f>
        <v>Jul</v>
      </c>
      <c r="D550" s="8">
        <f>MONTH(Table2[[#This Row],[Date]])</f>
        <v>7</v>
      </c>
      <c r="E550" s="8">
        <f>YEAR(Table2[[#This Row],[Date]])</f>
        <v>2023</v>
      </c>
      <c r="F550" s="7" t="s">
        <v>564</v>
      </c>
      <c r="G550" s="7" t="s">
        <v>10</v>
      </c>
      <c r="H550" s="8">
        <v>45</v>
      </c>
      <c r="I550" s="8" t="str">
        <f>IF(Table2[[#This Row],[Age]] &lt; 19, "Teenagers", IF(Table2[[#This Row],[Age]] &lt;= 34, "Young Adults", IF(Table2[[#This Row],[Age]] &lt;= 45, "Adults", IF(Table2[[#This Row],[Age]] &lt;= 55, "Seniors", "Elderly")) ))</f>
        <v>Adults</v>
      </c>
      <c r="J550" s="7" t="s">
        <v>16</v>
      </c>
      <c r="K550" s="8">
        <v>3</v>
      </c>
      <c r="L550" s="8" t="str">
        <f>IF(Table2[[#This Row],[Quantity]]=1, "Single Order", IF(Table2[[#This Row],[Quantity]]=2, "Small Order", IF(Table2[[#This Row],[Quantity]]=3, "Medium Order", "Bulk Order")))</f>
        <v>Medium Order</v>
      </c>
      <c r="M550" s="10">
        <v>300</v>
      </c>
      <c r="N550" s="10">
        <v>900</v>
      </c>
    </row>
    <row r="551" spans="1:14" x14ac:dyDescent="0.2">
      <c r="A551">
        <v>557</v>
      </c>
      <c r="B551" s="5">
        <v>45134</v>
      </c>
      <c r="C551" s="5" t="str">
        <f>TEXT(Table2[[#This Row],[Date]], "MMM")</f>
        <v>Jul</v>
      </c>
      <c r="D551" s="8">
        <f>MONTH(Table2[[#This Row],[Date]])</f>
        <v>7</v>
      </c>
      <c r="E551" s="8">
        <f>YEAR(Table2[[#This Row],[Date]])</f>
        <v>2023</v>
      </c>
      <c r="F551" s="7" t="s">
        <v>570</v>
      </c>
      <c r="G551" s="7" t="s">
        <v>13</v>
      </c>
      <c r="H551" s="8">
        <v>20</v>
      </c>
      <c r="I551" s="8" t="str">
        <f>IF(Table2[[#This Row],[Age]] &lt; 19, "Teenagers", IF(Table2[[#This Row],[Age]] &lt;= 34, "Young Adults", IF(Table2[[#This Row],[Age]] &lt;= 45, "Adults", IF(Table2[[#This Row],[Age]] &lt;= 55, "Seniors", "Elderly")) ))</f>
        <v>Young Adults</v>
      </c>
      <c r="J551" s="7" t="s">
        <v>11</v>
      </c>
      <c r="K551" s="8">
        <v>3</v>
      </c>
      <c r="L551" s="8" t="str">
        <f>IF(Table2[[#This Row],[Quantity]]=1, "Single Order", IF(Table2[[#This Row],[Quantity]]=2, "Small Order", IF(Table2[[#This Row],[Quantity]]=3, "Medium Order", "Bulk Order")))</f>
        <v>Medium Order</v>
      </c>
      <c r="M551" s="10">
        <v>30</v>
      </c>
      <c r="N551" s="10">
        <v>90</v>
      </c>
    </row>
    <row r="552" spans="1:14" x14ac:dyDescent="0.2">
      <c r="A552">
        <v>603</v>
      </c>
      <c r="B552" s="5">
        <v>45123</v>
      </c>
      <c r="C552" s="5" t="str">
        <f>TEXT(Table2[[#This Row],[Date]], "MMM")</f>
        <v>Jul</v>
      </c>
      <c r="D552" s="8">
        <f>MONTH(Table2[[#This Row],[Date]])</f>
        <v>7</v>
      </c>
      <c r="E552" s="8">
        <f>YEAR(Table2[[#This Row],[Date]])</f>
        <v>2023</v>
      </c>
      <c r="F552" s="7" t="s">
        <v>616</v>
      </c>
      <c r="G552" s="7" t="s">
        <v>13</v>
      </c>
      <c r="H552" s="8">
        <v>40</v>
      </c>
      <c r="I552" s="8" t="str">
        <f>IF(Table2[[#This Row],[Age]] &lt; 19, "Teenagers", IF(Table2[[#This Row],[Age]] &lt;= 34, "Young Adults", IF(Table2[[#This Row],[Age]] &lt;= 45, "Adults", IF(Table2[[#This Row],[Age]] &lt;= 55, "Seniors", "Elderly")) ))</f>
        <v>Adults</v>
      </c>
      <c r="J552" s="7" t="s">
        <v>14</v>
      </c>
      <c r="K552" s="8">
        <v>3</v>
      </c>
      <c r="L552" s="8" t="str">
        <f>IF(Table2[[#This Row],[Quantity]]=1, "Single Order", IF(Table2[[#This Row],[Quantity]]=2, "Small Order", IF(Table2[[#This Row],[Quantity]]=3, "Medium Order", "Bulk Order")))</f>
        <v>Medium Order</v>
      </c>
      <c r="M552" s="10">
        <v>30</v>
      </c>
      <c r="N552" s="10">
        <v>90</v>
      </c>
    </row>
    <row r="553" spans="1:14" x14ac:dyDescent="0.2">
      <c r="A553">
        <v>605</v>
      </c>
      <c r="B553" s="5">
        <v>45131</v>
      </c>
      <c r="C553" s="5" t="str">
        <f>TEXT(Table2[[#This Row],[Date]], "MMM")</f>
        <v>Jul</v>
      </c>
      <c r="D553" s="8">
        <f>MONTH(Table2[[#This Row],[Date]])</f>
        <v>7</v>
      </c>
      <c r="E553" s="8">
        <f>YEAR(Table2[[#This Row],[Date]])</f>
        <v>2023</v>
      </c>
      <c r="F553" s="7" t="s">
        <v>618</v>
      </c>
      <c r="G553" s="7" t="s">
        <v>10</v>
      </c>
      <c r="H553" s="8">
        <v>37</v>
      </c>
      <c r="I553" s="8" t="str">
        <f>IF(Table2[[#This Row],[Age]] &lt; 19, "Teenagers", IF(Table2[[#This Row],[Age]] &lt;= 34, "Young Adults", IF(Table2[[#This Row],[Age]] &lt;= 45, "Adults", IF(Table2[[#This Row],[Age]] &lt;= 55, "Seniors", "Elderly")) ))</f>
        <v>Adults</v>
      </c>
      <c r="J553" s="7" t="s">
        <v>16</v>
      </c>
      <c r="K553" s="8">
        <v>2</v>
      </c>
      <c r="L553" s="8" t="str">
        <f>IF(Table2[[#This Row],[Quantity]]=1, "Single Order", IF(Table2[[#This Row],[Quantity]]=2, "Small Order", IF(Table2[[#This Row],[Quantity]]=3, "Medium Order", "Bulk Order")))</f>
        <v>Small Order</v>
      </c>
      <c r="M553" s="10">
        <v>500</v>
      </c>
      <c r="N553" s="10">
        <v>1000</v>
      </c>
    </row>
    <row r="554" spans="1:14" x14ac:dyDescent="0.2">
      <c r="A554">
        <v>661</v>
      </c>
      <c r="B554" s="5">
        <v>45123</v>
      </c>
      <c r="C554" s="5" t="str">
        <f>TEXT(Table2[[#This Row],[Date]], "MMM")</f>
        <v>Jul</v>
      </c>
      <c r="D554" s="8">
        <f>MONTH(Table2[[#This Row],[Date]])</f>
        <v>7</v>
      </c>
      <c r="E554" s="8">
        <f>YEAR(Table2[[#This Row],[Date]])</f>
        <v>2023</v>
      </c>
      <c r="F554" s="7" t="s">
        <v>674</v>
      </c>
      <c r="G554" s="7" t="s">
        <v>13</v>
      </c>
      <c r="H554" s="8">
        <v>44</v>
      </c>
      <c r="I554" s="8" t="str">
        <f>IF(Table2[[#This Row],[Age]] &lt; 19, "Teenagers", IF(Table2[[#This Row],[Age]] &lt;= 34, "Young Adults", IF(Table2[[#This Row],[Age]] &lt;= 45, "Adults", IF(Table2[[#This Row],[Age]] &lt;= 55, "Seniors", "Elderly")) ))</f>
        <v>Adults</v>
      </c>
      <c r="J554" s="7" t="s">
        <v>14</v>
      </c>
      <c r="K554" s="8">
        <v>4</v>
      </c>
      <c r="L554" s="8" t="str">
        <f>IF(Table2[[#This Row],[Quantity]]=1, "Single Order", IF(Table2[[#This Row],[Quantity]]=2, "Small Order", IF(Table2[[#This Row],[Quantity]]=3, "Medium Order", "Bulk Order")))</f>
        <v>Bulk Order</v>
      </c>
      <c r="M554" s="10">
        <v>25</v>
      </c>
      <c r="N554" s="10">
        <v>100</v>
      </c>
    </row>
    <row r="555" spans="1:14" x14ac:dyDescent="0.2">
      <c r="A555">
        <v>668</v>
      </c>
      <c r="B555" s="5">
        <v>45135</v>
      </c>
      <c r="C555" s="5" t="str">
        <f>TEXT(Table2[[#This Row],[Date]], "MMM")</f>
        <v>Jul</v>
      </c>
      <c r="D555" s="8">
        <f>MONTH(Table2[[#This Row],[Date]])</f>
        <v>7</v>
      </c>
      <c r="E555" s="8">
        <f>YEAR(Table2[[#This Row],[Date]])</f>
        <v>2023</v>
      </c>
      <c r="F555" s="7" t="s">
        <v>681</v>
      </c>
      <c r="G555" s="7" t="s">
        <v>13</v>
      </c>
      <c r="H555" s="8">
        <v>62</v>
      </c>
      <c r="I555" s="8" t="str">
        <f>IF(Table2[[#This Row],[Age]] &lt; 19, "Teenagers", IF(Table2[[#This Row],[Age]] &lt;= 34, "Young Adults", IF(Table2[[#This Row],[Age]] &lt;= 45, "Adults", IF(Table2[[#This Row],[Age]] &lt;= 55, "Seniors", "Elderly")) ))</f>
        <v>Elderly</v>
      </c>
      <c r="J555" s="7" t="s">
        <v>16</v>
      </c>
      <c r="K555" s="8">
        <v>3</v>
      </c>
      <c r="L555" s="8" t="str">
        <f>IF(Table2[[#This Row],[Quantity]]=1, "Single Order", IF(Table2[[#This Row],[Quantity]]=2, "Small Order", IF(Table2[[#This Row],[Quantity]]=3, "Medium Order", "Bulk Order")))</f>
        <v>Medium Order</v>
      </c>
      <c r="M555" s="10">
        <v>50</v>
      </c>
      <c r="N555" s="10">
        <v>150</v>
      </c>
    </row>
    <row r="556" spans="1:14" x14ac:dyDescent="0.2">
      <c r="A556">
        <v>676</v>
      </c>
      <c r="B556" s="5">
        <v>45126</v>
      </c>
      <c r="C556" s="5" t="str">
        <f>TEXT(Table2[[#This Row],[Date]], "MMM")</f>
        <v>Jul</v>
      </c>
      <c r="D556" s="8">
        <f>MONTH(Table2[[#This Row],[Date]])</f>
        <v>7</v>
      </c>
      <c r="E556" s="8">
        <f>YEAR(Table2[[#This Row],[Date]])</f>
        <v>2023</v>
      </c>
      <c r="F556" s="7" t="s">
        <v>689</v>
      </c>
      <c r="G556" s="7" t="s">
        <v>10</v>
      </c>
      <c r="H556" s="8">
        <v>63</v>
      </c>
      <c r="I556" s="8" t="str">
        <f>IF(Table2[[#This Row],[Age]] &lt; 19, "Teenagers", IF(Table2[[#This Row],[Age]] &lt;= 34, "Young Adults", IF(Table2[[#This Row],[Age]] &lt;= 45, "Adults", IF(Table2[[#This Row],[Age]] &lt;= 55, "Seniors", "Elderly")) ))</f>
        <v>Elderly</v>
      </c>
      <c r="J556" s="7" t="s">
        <v>16</v>
      </c>
      <c r="K556" s="8">
        <v>3</v>
      </c>
      <c r="L556" s="8" t="str">
        <f>IF(Table2[[#This Row],[Quantity]]=1, "Single Order", IF(Table2[[#This Row],[Quantity]]=2, "Small Order", IF(Table2[[#This Row],[Quantity]]=3, "Medium Order", "Bulk Order")))</f>
        <v>Medium Order</v>
      </c>
      <c r="M556" s="10">
        <v>500</v>
      </c>
      <c r="N556" s="10">
        <v>1500</v>
      </c>
    </row>
    <row r="557" spans="1:14" x14ac:dyDescent="0.2">
      <c r="A557">
        <v>681</v>
      </c>
      <c r="B557" s="5">
        <v>45121</v>
      </c>
      <c r="C557" s="5" t="str">
        <f>TEXT(Table2[[#This Row],[Date]], "MMM")</f>
        <v>Jul</v>
      </c>
      <c r="D557" s="8">
        <f>MONTH(Table2[[#This Row],[Date]])</f>
        <v>7</v>
      </c>
      <c r="E557" s="8">
        <f>YEAR(Table2[[#This Row],[Date]])</f>
        <v>2023</v>
      </c>
      <c r="F557" s="7" t="s">
        <v>694</v>
      </c>
      <c r="G557" s="7" t="s">
        <v>13</v>
      </c>
      <c r="H557" s="8">
        <v>43</v>
      </c>
      <c r="I557" s="8" t="str">
        <f>IF(Table2[[#This Row],[Age]] &lt; 19, "Teenagers", IF(Table2[[#This Row],[Age]] &lt;= 34, "Young Adults", IF(Table2[[#This Row],[Age]] &lt;= 45, "Adults", IF(Table2[[#This Row],[Age]] &lt;= 55, "Seniors", "Elderly")) ))</f>
        <v>Adults</v>
      </c>
      <c r="J557" s="7" t="s">
        <v>16</v>
      </c>
      <c r="K557" s="8">
        <v>2</v>
      </c>
      <c r="L557" s="8" t="str">
        <f>IF(Table2[[#This Row],[Quantity]]=1, "Single Order", IF(Table2[[#This Row],[Quantity]]=2, "Small Order", IF(Table2[[#This Row],[Quantity]]=3, "Medium Order", "Bulk Order")))</f>
        <v>Small Order</v>
      </c>
      <c r="M557" s="10">
        <v>30</v>
      </c>
      <c r="N557" s="10">
        <v>60</v>
      </c>
    </row>
    <row r="558" spans="1:14" x14ac:dyDescent="0.2">
      <c r="A558">
        <v>686</v>
      </c>
      <c r="B558" s="5">
        <v>45126</v>
      </c>
      <c r="C558" s="5" t="str">
        <f>TEXT(Table2[[#This Row],[Date]], "MMM")</f>
        <v>Jul</v>
      </c>
      <c r="D558" s="8">
        <f>MONTH(Table2[[#This Row],[Date]])</f>
        <v>7</v>
      </c>
      <c r="E558" s="8">
        <f>YEAR(Table2[[#This Row],[Date]])</f>
        <v>2023</v>
      </c>
      <c r="F558" s="7" t="s">
        <v>699</v>
      </c>
      <c r="G558" s="7" t="s">
        <v>13</v>
      </c>
      <c r="H558" s="8">
        <v>28</v>
      </c>
      <c r="I558" s="8" t="str">
        <f>IF(Table2[[#This Row],[Age]] &lt; 19, "Teenagers", IF(Table2[[#This Row],[Age]] &lt;= 34, "Young Adults", IF(Table2[[#This Row],[Age]] &lt;= 45, "Adults", IF(Table2[[#This Row],[Age]] &lt;= 55, "Seniors", "Elderly")) ))</f>
        <v>Young Adults</v>
      </c>
      <c r="J558" s="7" t="s">
        <v>16</v>
      </c>
      <c r="K558" s="8">
        <v>4</v>
      </c>
      <c r="L558" s="8" t="str">
        <f>IF(Table2[[#This Row],[Quantity]]=1, "Single Order", IF(Table2[[#This Row],[Quantity]]=2, "Small Order", IF(Table2[[#This Row],[Quantity]]=3, "Medium Order", "Bulk Order")))</f>
        <v>Bulk Order</v>
      </c>
      <c r="M558" s="10">
        <v>50</v>
      </c>
      <c r="N558" s="10">
        <v>200</v>
      </c>
    </row>
    <row r="559" spans="1:14" x14ac:dyDescent="0.2">
      <c r="A559">
        <v>698</v>
      </c>
      <c r="B559" s="5">
        <v>45126</v>
      </c>
      <c r="C559" s="5" t="str">
        <f>TEXT(Table2[[#This Row],[Date]], "MMM")</f>
        <v>Jul</v>
      </c>
      <c r="D559" s="8">
        <f>MONTH(Table2[[#This Row],[Date]])</f>
        <v>7</v>
      </c>
      <c r="E559" s="8">
        <f>YEAR(Table2[[#This Row],[Date]])</f>
        <v>2023</v>
      </c>
      <c r="F559" s="7" t="s">
        <v>711</v>
      </c>
      <c r="G559" s="7" t="s">
        <v>13</v>
      </c>
      <c r="H559" s="8">
        <v>64</v>
      </c>
      <c r="I559" s="8" t="str">
        <f>IF(Table2[[#This Row],[Age]] &lt; 19, "Teenagers", IF(Table2[[#This Row],[Age]] &lt;= 34, "Young Adults", IF(Table2[[#This Row],[Age]] &lt;= 45, "Adults", IF(Table2[[#This Row],[Age]] &lt;= 55, "Seniors", "Elderly")) ))</f>
        <v>Elderly</v>
      </c>
      <c r="J559" s="7" t="s">
        <v>16</v>
      </c>
      <c r="K559" s="8">
        <v>1</v>
      </c>
      <c r="L559" s="8" t="str">
        <f>IF(Table2[[#This Row],[Quantity]]=1, "Single Order", IF(Table2[[#This Row],[Quantity]]=2, "Small Order", IF(Table2[[#This Row],[Quantity]]=3, "Medium Order", "Bulk Order")))</f>
        <v>Single Order</v>
      </c>
      <c r="M559" s="10">
        <v>300</v>
      </c>
      <c r="N559" s="10">
        <v>300</v>
      </c>
    </row>
    <row r="560" spans="1:14" x14ac:dyDescent="0.2">
      <c r="A560">
        <v>702</v>
      </c>
      <c r="B560" s="5">
        <v>45134</v>
      </c>
      <c r="C560" s="5" t="str">
        <f>TEXT(Table2[[#This Row],[Date]], "MMM")</f>
        <v>Jul</v>
      </c>
      <c r="D560" s="8">
        <f>MONTH(Table2[[#This Row],[Date]])</f>
        <v>7</v>
      </c>
      <c r="E560" s="8">
        <f>YEAR(Table2[[#This Row],[Date]])</f>
        <v>2023</v>
      </c>
      <c r="F560" s="7" t="s">
        <v>715</v>
      </c>
      <c r="G560" s="7" t="s">
        <v>13</v>
      </c>
      <c r="H560" s="8">
        <v>60</v>
      </c>
      <c r="I560" s="8" t="str">
        <f>IF(Table2[[#This Row],[Age]] &lt; 19, "Teenagers", IF(Table2[[#This Row],[Age]] &lt;= 34, "Young Adults", IF(Table2[[#This Row],[Age]] &lt;= 45, "Adults", IF(Table2[[#This Row],[Age]] &lt;= 55, "Seniors", "Elderly")) ))</f>
        <v>Elderly</v>
      </c>
      <c r="J560" s="7" t="s">
        <v>14</v>
      </c>
      <c r="K560" s="8">
        <v>2</v>
      </c>
      <c r="L560" s="8" t="str">
        <f>IF(Table2[[#This Row],[Quantity]]=1, "Single Order", IF(Table2[[#This Row],[Quantity]]=2, "Small Order", IF(Table2[[#This Row],[Quantity]]=3, "Medium Order", "Bulk Order")))</f>
        <v>Small Order</v>
      </c>
      <c r="M560" s="10">
        <v>300</v>
      </c>
      <c r="N560" s="10">
        <v>600</v>
      </c>
    </row>
    <row r="561" spans="1:14" x14ac:dyDescent="0.2">
      <c r="A561">
        <v>709</v>
      </c>
      <c r="B561" s="5">
        <v>45128</v>
      </c>
      <c r="C561" s="5" t="str">
        <f>TEXT(Table2[[#This Row],[Date]], "MMM")</f>
        <v>Jul</v>
      </c>
      <c r="D561" s="8">
        <f>MONTH(Table2[[#This Row],[Date]])</f>
        <v>7</v>
      </c>
      <c r="E561" s="8">
        <f>YEAR(Table2[[#This Row],[Date]])</f>
        <v>2023</v>
      </c>
      <c r="F561" s="7" t="s">
        <v>722</v>
      </c>
      <c r="G561" s="7" t="s">
        <v>13</v>
      </c>
      <c r="H561" s="8">
        <v>19</v>
      </c>
      <c r="I561" s="8" t="str">
        <f>IF(Table2[[#This Row],[Age]] &lt; 19, "Teenagers", IF(Table2[[#This Row],[Age]] &lt;= 34, "Young Adults", IF(Table2[[#This Row],[Age]] &lt;= 45, "Adults", IF(Table2[[#This Row],[Age]] &lt;= 55, "Seniors", "Elderly")) ))</f>
        <v>Young Adults</v>
      </c>
      <c r="J561" s="7" t="s">
        <v>16</v>
      </c>
      <c r="K561" s="8">
        <v>2</v>
      </c>
      <c r="L561" s="8" t="str">
        <f>IF(Table2[[#This Row],[Quantity]]=1, "Single Order", IF(Table2[[#This Row],[Quantity]]=2, "Small Order", IF(Table2[[#This Row],[Quantity]]=3, "Medium Order", "Bulk Order")))</f>
        <v>Small Order</v>
      </c>
      <c r="M561" s="10">
        <v>500</v>
      </c>
      <c r="N561" s="10">
        <v>1000</v>
      </c>
    </row>
    <row r="562" spans="1:14" x14ac:dyDescent="0.2">
      <c r="A562">
        <v>722</v>
      </c>
      <c r="B562" s="5">
        <v>45121</v>
      </c>
      <c r="C562" s="5" t="str">
        <f>TEXT(Table2[[#This Row],[Date]], "MMM")</f>
        <v>Jul</v>
      </c>
      <c r="D562" s="8">
        <f>MONTH(Table2[[#This Row],[Date]])</f>
        <v>7</v>
      </c>
      <c r="E562" s="8">
        <f>YEAR(Table2[[#This Row],[Date]])</f>
        <v>2023</v>
      </c>
      <c r="F562" s="7" t="s">
        <v>735</v>
      </c>
      <c r="G562" s="7" t="s">
        <v>10</v>
      </c>
      <c r="H562" s="8">
        <v>20</v>
      </c>
      <c r="I562" s="8" t="str">
        <f>IF(Table2[[#This Row],[Age]] &lt; 19, "Teenagers", IF(Table2[[#This Row],[Age]] &lt;= 34, "Young Adults", IF(Table2[[#This Row],[Age]] &lt;= 45, "Adults", IF(Table2[[#This Row],[Age]] &lt;= 55, "Seniors", "Elderly")) ))</f>
        <v>Young Adults</v>
      </c>
      <c r="J562" s="7" t="s">
        <v>11</v>
      </c>
      <c r="K562" s="8">
        <v>3</v>
      </c>
      <c r="L562" s="8" t="str">
        <f>IF(Table2[[#This Row],[Quantity]]=1, "Single Order", IF(Table2[[#This Row],[Quantity]]=2, "Small Order", IF(Table2[[#This Row],[Quantity]]=3, "Medium Order", "Bulk Order")))</f>
        <v>Medium Order</v>
      </c>
      <c r="M562" s="10">
        <v>300</v>
      </c>
      <c r="N562" s="10">
        <v>900</v>
      </c>
    </row>
    <row r="563" spans="1:14" x14ac:dyDescent="0.2">
      <c r="A563">
        <v>728</v>
      </c>
      <c r="B563" s="5">
        <v>45121</v>
      </c>
      <c r="C563" s="5" t="str">
        <f>TEXT(Table2[[#This Row],[Date]], "MMM")</f>
        <v>Jul</v>
      </c>
      <c r="D563" s="8">
        <f>MONTH(Table2[[#This Row],[Date]])</f>
        <v>7</v>
      </c>
      <c r="E563" s="8">
        <f>YEAR(Table2[[#This Row],[Date]])</f>
        <v>2023</v>
      </c>
      <c r="F563" s="7" t="s">
        <v>741</v>
      </c>
      <c r="G563" s="7" t="s">
        <v>10</v>
      </c>
      <c r="H563" s="8">
        <v>51</v>
      </c>
      <c r="I563" s="8" t="str">
        <f>IF(Table2[[#This Row],[Age]] &lt; 19, "Teenagers", IF(Table2[[#This Row],[Age]] &lt;= 34, "Young Adults", IF(Table2[[#This Row],[Age]] &lt;= 45, "Adults", IF(Table2[[#This Row],[Age]] &lt;= 55, "Seniors", "Elderly")) ))</f>
        <v>Seniors</v>
      </c>
      <c r="J563" s="7" t="s">
        <v>16</v>
      </c>
      <c r="K563" s="8">
        <v>3</v>
      </c>
      <c r="L563" s="8" t="str">
        <f>IF(Table2[[#This Row],[Quantity]]=1, "Single Order", IF(Table2[[#This Row],[Quantity]]=2, "Small Order", IF(Table2[[#This Row],[Quantity]]=3, "Medium Order", "Bulk Order")))</f>
        <v>Medium Order</v>
      </c>
      <c r="M563" s="10">
        <v>50</v>
      </c>
      <c r="N563" s="10">
        <v>150</v>
      </c>
    </row>
    <row r="564" spans="1:14" x14ac:dyDescent="0.2">
      <c r="A564">
        <v>759</v>
      </c>
      <c r="B564" s="5">
        <v>45115</v>
      </c>
      <c r="C564" s="5" t="str">
        <f>TEXT(Table2[[#This Row],[Date]], "MMM")</f>
        <v>Jul</v>
      </c>
      <c r="D564" s="8">
        <f>MONTH(Table2[[#This Row],[Date]])</f>
        <v>7</v>
      </c>
      <c r="E564" s="8">
        <f>YEAR(Table2[[#This Row],[Date]])</f>
        <v>2023</v>
      </c>
      <c r="F564" s="7" t="s">
        <v>772</v>
      </c>
      <c r="G564" s="7" t="s">
        <v>10</v>
      </c>
      <c r="H564" s="8">
        <v>49</v>
      </c>
      <c r="I564" s="8" t="str">
        <f>IF(Table2[[#This Row],[Age]] &lt; 19, "Teenagers", IF(Table2[[#This Row],[Age]] &lt;= 34, "Young Adults", IF(Table2[[#This Row],[Age]] &lt;= 45, "Adults", IF(Table2[[#This Row],[Age]] &lt;= 55, "Seniors", "Elderly")) ))</f>
        <v>Seniors</v>
      </c>
      <c r="J564" s="7" t="s">
        <v>16</v>
      </c>
      <c r="K564" s="8">
        <v>2</v>
      </c>
      <c r="L564" s="8" t="str">
        <f>IF(Table2[[#This Row],[Quantity]]=1, "Single Order", IF(Table2[[#This Row],[Quantity]]=2, "Small Order", IF(Table2[[#This Row],[Quantity]]=3, "Medium Order", "Bulk Order")))</f>
        <v>Small Order</v>
      </c>
      <c r="M564" s="10">
        <v>50</v>
      </c>
      <c r="N564" s="10">
        <v>100</v>
      </c>
    </row>
    <row r="565" spans="1:14" x14ac:dyDescent="0.2">
      <c r="A565">
        <v>772</v>
      </c>
      <c r="B565" s="5">
        <v>45119</v>
      </c>
      <c r="C565" s="5" t="str">
        <f>TEXT(Table2[[#This Row],[Date]], "MMM")</f>
        <v>Jul</v>
      </c>
      <c r="D565" s="8">
        <f>MONTH(Table2[[#This Row],[Date]])</f>
        <v>7</v>
      </c>
      <c r="E565" s="8">
        <f>YEAR(Table2[[#This Row],[Date]])</f>
        <v>2023</v>
      </c>
      <c r="F565" s="7" t="s">
        <v>785</v>
      </c>
      <c r="G565" s="7" t="s">
        <v>10</v>
      </c>
      <c r="H565" s="8">
        <v>26</v>
      </c>
      <c r="I565" s="8" t="str">
        <f>IF(Table2[[#This Row],[Age]] &lt; 19, "Teenagers", IF(Table2[[#This Row],[Age]] &lt;= 34, "Young Adults", IF(Table2[[#This Row],[Age]] &lt;= 45, "Adults", IF(Table2[[#This Row],[Age]] &lt;= 55, "Seniors", "Elderly")) ))</f>
        <v>Young Adults</v>
      </c>
      <c r="J565" s="7" t="s">
        <v>16</v>
      </c>
      <c r="K565" s="8">
        <v>1</v>
      </c>
      <c r="L565" s="8" t="str">
        <f>IF(Table2[[#This Row],[Quantity]]=1, "Single Order", IF(Table2[[#This Row],[Quantity]]=2, "Small Order", IF(Table2[[#This Row],[Quantity]]=3, "Medium Order", "Bulk Order")))</f>
        <v>Single Order</v>
      </c>
      <c r="M565" s="10">
        <v>30</v>
      </c>
      <c r="N565" s="10">
        <v>30</v>
      </c>
    </row>
    <row r="566" spans="1:14" x14ac:dyDescent="0.2">
      <c r="A566">
        <v>773</v>
      </c>
      <c r="B566" s="5">
        <v>45130</v>
      </c>
      <c r="C566" s="5" t="str">
        <f>TEXT(Table2[[#This Row],[Date]], "MMM")</f>
        <v>Jul</v>
      </c>
      <c r="D566" s="8">
        <f>MONTH(Table2[[#This Row],[Date]])</f>
        <v>7</v>
      </c>
      <c r="E566" s="8">
        <f>YEAR(Table2[[#This Row],[Date]])</f>
        <v>2023</v>
      </c>
      <c r="F566" s="7" t="s">
        <v>786</v>
      </c>
      <c r="G566" s="7" t="s">
        <v>10</v>
      </c>
      <c r="H566" s="8">
        <v>25</v>
      </c>
      <c r="I566" s="8" t="str">
        <f>IF(Table2[[#This Row],[Age]] &lt; 19, "Teenagers", IF(Table2[[#This Row],[Age]] &lt;= 34, "Young Adults", IF(Table2[[#This Row],[Age]] &lt;= 45, "Adults", IF(Table2[[#This Row],[Age]] &lt;= 55, "Seniors", "Elderly")) ))</f>
        <v>Young Adults</v>
      </c>
      <c r="J566" s="7" t="s">
        <v>16</v>
      </c>
      <c r="K566" s="8">
        <v>4</v>
      </c>
      <c r="L566" s="8" t="str">
        <f>IF(Table2[[#This Row],[Quantity]]=1, "Single Order", IF(Table2[[#This Row],[Quantity]]=2, "Small Order", IF(Table2[[#This Row],[Quantity]]=3, "Medium Order", "Bulk Order")))</f>
        <v>Bulk Order</v>
      </c>
      <c r="M566" s="10">
        <v>500</v>
      </c>
      <c r="N566" s="10">
        <v>2000</v>
      </c>
    </row>
    <row r="567" spans="1:14" x14ac:dyDescent="0.2">
      <c r="A567">
        <v>792</v>
      </c>
      <c r="B567" s="5">
        <v>45116</v>
      </c>
      <c r="C567" s="5" t="str">
        <f>TEXT(Table2[[#This Row],[Date]], "MMM")</f>
        <v>Jul</v>
      </c>
      <c r="D567" s="8">
        <f>MONTH(Table2[[#This Row],[Date]])</f>
        <v>7</v>
      </c>
      <c r="E567" s="8">
        <f>YEAR(Table2[[#This Row],[Date]])</f>
        <v>2023</v>
      </c>
      <c r="F567" s="7" t="s">
        <v>805</v>
      </c>
      <c r="G567" s="7" t="s">
        <v>13</v>
      </c>
      <c r="H567" s="8">
        <v>20</v>
      </c>
      <c r="I567" s="8" t="str">
        <f>IF(Table2[[#This Row],[Age]] &lt; 19, "Teenagers", IF(Table2[[#This Row],[Age]] &lt;= 34, "Young Adults", IF(Table2[[#This Row],[Age]] &lt;= 45, "Adults", IF(Table2[[#This Row],[Age]] &lt;= 55, "Seniors", "Elderly")) ))</f>
        <v>Young Adults</v>
      </c>
      <c r="J567" s="7" t="s">
        <v>11</v>
      </c>
      <c r="K567" s="8">
        <v>1</v>
      </c>
      <c r="L567" s="8" t="str">
        <f>IF(Table2[[#This Row],[Quantity]]=1, "Single Order", IF(Table2[[#This Row],[Quantity]]=2, "Small Order", IF(Table2[[#This Row],[Quantity]]=3, "Medium Order", "Bulk Order")))</f>
        <v>Single Order</v>
      </c>
      <c r="M567" s="10">
        <v>50</v>
      </c>
      <c r="N567" s="10">
        <v>50</v>
      </c>
    </row>
    <row r="568" spans="1:14" x14ac:dyDescent="0.2">
      <c r="A568">
        <v>802</v>
      </c>
      <c r="B568" s="5">
        <v>45112</v>
      </c>
      <c r="C568" s="5" t="str">
        <f>TEXT(Table2[[#This Row],[Date]], "MMM")</f>
        <v>Jul</v>
      </c>
      <c r="D568" s="8">
        <f>MONTH(Table2[[#This Row],[Date]])</f>
        <v>7</v>
      </c>
      <c r="E568" s="8">
        <f>YEAR(Table2[[#This Row],[Date]])</f>
        <v>2023</v>
      </c>
      <c r="F568" s="7" t="s">
        <v>815</v>
      </c>
      <c r="G568" s="7" t="s">
        <v>13</v>
      </c>
      <c r="H568" s="8">
        <v>46</v>
      </c>
      <c r="I568" s="8" t="str">
        <f>IF(Table2[[#This Row],[Age]] &lt; 19, "Teenagers", IF(Table2[[#This Row],[Age]] &lt;= 34, "Young Adults", IF(Table2[[#This Row],[Age]] &lt;= 45, "Adults", IF(Table2[[#This Row],[Age]] &lt;= 55, "Seniors", "Elderly")) ))</f>
        <v>Seniors</v>
      </c>
      <c r="J568" s="7" t="s">
        <v>11</v>
      </c>
      <c r="K568" s="8">
        <v>1</v>
      </c>
      <c r="L568" s="8" t="str">
        <f>IF(Table2[[#This Row],[Quantity]]=1, "Single Order", IF(Table2[[#This Row],[Quantity]]=2, "Small Order", IF(Table2[[#This Row],[Quantity]]=3, "Medium Order", "Bulk Order")))</f>
        <v>Single Order</v>
      </c>
      <c r="M568" s="10">
        <v>30</v>
      </c>
      <c r="N568" s="10">
        <v>30</v>
      </c>
    </row>
    <row r="569" spans="1:14" x14ac:dyDescent="0.2">
      <c r="A569">
        <v>829</v>
      </c>
      <c r="B569" s="5">
        <v>45121</v>
      </c>
      <c r="C569" s="5" t="str">
        <f>TEXT(Table2[[#This Row],[Date]], "MMM")</f>
        <v>Jul</v>
      </c>
      <c r="D569" s="8">
        <f>MONTH(Table2[[#This Row],[Date]])</f>
        <v>7</v>
      </c>
      <c r="E569" s="8">
        <f>YEAR(Table2[[#This Row],[Date]])</f>
        <v>2023</v>
      </c>
      <c r="F569" s="7" t="s">
        <v>842</v>
      </c>
      <c r="G569" s="7" t="s">
        <v>10</v>
      </c>
      <c r="H569" s="8">
        <v>61</v>
      </c>
      <c r="I569" s="8" t="str">
        <f>IF(Table2[[#This Row],[Age]] &lt; 19, "Teenagers", IF(Table2[[#This Row],[Age]] &lt;= 34, "Young Adults", IF(Table2[[#This Row],[Age]] &lt;= 45, "Adults", IF(Table2[[#This Row],[Age]] &lt;= 55, "Seniors", "Elderly")) ))</f>
        <v>Elderly</v>
      </c>
      <c r="J569" s="7" t="s">
        <v>11</v>
      </c>
      <c r="K569" s="8">
        <v>3</v>
      </c>
      <c r="L569" s="8" t="str">
        <f>IF(Table2[[#This Row],[Quantity]]=1, "Single Order", IF(Table2[[#This Row],[Quantity]]=2, "Small Order", IF(Table2[[#This Row],[Quantity]]=3, "Medium Order", "Bulk Order")))</f>
        <v>Medium Order</v>
      </c>
      <c r="M569" s="10">
        <v>30</v>
      </c>
      <c r="N569" s="10">
        <v>90</v>
      </c>
    </row>
    <row r="570" spans="1:14" x14ac:dyDescent="0.2">
      <c r="A570">
        <v>837</v>
      </c>
      <c r="B570" s="5">
        <v>45108</v>
      </c>
      <c r="C570" s="5" t="str">
        <f>TEXT(Table2[[#This Row],[Date]], "MMM")</f>
        <v>Jul</v>
      </c>
      <c r="D570" s="8">
        <f>MONTH(Table2[[#This Row],[Date]])</f>
        <v>7</v>
      </c>
      <c r="E570" s="8">
        <f>YEAR(Table2[[#This Row],[Date]])</f>
        <v>2023</v>
      </c>
      <c r="F570" s="7" t="s">
        <v>850</v>
      </c>
      <c r="G570" s="7" t="s">
        <v>10</v>
      </c>
      <c r="H570" s="8">
        <v>18</v>
      </c>
      <c r="I570" s="8" t="str">
        <f>IF(Table2[[#This Row],[Age]] &lt; 19, "Teenagers", IF(Table2[[#This Row],[Age]] &lt;= 34, "Young Adults", IF(Table2[[#This Row],[Age]] &lt;= 45, "Adults", IF(Table2[[#This Row],[Age]] &lt;= 55, "Seniors", "Elderly")) ))</f>
        <v>Teenagers</v>
      </c>
      <c r="J570" s="7" t="s">
        <v>11</v>
      </c>
      <c r="K570" s="8">
        <v>3</v>
      </c>
      <c r="L570" s="8" t="str">
        <f>IF(Table2[[#This Row],[Quantity]]=1, "Single Order", IF(Table2[[#This Row],[Quantity]]=2, "Small Order", IF(Table2[[#This Row],[Quantity]]=3, "Medium Order", "Bulk Order")))</f>
        <v>Medium Order</v>
      </c>
      <c r="M570" s="10">
        <v>30</v>
      </c>
      <c r="N570" s="10">
        <v>90</v>
      </c>
    </row>
    <row r="571" spans="1:14" x14ac:dyDescent="0.2">
      <c r="A571">
        <v>850</v>
      </c>
      <c r="B571" s="5">
        <v>45135</v>
      </c>
      <c r="C571" s="5" t="str">
        <f>TEXT(Table2[[#This Row],[Date]], "MMM")</f>
        <v>Jul</v>
      </c>
      <c r="D571" s="8">
        <f>MONTH(Table2[[#This Row],[Date]])</f>
        <v>7</v>
      </c>
      <c r="E571" s="8">
        <f>YEAR(Table2[[#This Row],[Date]])</f>
        <v>2023</v>
      </c>
      <c r="F571" s="7" t="s">
        <v>863</v>
      </c>
      <c r="G571" s="7" t="s">
        <v>13</v>
      </c>
      <c r="H571" s="8">
        <v>26</v>
      </c>
      <c r="I571" s="8" t="str">
        <f>IF(Table2[[#This Row],[Age]] &lt; 19, "Teenagers", IF(Table2[[#This Row],[Age]] &lt;= 34, "Young Adults", IF(Table2[[#This Row],[Age]] &lt;= 45, "Adults", IF(Table2[[#This Row],[Age]] &lt;= 55, "Seniors", "Elderly")) ))</f>
        <v>Young Adults</v>
      </c>
      <c r="J571" s="7" t="s">
        <v>11</v>
      </c>
      <c r="K571" s="8">
        <v>2</v>
      </c>
      <c r="L571" s="8" t="str">
        <f>IF(Table2[[#This Row],[Quantity]]=1, "Single Order", IF(Table2[[#This Row],[Quantity]]=2, "Small Order", IF(Table2[[#This Row],[Quantity]]=3, "Medium Order", "Bulk Order")))</f>
        <v>Small Order</v>
      </c>
      <c r="M571" s="10">
        <v>500</v>
      </c>
      <c r="N571" s="10">
        <v>1000</v>
      </c>
    </row>
    <row r="572" spans="1:14" x14ac:dyDescent="0.2">
      <c r="A572">
        <v>864</v>
      </c>
      <c r="B572" s="5">
        <v>45134</v>
      </c>
      <c r="C572" s="5" t="str">
        <f>TEXT(Table2[[#This Row],[Date]], "MMM")</f>
        <v>Jul</v>
      </c>
      <c r="D572" s="8">
        <f>MONTH(Table2[[#This Row],[Date]])</f>
        <v>7</v>
      </c>
      <c r="E572" s="8">
        <f>YEAR(Table2[[#This Row],[Date]])</f>
        <v>2023</v>
      </c>
      <c r="F572" s="7" t="s">
        <v>877</v>
      </c>
      <c r="G572" s="7" t="s">
        <v>13</v>
      </c>
      <c r="H572" s="8">
        <v>51</v>
      </c>
      <c r="I572" s="8" t="str">
        <f>IF(Table2[[#This Row],[Age]] &lt; 19, "Teenagers", IF(Table2[[#This Row],[Age]] &lt;= 34, "Young Adults", IF(Table2[[#This Row],[Age]] &lt;= 45, "Adults", IF(Table2[[#This Row],[Age]] &lt;= 55, "Seniors", "Elderly")) ))</f>
        <v>Seniors</v>
      </c>
      <c r="J572" s="7" t="s">
        <v>16</v>
      </c>
      <c r="K572" s="8">
        <v>1</v>
      </c>
      <c r="L572" s="8" t="str">
        <f>IF(Table2[[#This Row],[Quantity]]=1, "Single Order", IF(Table2[[#This Row],[Quantity]]=2, "Small Order", IF(Table2[[#This Row],[Quantity]]=3, "Medium Order", "Bulk Order")))</f>
        <v>Single Order</v>
      </c>
      <c r="M572" s="10">
        <v>500</v>
      </c>
      <c r="N572" s="10">
        <v>500</v>
      </c>
    </row>
    <row r="573" spans="1:14" x14ac:dyDescent="0.2">
      <c r="A573">
        <v>870</v>
      </c>
      <c r="B573" s="5">
        <v>45115</v>
      </c>
      <c r="C573" s="5" t="str">
        <f>TEXT(Table2[[#This Row],[Date]], "MMM")</f>
        <v>Jul</v>
      </c>
      <c r="D573" s="8">
        <f>MONTH(Table2[[#This Row],[Date]])</f>
        <v>7</v>
      </c>
      <c r="E573" s="8">
        <f>YEAR(Table2[[#This Row],[Date]])</f>
        <v>2023</v>
      </c>
      <c r="F573" s="7" t="s">
        <v>883</v>
      </c>
      <c r="G573" s="7" t="s">
        <v>13</v>
      </c>
      <c r="H573" s="8">
        <v>46</v>
      </c>
      <c r="I573" s="8" t="str">
        <f>IF(Table2[[#This Row],[Age]] &lt; 19, "Teenagers", IF(Table2[[#This Row],[Age]] &lt;= 34, "Young Adults", IF(Table2[[#This Row],[Age]] &lt;= 45, "Adults", IF(Table2[[#This Row],[Age]] &lt;= 55, "Seniors", "Elderly")) ))</f>
        <v>Seniors</v>
      </c>
      <c r="J573" s="7" t="s">
        <v>16</v>
      </c>
      <c r="K573" s="8">
        <v>4</v>
      </c>
      <c r="L573" s="8" t="str">
        <f>IF(Table2[[#This Row],[Quantity]]=1, "Single Order", IF(Table2[[#This Row],[Quantity]]=2, "Small Order", IF(Table2[[#This Row],[Quantity]]=3, "Medium Order", "Bulk Order")))</f>
        <v>Bulk Order</v>
      </c>
      <c r="M573" s="10">
        <v>30</v>
      </c>
      <c r="N573" s="10">
        <v>120</v>
      </c>
    </row>
    <row r="574" spans="1:14" x14ac:dyDescent="0.2">
      <c r="A574">
        <v>904</v>
      </c>
      <c r="B574" s="5">
        <v>45111</v>
      </c>
      <c r="C574" s="5" t="str">
        <f>TEXT(Table2[[#This Row],[Date]], "MMM")</f>
        <v>Jul</v>
      </c>
      <c r="D574" s="8">
        <f>MONTH(Table2[[#This Row],[Date]])</f>
        <v>7</v>
      </c>
      <c r="E574" s="8">
        <f>YEAR(Table2[[#This Row],[Date]])</f>
        <v>2023</v>
      </c>
      <c r="F574" s="7" t="s">
        <v>917</v>
      </c>
      <c r="G574" s="7" t="s">
        <v>10</v>
      </c>
      <c r="H574" s="8">
        <v>28</v>
      </c>
      <c r="I574" s="8" t="str">
        <f>IF(Table2[[#This Row],[Age]] &lt; 19, "Teenagers", IF(Table2[[#This Row],[Age]] &lt;= 34, "Young Adults", IF(Table2[[#This Row],[Age]] &lt;= 45, "Adults", IF(Table2[[#This Row],[Age]] &lt;= 55, "Seniors", "Elderly")) ))</f>
        <v>Young Adults</v>
      </c>
      <c r="J574" s="7" t="s">
        <v>14</v>
      </c>
      <c r="K574" s="8">
        <v>1</v>
      </c>
      <c r="L574" s="8" t="str">
        <f>IF(Table2[[#This Row],[Quantity]]=1, "Single Order", IF(Table2[[#This Row],[Quantity]]=2, "Small Order", IF(Table2[[#This Row],[Quantity]]=3, "Medium Order", "Bulk Order")))</f>
        <v>Single Order</v>
      </c>
      <c r="M574" s="10">
        <v>500</v>
      </c>
      <c r="N574" s="10">
        <v>500</v>
      </c>
    </row>
    <row r="575" spans="1:14" x14ac:dyDescent="0.2">
      <c r="A575">
        <v>934</v>
      </c>
      <c r="B575" s="5">
        <v>45132</v>
      </c>
      <c r="C575" s="5" t="str">
        <f>TEXT(Table2[[#This Row],[Date]], "MMM")</f>
        <v>Jul</v>
      </c>
      <c r="D575" s="8">
        <f>MONTH(Table2[[#This Row],[Date]])</f>
        <v>7</v>
      </c>
      <c r="E575" s="8">
        <f>YEAR(Table2[[#This Row],[Date]])</f>
        <v>2023</v>
      </c>
      <c r="F575" s="7" t="s">
        <v>947</v>
      </c>
      <c r="G575" s="7" t="s">
        <v>10</v>
      </c>
      <c r="H575" s="8">
        <v>30</v>
      </c>
      <c r="I575" s="8" t="str">
        <f>IF(Table2[[#This Row],[Age]] &lt; 19, "Teenagers", IF(Table2[[#This Row],[Age]] &lt;= 34, "Young Adults", IF(Table2[[#This Row],[Age]] &lt;= 45, "Adults", IF(Table2[[#This Row],[Age]] &lt;= 55, "Seniors", "Elderly")) ))</f>
        <v>Young Adults</v>
      </c>
      <c r="J575" s="7" t="s">
        <v>11</v>
      </c>
      <c r="K575" s="8">
        <v>1</v>
      </c>
      <c r="L575" s="8" t="str">
        <f>IF(Table2[[#This Row],[Quantity]]=1, "Single Order", IF(Table2[[#This Row],[Quantity]]=2, "Small Order", IF(Table2[[#This Row],[Quantity]]=3, "Medium Order", "Bulk Order")))</f>
        <v>Single Order</v>
      </c>
      <c r="M575" s="10">
        <v>500</v>
      </c>
      <c r="N575" s="10">
        <v>500</v>
      </c>
    </row>
    <row r="576" spans="1:14" x14ac:dyDescent="0.2">
      <c r="A576">
        <v>955</v>
      </c>
      <c r="B576" s="5">
        <v>45121</v>
      </c>
      <c r="C576" s="5" t="str">
        <f>TEXT(Table2[[#This Row],[Date]], "MMM")</f>
        <v>Jul</v>
      </c>
      <c r="D576" s="8">
        <f>MONTH(Table2[[#This Row],[Date]])</f>
        <v>7</v>
      </c>
      <c r="E576" s="8">
        <f>YEAR(Table2[[#This Row],[Date]])</f>
        <v>2023</v>
      </c>
      <c r="F576" s="7" t="s">
        <v>968</v>
      </c>
      <c r="G576" s="7" t="s">
        <v>10</v>
      </c>
      <c r="H576" s="8">
        <v>58</v>
      </c>
      <c r="I576" s="8" t="str">
        <f>IF(Table2[[#This Row],[Age]] &lt; 19, "Teenagers", IF(Table2[[#This Row],[Age]] &lt;= 34, "Young Adults", IF(Table2[[#This Row],[Age]] &lt;= 45, "Adults", IF(Table2[[#This Row],[Age]] &lt;= 55, "Seniors", "Elderly")) ))</f>
        <v>Elderly</v>
      </c>
      <c r="J576" s="7" t="s">
        <v>14</v>
      </c>
      <c r="K576" s="8">
        <v>1</v>
      </c>
      <c r="L576" s="8" t="str">
        <f>IF(Table2[[#This Row],[Quantity]]=1, "Single Order", IF(Table2[[#This Row],[Quantity]]=2, "Small Order", IF(Table2[[#This Row],[Quantity]]=3, "Medium Order", "Bulk Order")))</f>
        <v>Single Order</v>
      </c>
      <c r="M576" s="10">
        <v>25</v>
      </c>
      <c r="N576" s="10">
        <v>25</v>
      </c>
    </row>
    <row r="577" spans="1:14" x14ac:dyDescent="0.2">
      <c r="A577">
        <v>980</v>
      </c>
      <c r="B577" s="5">
        <v>45136</v>
      </c>
      <c r="C577" s="5" t="str">
        <f>TEXT(Table2[[#This Row],[Date]], "MMM")</f>
        <v>Jul</v>
      </c>
      <c r="D577" s="8">
        <f>MONTH(Table2[[#This Row],[Date]])</f>
        <v>7</v>
      </c>
      <c r="E577" s="8">
        <f>YEAR(Table2[[#This Row],[Date]])</f>
        <v>2023</v>
      </c>
      <c r="F577" s="7" t="s">
        <v>993</v>
      </c>
      <c r="G577" s="7" t="s">
        <v>13</v>
      </c>
      <c r="H577" s="8">
        <v>31</v>
      </c>
      <c r="I577" s="8" t="str">
        <f>IF(Table2[[#This Row],[Age]] &lt; 19, "Teenagers", IF(Table2[[#This Row],[Age]] &lt;= 34, "Young Adults", IF(Table2[[#This Row],[Age]] &lt;= 45, "Adults", IF(Table2[[#This Row],[Age]] &lt;= 55, "Seniors", "Elderly")) ))</f>
        <v>Young Adults</v>
      </c>
      <c r="J577" s="7" t="s">
        <v>16</v>
      </c>
      <c r="K577" s="8">
        <v>3</v>
      </c>
      <c r="L577" s="8" t="str">
        <f>IF(Table2[[#This Row],[Quantity]]=1, "Single Order", IF(Table2[[#This Row],[Quantity]]=2, "Small Order", IF(Table2[[#This Row],[Quantity]]=3, "Medium Order", "Bulk Order")))</f>
        <v>Medium Order</v>
      </c>
      <c r="M577" s="10">
        <v>25</v>
      </c>
      <c r="N577" s="10">
        <v>75</v>
      </c>
    </row>
    <row r="578" spans="1:14" x14ac:dyDescent="0.2">
      <c r="A578">
        <v>13</v>
      </c>
      <c r="B578" s="5">
        <v>45143</v>
      </c>
      <c r="C578" s="5" t="str">
        <f>TEXT(Table2[[#This Row],[Date]], "MMM")</f>
        <v>Aug</v>
      </c>
      <c r="D578" s="8">
        <f>MONTH(Table2[[#This Row],[Date]])</f>
        <v>8</v>
      </c>
      <c r="E578" s="8">
        <f>YEAR(Table2[[#This Row],[Date]])</f>
        <v>2023</v>
      </c>
      <c r="F578" s="7" t="s">
        <v>26</v>
      </c>
      <c r="G578" s="7" t="s">
        <v>10</v>
      </c>
      <c r="H578" s="8">
        <v>22</v>
      </c>
      <c r="I578" s="8" t="str">
        <f>IF(Table2[[#This Row],[Age]] &lt; 19, "Teenagers", IF(Table2[[#This Row],[Age]] &lt;= 34, "Young Adults", IF(Table2[[#This Row],[Age]] &lt;= 45, "Adults", IF(Table2[[#This Row],[Age]] &lt;= 55, "Seniors", "Elderly")) ))</f>
        <v>Young Adults</v>
      </c>
      <c r="J578" s="7" t="s">
        <v>16</v>
      </c>
      <c r="K578" s="8">
        <v>3</v>
      </c>
      <c r="L578" s="8" t="str">
        <f>IF(Table2[[#This Row],[Quantity]]=1, "Single Order", IF(Table2[[#This Row],[Quantity]]=2, "Small Order", IF(Table2[[#This Row],[Quantity]]=3, "Medium Order", "Bulk Order")))</f>
        <v>Medium Order</v>
      </c>
      <c r="M578" s="10">
        <v>500</v>
      </c>
      <c r="N578" s="10">
        <v>1500</v>
      </c>
    </row>
    <row r="579" spans="1:14" x14ac:dyDescent="0.2">
      <c r="A579">
        <v>27</v>
      </c>
      <c r="B579" s="5">
        <v>45141</v>
      </c>
      <c r="C579" s="5" t="str">
        <f>TEXT(Table2[[#This Row],[Date]], "MMM")</f>
        <v>Aug</v>
      </c>
      <c r="D579" s="8">
        <f>MONTH(Table2[[#This Row],[Date]])</f>
        <v>8</v>
      </c>
      <c r="E579" s="8">
        <f>YEAR(Table2[[#This Row],[Date]])</f>
        <v>2023</v>
      </c>
      <c r="F579" s="7" t="s">
        <v>40</v>
      </c>
      <c r="G579" s="7" t="s">
        <v>13</v>
      </c>
      <c r="H579" s="8">
        <v>38</v>
      </c>
      <c r="I579" s="8" t="str">
        <f>IF(Table2[[#This Row],[Age]] &lt; 19, "Teenagers", IF(Table2[[#This Row],[Age]] &lt;= 34, "Young Adults", IF(Table2[[#This Row],[Age]] &lt;= 45, "Adults", IF(Table2[[#This Row],[Age]] &lt;= 55, "Seniors", "Elderly")) ))</f>
        <v>Adults</v>
      </c>
      <c r="J579" s="7" t="s">
        <v>11</v>
      </c>
      <c r="K579" s="8">
        <v>2</v>
      </c>
      <c r="L579" s="8" t="str">
        <f>IF(Table2[[#This Row],[Quantity]]=1, "Single Order", IF(Table2[[#This Row],[Quantity]]=2, "Small Order", IF(Table2[[#This Row],[Quantity]]=3, "Medium Order", "Bulk Order")))</f>
        <v>Small Order</v>
      </c>
      <c r="M579" s="10">
        <v>25</v>
      </c>
      <c r="N579" s="10">
        <v>50</v>
      </c>
    </row>
    <row r="580" spans="1:14" x14ac:dyDescent="0.2">
      <c r="A580">
        <v>29</v>
      </c>
      <c r="B580" s="5">
        <v>45156</v>
      </c>
      <c r="C580" s="5" t="str">
        <f>TEXT(Table2[[#This Row],[Date]], "MMM")</f>
        <v>Aug</v>
      </c>
      <c r="D580" s="8">
        <f>MONTH(Table2[[#This Row],[Date]])</f>
        <v>8</v>
      </c>
      <c r="E580" s="8">
        <f>YEAR(Table2[[#This Row],[Date]])</f>
        <v>2023</v>
      </c>
      <c r="F580" s="7" t="s">
        <v>42</v>
      </c>
      <c r="G580" s="7" t="s">
        <v>13</v>
      </c>
      <c r="H580" s="8">
        <v>42</v>
      </c>
      <c r="I580" s="8" t="str">
        <f>IF(Table2[[#This Row],[Age]] &lt; 19, "Teenagers", IF(Table2[[#This Row],[Age]] &lt;= 34, "Young Adults", IF(Table2[[#This Row],[Age]] &lt;= 45, "Adults", IF(Table2[[#This Row],[Age]] &lt;= 55, "Seniors", "Elderly")) ))</f>
        <v>Adults</v>
      </c>
      <c r="J580" s="7" t="s">
        <v>16</v>
      </c>
      <c r="K580" s="8">
        <v>1</v>
      </c>
      <c r="L580" s="8" t="str">
        <f>IF(Table2[[#This Row],[Quantity]]=1, "Single Order", IF(Table2[[#This Row],[Quantity]]=2, "Small Order", IF(Table2[[#This Row],[Quantity]]=3, "Medium Order", "Bulk Order")))</f>
        <v>Single Order</v>
      </c>
      <c r="M580" s="10">
        <v>30</v>
      </c>
      <c r="N580" s="10">
        <v>30</v>
      </c>
    </row>
    <row r="581" spans="1:14" x14ac:dyDescent="0.2">
      <c r="A581">
        <v>35</v>
      </c>
      <c r="B581" s="5">
        <v>45143</v>
      </c>
      <c r="C581" s="5" t="str">
        <f>TEXT(Table2[[#This Row],[Date]], "MMM")</f>
        <v>Aug</v>
      </c>
      <c r="D581" s="8">
        <f>MONTH(Table2[[#This Row],[Date]])</f>
        <v>8</v>
      </c>
      <c r="E581" s="8">
        <f>YEAR(Table2[[#This Row],[Date]])</f>
        <v>2023</v>
      </c>
      <c r="F581" s="7" t="s">
        <v>48</v>
      </c>
      <c r="G581" s="7" t="s">
        <v>13</v>
      </c>
      <c r="H581" s="8">
        <v>58</v>
      </c>
      <c r="I581" s="8" t="str">
        <f>IF(Table2[[#This Row],[Age]] &lt; 19, "Teenagers", IF(Table2[[#This Row],[Age]] &lt;= 34, "Young Adults", IF(Table2[[#This Row],[Age]] &lt;= 45, "Adults", IF(Table2[[#This Row],[Age]] &lt;= 55, "Seniors", "Elderly")) ))</f>
        <v>Elderly</v>
      </c>
      <c r="J581" s="7" t="s">
        <v>11</v>
      </c>
      <c r="K581" s="8">
        <v>3</v>
      </c>
      <c r="L581" s="8" t="str">
        <f>IF(Table2[[#This Row],[Quantity]]=1, "Single Order", IF(Table2[[#This Row],[Quantity]]=2, "Small Order", IF(Table2[[#This Row],[Quantity]]=3, "Medium Order", "Bulk Order")))</f>
        <v>Medium Order</v>
      </c>
      <c r="M581" s="10">
        <v>300</v>
      </c>
      <c r="N581" s="10">
        <v>900</v>
      </c>
    </row>
    <row r="582" spans="1:14" x14ac:dyDescent="0.2">
      <c r="A582">
        <v>50</v>
      </c>
      <c r="B582" s="5">
        <v>45162</v>
      </c>
      <c r="C582" s="5" t="str">
        <f>TEXT(Table2[[#This Row],[Date]], "MMM")</f>
        <v>Aug</v>
      </c>
      <c r="D582" s="8">
        <f>MONTH(Table2[[#This Row],[Date]])</f>
        <v>8</v>
      </c>
      <c r="E582" s="8">
        <f>YEAR(Table2[[#This Row],[Date]])</f>
        <v>2023</v>
      </c>
      <c r="F582" s="7" t="s">
        <v>63</v>
      </c>
      <c r="G582" s="7" t="s">
        <v>13</v>
      </c>
      <c r="H582" s="8">
        <v>27</v>
      </c>
      <c r="I582" s="8" t="str">
        <f>IF(Table2[[#This Row],[Age]] &lt; 19, "Teenagers", IF(Table2[[#This Row],[Age]] &lt;= 34, "Young Adults", IF(Table2[[#This Row],[Age]] &lt;= 45, "Adults", IF(Table2[[#This Row],[Age]] &lt;= 55, "Seniors", "Elderly")) ))</f>
        <v>Young Adults</v>
      </c>
      <c r="J582" s="7" t="s">
        <v>11</v>
      </c>
      <c r="K582" s="8">
        <v>3</v>
      </c>
      <c r="L582" s="8" t="str">
        <f>IF(Table2[[#This Row],[Quantity]]=1, "Single Order", IF(Table2[[#This Row],[Quantity]]=2, "Small Order", IF(Table2[[#This Row],[Quantity]]=3, "Medium Order", "Bulk Order")))</f>
        <v>Medium Order</v>
      </c>
      <c r="M582" s="10">
        <v>25</v>
      </c>
      <c r="N582" s="10">
        <v>75</v>
      </c>
    </row>
    <row r="583" spans="1:14" x14ac:dyDescent="0.2">
      <c r="A583">
        <v>73</v>
      </c>
      <c r="B583" s="5">
        <v>45159</v>
      </c>
      <c r="C583" s="5" t="str">
        <f>TEXT(Table2[[#This Row],[Date]], "MMM")</f>
        <v>Aug</v>
      </c>
      <c r="D583" s="8">
        <f>MONTH(Table2[[#This Row],[Date]])</f>
        <v>8</v>
      </c>
      <c r="E583" s="8">
        <f>YEAR(Table2[[#This Row],[Date]])</f>
        <v>2023</v>
      </c>
      <c r="F583" s="7" t="s">
        <v>86</v>
      </c>
      <c r="G583" s="7" t="s">
        <v>10</v>
      </c>
      <c r="H583" s="8">
        <v>29</v>
      </c>
      <c r="I583" s="8" t="str">
        <f>IF(Table2[[#This Row],[Age]] &lt; 19, "Teenagers", IF(Table2[[#This Row],[Age]] &lt;= 34, "Young Adults", IF(Table2[[#This Row],[Age]] &lt;= 45, "Adults", IF(Table2[[#This Row],[Age]] &lt;= 55, "Seniors", "Elderly")) ))</f>
        <v>Young Adults</v>
      </c>
      <c r="J583" s="7" t="s">
        <v>16</v>
      </c>
      <c r="K583" s="8">
        <v>3</v>
      </c>
      <c r="L583" s="8" t="str">
        <f>IF(Table2[[#This Row],[Quantity]]=1, "Single Order", IF(Table2[[#This Row],[Quantity]]=2, "Small Order", IF(Table2[[#This Row],[Quantity]]=3, "Medium Order", "Bulk Order")))</f>
        <v>Medium Order</v>
      </c>
      <c r="M583" s="10">
        <v>30</v>
      </c>
      <c r="N583" s="10">
        <v>90</v>
      </c>
    </row>
    <row r="584" spans="1:14" x14ac:dyDescent="0.2">
      <c r="A584">
        <v>92</v>
      </c>
      <c r="B584" s="5">
        <v>45163</v>
      </c>
      <c r="C584" s="5" t="str">
        <f>TEXT(Table2[[#This Row],[Date]], "MMM")</f>
        <v>Aug</v>
      </c>
      <c r="D584" s="8">
        <f>MONTH(Table2[[#This Row],[Date]])</f>
        <v>8</v>
      </c>
      <c r="E584" s="8">
        <f>YEAR(Table2[[#This Row],[Date]])</f>
        <v>2023</v>
      </c>
      <c r="F584" s="7" t="s">
        <v>105</v>
      </c>
      <c r="G584" s="7" t="s">
        <v>13</v>
      </c>
      <c r="H584" s="8">
        <v>51</v>
      </c>
      <c r="I584" s="8" t="str">
        <f>IF(Table2[[#This Row],[Age]] &lt; 19, "Teenagers", IF(Table2[[#This Row],[Age]] &lt;= 34, "Young Adults", IF(Table2[[#This Row],[Age]] &lt;= 45, "Adults", IF(Table2[[#This Row],[Age]] &lt;= 55, "Seniors", "Elderly")) ))</f>
        <v>Seniors</v>
      </c>
      <c r="J584" s="7" t="s">
        <v>16</v>
      </c>
      <c r="K584" s="8">
        <v>4</v>
      </c>
      <c r="L584" s="8" t="str">
        <f>IF(Table2[[#This Row],[Quantity]]=1, "Single Order", IF(Table2[[#This Row],[Quantity]]=2, "Small Order", IF(Table2[[#This Row],[Quantity]]=3, "Medium Order", "Bulk Order")))</f>
        <v>Bulk Order</v>
      </c>
      <c r="M584" s="10">
        <v>30</v>
      </c>
      <c r="N584" s="10">
        <v>120</v>
      </c>
    </row>
    <row r="585" spans="1:14" x14ac:dyDescent="0.2">
      <c r="A585">
        <v>116</v>
      </c>
      <c r="B585" s="5">
        <v>45161</v>
      </c>
      <c r="C585" s="5" t="str">
        <f>TEXT(Table2[[#This Row],[Date]], "MMM")</f>
        <v>Aug</v>
      </c>
      <c r="D585" s="8">
        <f>MONTH(Table2[[#This Row],[Date]])</f>
        <v>8</v>
      </c>
      <c r="E585" s="8">
        <f>YEAR(Table2[[#This Row],[Date]])</f>
        <v>2023</v>
      </c>
      <c r="F585" s="7" t="s">
        <v>129</v>
      </c>
      <c r="G585" s="7" t="s">
        <v>13</v>
      </c>
      <c r="H585" s="8">
        <v>23</v>
      </c>
      <c r="I585" s="8" t="str">
        <f>IF(Table2[[#This Row],[Age]] &lt; 19, "Teenagers", IF(Table2[[#This Row],[Age]] &lt;= 34, "Young Adults", IF(Table2[[#This Row],[Age]] &lt;= 45, "Adults", IF(Table2[[#This Row],[Age]] &lt;= 55, "Seniors", "Elderly")) ))</f>
        <v>Young Adults</v>
      </c>
      <c r="J585" s="7" t="s">
        <v>14</v>
      </c>
      <c r="K585" s="8">
        <v>1</v>
      </c>
      <c r="L585" s="8" t="str">
        <f>IF(Table2[[#This Row],[Quantity]]=1, "Single Order", IF(Table2[[#This Row],[Quantity]]=2, "Small Order", IF(Table2[[#This Row],[Quantity]]=3, "Medium Order", "Bulk Order")))</f>
        <v>Single Order</v>
      </c>
      <c r="M585" s="10">
        <v>30</v>
      </c>
      <c r="N585" s="10">
        <v>30</v>
      </c>
    </row>
    <row r="586" spans="1:14" x14ac:dyDescent="0.2">
      <c r="A586">
        <v>125</v>
      </c>
      <c r="B586" s="5">
        <v>45146</v>
      </c>
      <c r="C586" s="5" t="str">
        <f>TEXT(Table2[[#This Row],[Date]], "MMM")</f>
        <v>Aug</v>
      </c>
      <c r="D586" s="8">
        <f>MONTH(Table2[[#This Row],[Date]])</f>
        <v>8</v>
      </c>
      <c r="E586" s="8">
        <f>YEAR(Table2[[#This Row],[Date]])</f>
        <v>2023</v>
      </c>
      <c r="F586" s="7" t="s">
        <v>138</v>
      </c>
      <c r="G586" s="7" t="s">
        <v>10</v>
      </c>
      <c r="H586" s="8">
        <v>48</v>
      </c>
      <c r="I586" s="8" t="str">
        <f>IF(Table2[[#This Row],[Age]] &lt; 19, "Teenagers", IF(Table2[[#This Row],[Age]] &lt;= 34, "Young Adults", IF(Table2[[#This Row],[Age]] &lt;= 45, "Adults", IF(Table2[[#This Row],[Age]] &lt;= 55, "Seniors", "Elderly")) ))</f>
        <v>Seniors</v>
      </c>
      <c r="J586" s="7" t="s">
        <v>14</v>
      </c>
      <c r="K586" s="8">
        <v>2</v>
      </c>
      <c r="L586" s="8" t="str">
        <f>IF(Table2[[#This Row],[Quantity]]=1, "Single Order", IF(Table2[[#This Row],[Quantity]]=2, "Small Order", IF(Table2[[#This Row],[Quantity]]=3, "Medium Order", "Bulk Order")))</f>
        <v>Small Order</v>
      </c>
      <c r="M586" s="10">
        <v>50</v>
      </c>
      <c r="N586" s="10">
        <v>100</v>
      </c>
    </row>
    <row r="587" spans="1:14" x14ac:dyDescent="0.2">
      <c r="A587">
        <v>140</v>
      </c>
      <c r="B587" s="5">
        <v>45143</v>
      </c>
      <c r="C587" s="5" t="str">
        <f>TEXT(Table2[[#This Row],[Date]], "MMM")</f>
        <v>Aug</v>
      </c>
      <c r="D587" s="8">
        <f>MONTH(Table2[[#This Row],[Date]])</f>
        <v>8</v>
      </c>
      <c r="E587" s="8">
        <f>YEAR(Table2[[#This Row],[Date]])</f>
        <v>2023</v>
      </c>
      <c r="F587" s="7" t="s">
        <v>153</v>
      </c>
      <c r="G587" s="7" t="s">
        <v>10</v>
      </c>
      <c r="H587" s="8">
        <v>38</v>
      </c>
      <c r="I587" s="8" t="str">
        <f>IF(Table2[[#This Row],[Age]] &lt; 19, "Teenagers", IF(Table2[[#This Row],[Age]] &lt;= 34, "Young Adults", IF(Table2[[#This Row],[Age]] &lt;= 45, "Adults", IF(Table2[[#This Row],[Age]] &lt;= 55, "Seniors", "Elderly")) ))</f>
        <v>Adults</v>
      </c>
      <c r="J587" s="7" t="s">
        <v>16</v>
      </c>
      <c r="K587" s="8">
        <v>1</v>
      </c>
      <c r="L587" s="8" t="str">
        <f>IF(Table2[[#This Row],[Quantity]]=1, "Single Order", IF(Table2[[#This Row],[Quantity]]=2, "Small Order", IF(Table2[[#This Row],[Quantity]]=3, "Medium Order", "Bulk Order")))</f>
        <v>Single Order</v>
      </c>
      <c r="M587" s="10">
        <v>30</v>
      </c>
      <c r="N587" s="10">
        <v>30</v>
      </c>
    </row>
    <row r="588" spans="1:14" x14ac:dyDescent="0.2">
      <c r="A588">
        <v>146</v>
      </c>
      <c r="B588" s="5">
        <v>45166</v>
      </c>
      <c r="C588" s="5" t="str">
        <f>TEXT(Table2[[#This Row],[Date]], "MMM")</f>
        <v>Aug</v>
      </c>
      <c r="D588" s="8">
        <f>MONTH(Table2[[#This Row],[Date]])</f>
        <v>8</v>
      </c>
      <c r="E588" s="8">
        <f>YEAR(Table2[[#This Row],[Date]])</f>
        <v>2023</v>
      </c>
      <c r="F588" s="7" t="s">
        <v>159</v>
      </c>
      <c r="G588" s="7" t="s">
        <v>10</v>
      </c>
      <c r="H588" s="8">
        <v>38</v>
      </c>
      <c r="I588" s="8" t="str">
        <f>IF(Table2[[#This Row],[Age]] &lt; 19, "Teenagers", IF(Table2[[#This Row],[Age]] &lt;= 34, "Young Adults", IF(Table2[[#This Row],[Age]] &lt;= 45, "Adults", IF(Table2[[#This Row],[Age]] &lt;= 55, "Seniors", "Elderly")) ))</f>
        <v>Adults</v>
      </c>
      <c r="J588" s="7" t="s">
        <v>14</v>
      </c>
      <c r="K588" s="8">
        <v>4</v>
      </c>
      <c r="L588" s="8" t="str">
        <f>IF(Table2[[#This Row],[Quantity]]=1, "Single Order", IF(Table2[[#This Row],[Quantity]]=2, "Small Order", IF(Table2[[#This Row],[Quantity]]=3, "Medium Order", "Bulk Order")))</f>
        <v>Bulk Order</v>
      </c>
      <c r="M588" s="10">
        <v>50</v>
      </c>
      <c r="N588" s="10">
        <v>200</v>
      </c>
    </row>
    <row r="589" spans="1:14" x14ac:dyDescent="0.2">
      <c r="A589">
        <v>160</v>
      </c>
      <c r="B589" s="5">
        <v>45149</v>
      </c>
      <c r="C589" s="5" t="str">
        <f>TEXT(Table2[[#This Row],[Date]], "MMM")</f>
        <v>Aug</v>
      </c>
      <c r="D589" s="8">
        <f>MONTH(Table2[[#This Row],[Date]])</f>
        <v>8</v>
      </c>
      <c r="E589" s="8">
        <f>YEAR(Table2[[#This Row],[Date]])</f>
        <v>2023</v>
      </c>
      <c r="F589" s="7" t="s">
        <v>173</v>
      </c>
      <c r="G589" s="7" t="s">
        <v>13</v>
      </c>
      <c r="H589" s="8">
        <v>43</v>
      </c>
      <c r="I589" s="8" t="str">
        <f>IF(Table2[[#This Row],[Age]] &lt; 19, "Teenagers", IF(Table2[[#This Row],[Age]] &lt;= 34, "Young Adults", IF(Table2[[#This Row],[Age]] &lt;= 45, "Adults", IF(Table2[[#This Row],[Age]] &lt;= 55, "Seniors", "Elderly")) ))</f>
        <v>Adults</v>
      </c>
      <c r="J589" s="7" t="s">
        <v>14</v>
      </c>
      <c r="K589" s="8">
        <v>2</v>
      </c>
      <c r="L589" s="8" t="str">
        <f>IF(Table2[[#This Row],[Quantity]]=1, "Single Order", IF(Table2[[#This Row],[Quantity]]=2, "Small Order", IF(Table2[[#This Row],[Quantity]]=3, "Medium Order", "Bulk Order")))</f>
        <v>Small Order</v>
      </c>
      <c r="M589" s="10">
        <v>50</v>
      </c>
      <c r="N589" s="10">
        <v>100</v>
      </c>
    </row>
    <row r="590" spans="1:14" x14ac:dyDescent="0.2">
      <c r="A590">
        <v>162</v>
      </c>
      <c r="B590" s="5">
        <v>45159</v>
      </c>
      <c r="C590" s="5" t="str">
        <f>TEXT(Table2[[#This Row],[Date]], "MMM")</f>
        <v>Aug</v>
      </c>
      <c r="D590" s="8">
        <f>MONTH(Table2[[#This Row],[Date]])</f>
        <v>8</v>
      </c>
      <c r="E590" s="8">
        <f>YEAR(Table2[[#This Row],[Date]])</f>
        <v>2023</v>
      </c>
      <c r="F590" s="7" t="s">
        <v>175</v>
      </c>
      <c r="G590" s="7" t="s">
        <v>10</v>
      </c>
      <c r="H590" s="8">
        <v>39</v>
      </c>
      <c r="I590" s="8" t="str">
        <f>IF(Table2[[#This Row],[Age]] &lt; 19, "Teenagers", IF(Table2[[#This Row],[Age]] &lt;= 34, "Young Adults", IF(Table2[[#This Row],[Age]] &lt;= 45, "Adults", IF(Table2[[#This Row],[Age]] &lt;= 55, "Seniors", "Elderly")) ))</f>
        <v>Adults</v>
      </c>
      <c r="J590" s="7" t="s">
        <v>14</v>
      </c>
      <c r="K590" s="8">
        <v>2</v>
      </c>
      <c r="L590" s="8" t="str">
        <f>IF(Table2[[#This Row],[Quantity]]=1, "Single Order", IF(Table2[[#This Row],[Quantity]]=2, "Small Order", IF(Table2[[#This Row],[Quantity]]=3, "Medium Order", "Bulk Order")))</f>
        <v>Small Order</v>
      </c>
      <c r="M590" s="10">
        <v>30</v>
      </c>
      <c r="N590" s="10">
        <v>60</v>
      </c>
    </row>
    <row r="591" spans="1:14" x14ac:dyDescent="0.2">
      <c r="A591">
        <v>206</v>
      </c>
      <c r="B591" s="5">
        <v>45143</v>
      </c>
      <c r="C591" s="5" t="str">
        <f>TEXT(Table2[[#This Row],[Date]], "MMM")</f>
        <v>Aug</v>
      </c>
      <c r="D591" s="8">
        <f>MONTH(Table2[[#This Row],[Date]])</f>
        <v>8</v>
      </c>
      <c r="E591" s="8">
        <f>YEAR(Table2[[#This Row],[Date]])</f>
        <v>2023</v>
      </c>
      <c r="F591" s="7" t="s">
        <v>219</v>
      </c>
      <c r="G591" s="7" t="s">
        <v>10</v>
      </c>
      <c r="H591" s="8">
        <v>61</v>
      </c>
      <c r="I591" s="8" t="str">
        <f>IF(Table2[[#This Row],[Age]] &lt; 19, "Teenagers", IF(Table2[[#This Row],[Age]] &lt;= 34, "Young Adults", IF(Table2[[#This Row],[Age]] &lt;= 45, "Adults", IF(Table2[[#This Row],[Age]] &lt;= 55, "Seniors", "Elderly")) ))</f>
        <v>Elderly</v>
      </c>
      <c r="J591" s="7" t="s">
        <v>14</v>
      </c>
      <c r="K591" s="8">
        <v>1</v>
      </c>
      <c r="L591" s="8" t="str">
        <f>IF(Table2[[#This Row],[Quantity]]=1, "Single Order", IF(Table2[[#This Row],[Quantity]]=2, "Small Order", IF(Table2[[#This Row],[Quantity]]=3, "Medium Order", "Bulk Order")))</f>
        <v>Single Order</v>
      </c>
      <c r="M591" s="10">
        <v>25</v>
      </c>
      <c r="N591" s="10">
        <v>25</v>
      </c>
    </row>
    <row r="592" spans="1:14" x14ac:dyDescent="0.2">
      <c r="A592">
        <v>217</v>
      </c>
      <c r="B592" s="5">
        <v>45151</v>
      </c>
      <c r="C592" s="5" t="str">
        <f>TEXT(Table2[[#This Row],[Date]], "MMM")</f>
        <v>Aug</v>
      </c>
      <c r="D592" s="8">
        <f>MONTH(Table2[[#This Row],[Date]])</f>
        <v>8</v>
      </c>
      <c r="E592" s="8">
        <f>YEAR(Table2[[#This Row],[Date]])</f>
        <v>2023</v>
      </c>
      <c r="F592" s="7" t="s">
        <v>230</v>
      </c>
      <c r="G592" s="7" t="s">
        <v>13</v>
      </c>
      <c r="H592" s="8">
        <v>35</v>
      </c>
      <c r="I592" s="8" t="str">
        <f>IF(Table2[[#This Row],[Age]] &lt; 19, "Teenagers", IF(Table2[[#This Row],[Age]] &lt;= 34, "Young Adults", IF(Table2[[#This Row],[Age]] &lt;= 45, "Adults", IF(Table2[[#This Row],[Age]] &lt;= 55, "Seniors", "Elderly")) ))</f>
        <v>Adults</v>
      </c>
      <c r="J592" s="7" t="s">
        <v>16</v>
      </c>
      <c r="K592" s="8">
        <v>4</v>
      </c>
      <c r="L592" s="8" t="str">
        <f>IF(Table2[[#This Row],[Quantity]]=1, "Single Order", IF(Table2[[#This Row],[Quantity]]=2, "Small Order", IF(Table2[[#This Row],[Quantity]]=3, "Medium Order", "Bulk Order")))</f>
        <v>Bulk Order</v>
      </c>
      <c r="M592" s="10">
        <v>50</v>
      </c>
      <c r="N592" s="10">
        <v>200</v>
      </c>
    </row>
    <row r="593" spans="1:14" x14ac:dyDescent="0.2">
      <c r="A593">
        <v>219</v>
      </c>
      <c r="B593" s="5">
        <v>45158</v>
      </c>
      <c r="C593" s="5" t="str">
        <f>TEXT(Table2[[#This Row],[Date]], "MMM")</f>
        <v>Aug</v>
      </c>
      <c r="D593" s="8">
        <f>MONTH(Table2[[#This Row],[Date]])</f>
        <v>8</v>
      </c>
      <c r="E593" s="8">
        <f>YEAR(Table2[[#This Row],[Date]])</f>
        <v>2023</v>
      </c>
      <c r="F593" s="7" t="s">
        <v>232</v>
      </c>
      <c r="G593" s="7" t="s">
        <v>13</v>
      </c>
      <c r="H593" s="8">
        <v>53</v>
      </c>
      <c r="I593" s="8" t="str">
        <f>IF(Table2[[#This Row],[Age]] &lt; 19, "Teenagers", IF(Table2[[#This Row],[Age]] &lt;= 34, "Young Adults", IF(Table2[[#This Row],[Age]] &lt;= 45, "Adults", IF(Table2[[#This Row],[Age]] &lt;= 55, "Seniors", "Elderly")) ))</f>
        <v>Seniors</v>
      </c>
      <c r="J593" s="7" t="s">
        <v>16</v>
      </c>
      <c r="K593" s="8">
        <v>3</v>
      </c>
      <c r="L593" s="8" t="str">
        <f>IF(Table2[[#This Row],[Quantity]]=1, "Single Order", IF(Table2[[#This Row],[Quantity]]=2, "Small Order", IF(Table2[[#This Row],[Quantity]]=3, "Medium Order", "Bulk Order")))</f>
        <v>Medium Order</v>
      </c>
      <c r="M593" s="10">
        <v>30</v>
      </c>
      <c r="N593" s="10">
        <v>90</v>
      </c>
    </row>
    <row r="594" spans="1:14" x14ac:dyDescent="0.2">
      <c r="A594">
        <v>251</v>
      </c>
      <c r="B594" s="5">
        <v>45169</v>
      </c>
      <c r="C594" s="5" t="str">
        <f>TEXT(Table2[[#This Row],[Date]], "MMM")</f>
        <v>Aug</v>
      </c>
      <c r="D594" s="8">
        <f>MONTH(Table2[[#This Row],[Date]])</f>
        <v>8</v>
      </c>
      <c r="E594" s="8">
        <f>YEAR(Table2[[#This Row],[Date]])</f>
        <v>2023</v>
      </c>
      <c r="F594" s="7" t="s">
        <v>264</v>
      </c>
      <c r="G594" s="7" t="s">
        <v>13</v>
      </c>
      <c r="H594" s="8">
        <v>57</v>
      </c>
      <c r="I594" s="8" t="str">
        <f>IF(Table2[[#This Row],[Age]] &lt; 19, "Teenagers", IF(Table2[[#This Row],[Age]] &lt;= 34, "Young Adults", IF(Table2[[#This Row],[Age]] &lt;= 45, "Adults", IF(Table2[[#This Row],[Age]] &lt;= 55, "Seniors", "Elderly")) ))</f>
        <v>Elderly</v>
      </c>
      <c r="J594" s="7" t="s">
        <v>11</v>
      </c>
      <c r="K594" s="8">
        <v>4</v>
      </c>
      <c r="L594" s="8" t="str">
        <f>IF(Table2[[#This Row],[Quantity]]=1, "Single Order", IF(Table2[[#This Row],[Quantity]]=2, "Small Order", IF(Table2[[#This Row],[Quantity]]=3, "Medium Order", "Bulk Order")))</f>
        <v>Bulk Order</v>
      </c>
      <c r="M594" s="10">
        <v>50</v>
      </c>
      <c r="N594" s="10">
        <v>200</v>
      </c>
    </row>
    <row r="595" spans="1:14" x14ac:dyDescent="0.2">
      <c r="A595">
        <v>253</v>
      </c>
      <c r="B595" s="5">
        <v>45169</v>
      </c>
      <c r="C595" s="5" t="str">
        <f>TEXT(Table2[[#This Row],[Date]], "MMM")</f>
        <v>Aug</v>
      </c>
      <c r="D595" s="8">
        <f>MONTH(Table2[[#This Row],[Date]])</f>
        <v>8</v>
      </c>
      <c r="E595" s="8">
        <f>YEAR(Table2[[#This Row],[Date]])</f>
        <v>2023</v>
      </c>
      <c r="F595" s="7" t="s">
        <v>266</v>
      </c>
      <c r="G595" s="7" t="s">
        <v>13</v>
      </c>
      <c r="H595" s="8">
        <v>53</v>
      </c>
      <c r="I595" s="8" t="str">
        <f>IF(Table2[[#This Row],[Age]] &lt; 19, "Teenagers", IF(Table2[[#This Row],[Age]] &lt;= 34, "Young Adults", IF(Table2[[#This Row],[Age]] &lt;= 45, "Adults", IF(Table2[[#This Row],[Age]] &lt;= 55, "Seniors", "Elderly")) ))</f>
        <v>Seniors</v>
      </c>
      <c r="J595" s="7" t="s">
        <v>14</v>
      </c>
      <c r="K595" s="8">
        <v>4</v>
      </c>
      <c r="L595" s="8" t="str">
        <f>IF(Table2[[#This Row],[Quantity]]=1, "Single Order", IF(Table2[[#This Row],[Quantity]]=2, "Small Order", IF(Table2[[#This Row],[Quantity]]=3, "Medium Order", "Bulk Order")))</f>
        <v>Bulk Order</v>
      </c>
      <c r="M595" s="10">
        <v>500</v>
      </c>
      <c r="N595" s="10">
        <v>2000</v>
      </c>
    </row>
    <row r="596" spans="1:14" x14ac:dyDescent="0.2">
      <c r="A596">
        <v>259</v>
      </c>
      <c r="B596" s="5">
        <v>45147</v>
      </c>
      <c r="C596" s="5" t="str">
        <f>TEXT(Table2[[#This Row],[Date]], "MMM")</f>
        <v>Aug</v>
      </c>
      <c r="D596" s="8">
        <f>MONTH(Table2[[#This Row],[Date]])</f>
        <v>8</v>
      </c>
      <c r="E596" s="8">
        <f>YEAR(Table2[[#This Row],[Date]])</f>
        <v>2023</v>
      </c>
      <c r="F596" s="7" t="s">
        <v>272</v>
      </c>
      <c r="G596" s="7" t="s">
        <v>13</v>
      </c>
      <c r="H596" s="8">
        <v>45</v>
      </c>
      <c r="I596" s="8" t="str">
        <f>IF(Table2[[#This Row],[Age]] &lt; 19, "Teenagers", IF(Table2[[#This Row],[Age]] &lt;= 34, "Young Adults", IF(Table2[[#This Row],[Age]] &lt;= 45, "Adults", IF(Table2[[#This Row],[Age]] &lt;= 55, "Seniors", "Elderly")) ))</f>
        <v>Adults</v>
      </c>
      <c r="J596" s="7" t="s">
        <v>14</v>
      </c>
      <c r="K596" s="8">
        <v>4</v>
      </c>
      <c r="L596" s="8" t="str">
        <f>IF(Table2[[#This Row],[Quantity]]=1, "Single Order", IF(Table2[[#This Row],[Quantity]]=2, "Small Order", IF(Table2[[#This Row],[Quantity]]=3, "Medium Order", "Bulk Order")))</f>
        <v>Bulk Order</v>
      </c>
      <c r="M596" s="10">
        <v>50</v>
      </c>
      <c r="N596" s="10">
        <v>200</v>
      </c>
    </row>
    <row r="597" spans="1:14" x14ac:dyDescent="0.2">
      <c r="A597">
        <v>261</v>
      </c>
      <c r="B597" s="5">
        <v>45143</v>
      </c>
      <c r="C597" s="5" t="str">
        <f>TEXT(Table2[[#This Row],[Date]], "MMM")</f>
        <v>Aug</v>
      </c>
      <c r="D597" s="8">
        <f>MONTH(Table2[[#This Row],[Date]])</f>
        <v>8</v>
      </c>
      <c r="E597" s="8">
        <f>YEAR(Table2[[#This Row],[Date]])</f>
        <v>2023</v>
      </c>
      <c r="F597" s="7" t="s">
        <v>274</v>
      </c>
      <c r="G597" s="7" t="s">
        <v>10</v>
      </c>
      <c r="H597" s="8">
        <v>21</v>
      </c>
      <c r="I597" s="8" t="str">
        <f>IF(Table2[[#This Row],[Age]] &lt; 19, "Teenagers", IF(Table2[[#This Row],[Age]] &lt;= 34, "Young Adults", IF(Table2[[#This Row],[Age]] &lt;= 45, "Adults", IF(Table2[[#This Row],[Age]] &lt;= 55, "Seniors", "Elderly")) ))</f>
        <v>Young Adults</v>
      </c>
      <c r="J597" s="7" t="s">
        <v>14</v>
      </c>
      <c r="K597" s="8">
        <v>2</v>
      </c>
      <c r="L597" s="8" t="str">
        <f>IF(Table2[[#This Row],[Quantity]]=1, "Single Order", IF(Table2[[#This Row],[Quantity]]=2, "Small Order", IF(Table2[[#This Row],[Quantity]]=3, "Medium Order", "Bulk Order")))</f>
        <v>Small Order</v>
      </c>
      <c r="M597" s="10">
        <v>25</v>
      </c>
      <c r="N597" s="10">
        <v>50</v>
      </c>
    </row>
    <row r="598" spans="1:14" x14ac:dyDescent="0.2">
      <c r="A598">
        <v>263</v>
      </c>
      <c r="B598" s="5">
        <v>45166</v>
      </c>
      <c r="C598" s="5" t="str">
        <f>TEXT(Table2[[#This Row],[Date]], "MMM")</f>
        <v>Aug</v>
      </c>
      <c r="D598" s="8">
        <f>MONTH(Table2[[#This Row],[Date]])</f>
        <v>8</v>
      </c>
      <c r="E598" s="8">
        <f>YEAR(Table2[[#This Row],[Date]])</f>
        <v>2023</v>
      </c>
      <c r="F598" s="7" t="s">
        <v>276</v>
      </c>
      <c r="G598" s="7" t="s">
        <v>10</v>
      </c>
      <c r="H598" s="8">
        <v>23</v>
      </c>
      <c r="I598" s="8" t="str">
        <f>IF(Table2[[#This Row],[Age]] &lt; 19, "Teenagers", IF(Table2[[#This Row],[Age]] &lt;= 34, "Young Adults", IF(Table2[[#This Row],[Age]] &lt;= 45, "Adults", IF(Table2[[#This Row],[Age]] &lt;= 55, "Seniors", "Elderly")) ))</f>
        <v>Young Adults</v>
      </c>
      <c r="J598" s="7" t="s">
        <v>11</v>
      </c>
      <c r="K598" s="8">
        <v>2</v>
      </c>
      <c r="L598" s="8" t="str">
        <f>IF(Table2[[#This Row],[Quantity]]=1, "Single Order", IF(Table2[[#This Row],[Quantity]]=2, "Small Order", IF(Table2[[#This Row],[Quantity]]=3, "Medium Order", "Bulk Order")))</f>
        <v>Small Order</v>
      </c>
      <c r="M598" s="10">
        <v>30</v>
      </c>
      <c r="N598" s="10">
        <v>60</v>
      </c>
    </row>
    <row r="599" spans="1:14" x14ac:dyDescent="0.2">
      <c r="A599">
        <v>277</v>
      </c>
      <c r="B599" s="5">
        <v>45156</v>
      </c>
      <c r="C599" s="5" t="str">
        <f>TEXT(Table2[[#This Row],[Date]], "MMM")</f>
        <v>Aug</v>
      </c>
      <c r="D599" s="8">
        <f>MONTH(Table2[[#This Row],[Date]])</f>
        <v>8</v>
      </c>
      <c r="E599" s="8">
        <f>YEAR(Table2[[#This Row],[Date]])</f>
        <v>2023</v>
      </c>
      <c r="F599" s="7" t="s">
        <v>290</v>
      </c>
      <c r="G599" s="7" t="s">
        <v>10</v>
      </c>
      <c r="H599" s="8">
        <v>36</v>
      </c>
      <c r="I599" s="8" t="str">
        <f>IF(Table2[[#This Row],[Age]] &lt; 19, "Teenagers", IF(Table2[[#This Row],[Age]] &lt;= 34, "Young Adults", IF(Table2[[#This Row],[Age]] &lt;= 45, "Adults", IF(Table2[[#This Row],[Age]] &lt;= 55, "Seniors", "Elderly")) ))</f>
        <v>Adults</v>
      </c>
      <c r="J599" s="7" t="s">
        <v>14</v>
      </c>
      <c r="K599" s="8">
        <v>4</v>
      </c>
      <c r="L599" s="8" t="str">
        <f>IF(Table2[[#This Row],[Quantity]]=1, "Single Order", IF(Table2[[#This Row],[Quantity]]=2, "Small Order", IF(Table2[[#This Row],[Quantity]]=3, "Medium Order", "Bulk Order")))</f>
        <v>Bulk Order</v>
      </c>
      <c r="M599" s="10">
        <v>25</v>
      </c>
      <c r="N599" s="10">
        <v>100</v>
      </c>
    </row>
    <row r="600" spans="1:14" x14ac:dyDescent="0.2">
      <c r="A600">
        <v>279</v>
      </c>
      <c r="B600" s="5">
        <v>45143</v>
      </c>
      <c r="C600" s="5" t="str">
        <f>TEXT(Table2[[#This Row],[Date]], "MMM")</f>
        <v>Aug</v>
      </c>
      <c r="D600" s="8">
        <f>MONTH(Table2[[#This Row],[Date]])</f>
        <v>8</v>
      </c>
      <c r="E600" s="8">
        <f>YEAR(Table2[[#This Row],[Date]])</f>
        <v>2023</v>
      </c>
      <c r="F600" s="7" t="s">
        <v>292</v>
      </c>
      <c r="G600" s="7" t="s">
        <v>10</v>
      </c>
      <c r="H600" s="8">
        <v>50</v>
      </c>
      <c r="I600" s="8" t="str">
        <f>IF(Table2[[#This Row],[Age]] &lt; 19, "Teenagers", IF(Table2[[#This Row],[Age]] &lt;= 34, "Young Adults", IF(Table2[[#This Row],[Age]] &lt;= 45, "Adults", IF(Table2[[#This Row],[Age]] &lt;= 55, "Seniors", "Elderly")) ))</f>
        <v>Seniors</v>
      </c>
      <c r="J600" s="7" t="s">
        <v>14</v>
      </c>
      <c r="K600" s="8">
        <v>1</v>
      </c>
      <c r="L600" s="8" t="str">
        <f>IF(Table2[[#This Row],[Quantity]]=1, "Single Order", IF(Table2[[#This Row],[Quantity]]=2, "Small Order", IF(Table2[[#This Row],[Quantity]]=3, "Medium Order", "Bulk Order")))</f>
        <v>Single Order</v>
      </c>
      <c r="M600" s="10">
        <v>500</v>
      </c>
      <c r="N600" s="10">
        <v>500</v>
      </c>
    </row>
    <row r="601" spans="1:14" x14ac:dyDescent="0.2">
      <c r="A601">
        <v>282</v>
      </c>
      <c r="B601" s="5">
        <v>45163</v>
      </c>
      <c r="C601" s="5" t="str">
        <f>TEXT(Table2[[#This Row],[Date]], "MMM")</f>
        <v>Aug</v>
      </c>
      <c r="D601" s="8">
        <f>MONTH(Table2[[#This Row],[Date]])</f>
        <v>8</v>
      </c>
      <c r="E601" s="8">
        <f>YEAR(Table2[[#This Row],[Date]])</f>
        <v>2023</v>
      </c>
      <c r="F601" s="7" t="s">
        <v>295</v>
      </c>
      <c r="G601" s="7" t="s">
        <v>13</v>
      </c>
      <c r="H601" s="8">
        <v>64</v>
      </c>
      <c r="I601" s="8" t="str">
        <f>IF(Table2[[#This Row],[Age]] &lt; 19, "Teenagers", IF(Table2[[#This Row],[Age]] &lt;= 34, "Young Adults", IF(Table2[[#This Row],[Age]] &lt;= 45, "Adults", IF(Table2[[#This Row],[Age]] &lt;= 55, "Seniors", "Elderly")) ))</f>
        <v>Elderly</v>
      </c>
      <c r="J601" s="7" t="s">
        <v>16</v>
      </c>
      <c r="K601" s="8">
        <v>4</v>
      </c>
      <c r="L601" s="8" t="str">
        <f>IF(Table2[[#This Row],[Quantity]]=1, "Single Order", IF(Table2[[#This Row],[Quantity]]=2, "Small Order", IF(Table2[[#This Row],[Quantity]]=3, "Medium Order", "Bulk Order")))</f>
        <v>Bulk Order</v>
      </c>
      <c r="M601" s="10">
        <v>50</v>
      </c>
      <c r="N601" s="10">
        <v>200</v>
      </c>
    </row>
    <row r="602" spans="1:14" x14ac:dyDescent="0.2">
      <c r="A602">
        <v>285</v>
      </c>
      <c r="B602" s="5">
        <v>45153</v>
      </c>
      <c r="C602" s="5" t="str">
        <f>TEXT(Table2[[#This Row],[Date]], "MMM")</f>
        <v>Aug</v>
      </c>
      <c r="D602" s="8">
        <f>MONTH(Table2[[#This Row],[Date]])</f>
        <v>8</v>
      </c>
      <c r="E602" s="8">
        <f>YEAR(Table2[[#This Row],[Date]])</f>
        <v>2023</v>
      </c>
      <c r="F602" s="7" t="s">
        <v>298</v>
      </c>
      <c r="G602" s="7" t="s">
        <v>13</v>
      </c>
      <c r="H602" s="8">
        <v>31</v>
      </c>
      <c r="I602" s="8" t="str">
        <f>IF(Table2[[#This Row],[Age]] &lt; 19, "Teenagers", IF(Table2[[#This Row],[Age]] &lt;= 34, "Young Adults", IF(Table2[[#This Row],[Age]] &lt;= 45, "Adults", IF(Table2[[#This Row],[Age]] &lt;= 55, "Seniors", "Elderly")) ))</f>
        <v>Young Adults</v>
      </c>
      <c r="J602" s="7" t="s">
        <v>16</v>
      </c>
      <c r="K602" s="8">
        <v>1</v>
      </c>
      <c r="L602" s="8" t="str">
        <f>IF(Table2[[#This Row],[Quantity]]=1, "Single Order", IF(Table2[[#This Row],[Quantity]]=2, "Small Order", IF(Table2[[#This Row],[Quantity]]=3, "Medium Order", "Bulk Order")))</f>
        <v>Single Order</v>
      </c>
      <c r="M602" s="10">
        <v>25</v>
      </c>
      <c r="N602" s="10">
        <v>25</v>
      </c>
    </row>
    <row r="603" spans="1:14" x14ac:dyDescent="0.2">
      <c r="A603">
        <v>306</v>
      </c>
      <c r="B603" s="5">
        <v>45159</v>
      </c>
      <c r="C603" s="5" t="str">
        <f>TEXT(Table2[[#This Row],[Date]], "MMM")</f>
        <v>Aug</v>
      </c>
      <c r="D603" s="8">
        <f>MONTH(Table2[[#This Row],[Date]])</f>
        <v>8</v>
      </c>
      <c r="E603" s="8">
        <f>YEAR(Table2[[#This Row],[Date]])</f>
        <v>2023</v>
      </c>
      <c r="F603" s="7" t="s">
        <v>319</v>
      </c>
      <c r="G603" s="7" t="s">
        <v>10</v>
      </c>
      <c r="H603" s="8">
        <v>54</v>
      </c>
      <c r="I603" s="8" t="str">
        <f>IF(Table2[[#This Row],[Age]] &lt; 19, "Teenagers", IF(Table2[[#This Row],[Age]] &lt;= 34, "Young Adults", IF(Table2[[#This Row],[Age]] &lt;= 45, "Adults", IF(Table2[[#This Row],[Age]] &lt;= 55, "Seniors", "Elderly")) ))</f>
        <v>Seniors</v>
      </c>
      <c r="J603" s="7" t="s">
        <v>16</v>
      </c>
      <c r="K603" s="8">
        <v>1</v>
      </c>
      <c r="L603" s="8" t="str">
        <f>IF(Table2[[#This Row],[Quantity]]=1, "Single Order", IF(Table2[[#This Row],[Quantity]]=2, "Small Order", IF(Table2[[#This Row],[Quantity]]=3, "Medium Order", "Bulk Order")))</f>
        <v>Single Order</v>
      </c>
      <c r="M603" s="10">
        <v>50</v>
      </c>
      <c r="N603" s="10">
        <v>50</v>
      </c>
    </row>
    <row r="604" spans="1:14" x14ac:dyDescent="0.2">
      <c r="A604">
        <v>308</v>
      </c>
      <c r="B604" s="5">
        <v>45143</v>
      </c>
      <c r="C604" s="5" t="str">
        <f>TEXT(Table2[[#This Row],[Date]], "MMM")</f>
        <v>Aug</v>
      </c>
      <c r="D604" s="8">
        <f>MONTH(Table2[[#This Row],[Date]])</f>
        <v>8</v>
      </c>
      <c r="E604" s="8">
        <f>YEAR(Table2[[#This Row],[Date]])</f>
        <v>2023</v>
      </c>
      <c r="F604" s="7" t="s">
        <v>321</v>
      </c>
      <c r="G604" s="7" t="s">
        <v>13</v>
      </c>
      <c r="H604" s="8">
        <v>34</v>
      </c>
      <c r="I604" s="8" t="str">
        <f>IF(Table2[[#This Row],[Age]] &lt; 19, "Teenagers", IF(Table2[[#This Row],[Age]] &lt;= 34, "Young Adults", IF(Table2[[#This Row],[Age]] &lt;= 45, "Adults", IF(Table2[[#This Row],[Age]] &lt;= 55, "Seniors", "Elderly")) ))</f>
        <v>Young Adults</v>
      </c>
      <c r="J604" s="7" t="s">
        <v>11</v>
      </c>
      <c r="K604" s="8">
        <v>4</v>
      </c>
      <c r="L604" s="8" t="str">
        <f>IF(Table2[[#This Row],[Quantity]]=1, "Single Order", IF(Table2[[#This Row],[Quantity]]=2, "Small Order", IF(Table2[[#This Row],[Quantity]]=3, "Medium Order", "Bulk Order")))</f>
        <v>Bulk Order</v>
      </c>
      <c r="M604" s="10">
        <v>300</v>
      </c>
      <c r="N604" s="10">
        <v>1200</v>
      </c>
    </row>
    <row r="605" spans="1:14" x14ac:dyDescent="0.2">
      <c r="A605">
        <v>347</v>
      </c>
      <c r="B605" s="5">
        <v>45141</v>
      </c>
      <c r="C605" s="5" t="str">
        <f>TEXT(Table2[[#This Row],[Date]], "MMM")</f>
        <v>Aug</v>
      </c>
      <c r="D605" s="8">
        <f>MONTH(Table2[[#This Row],[Date]])</f>
        <v>8</v>
      </c>
      <c r="E605" s="8">
        <f>YEAR(Table2[[#This Row],[Date]])</f>
        <v>2023</v>
      </c>
      <c r="F605" s="7" t="s">
        <v>360</v>
      </c>
      <c r="G605" s="7" t="s">
        <v>10</v>
      </c>
      <c r="H605" s="8">
        <v>42</v>
      </c>
      <c r="I605" s="8" t="str">
        <f>IF(Table2[[#This Row],[Age]] &lt; 19, "Teenagers", IF(Table2[[#This Row],[Age]] &lt;= 34, "Young Adults", IF(Table2[[#This Row],[Age]] &lt;= 45, "Adults", IF(Table2[[#This Row],[Age]] &lt;= 55, "Seniors", "Elderly")) ))</f>
        <v>Adults</v>
      </c>
      <c r="J605" s="7" t="s">
        <v>16</v>
      </c>
      <c r="K605" s="8">
        <v>1</v>
      </c>
      <c r="L605" s="8" t="str">
        <f>IF(Table2[[#This Row],[Quantity]]=1, "Single Order", IF(Table2[[#This Row],[Quantity]]=2, "Small Order", IF(Table2[[#This Row],[Quantity]]=3, "Medium Order", "Bulk Order")))</f>
        <v>Single Order</v>
      </c>
      <c r="M605" s="10">
        <v>25</v>
      </c>
      <c r="N605" s="10">
        <v>25</v>
      </c>
    </row>
    <row r="606" spans="1:14" x14ac:dyDescent="0.2">
      <c r="A606">
        <v>364</v>
      </c>
      <c r="B606" s="5">
        <v>45161</v>
      </c>
      <c r="C606" s="5" t="str">
        <f>TEXT(Table2[[#This Row],[Date]], "MMM")</f>
        <v>Aug</v>
      </c>
      <c r="D606" s="8">
        <f>MONTH(Table2[[#This Row],[Date]])</f>
        <v>8</v>
      </c>
      <c r="E606" s="8">
        <f>YEAR(Table2[[#This Row],[Date]])</f>
        <v>2023</v>
      </c>
      <c r="F606" s="7" t="s">
        <v>377</v>
      </c>
      <c r="G606" s="7" t="s">
        <v>13</v>
      </c>
      <c r="H606" s="8">
        <v>19</v>
      </c>
      <c r="I606" s="8" t="str">
        <f>IF(Table2[[#This Row],[Age]] &lt; 19, "Teenagers", IF(Table2[[#This Row],[Age]] &lt;= 34, "Young Adults", IF(Table2[[#This Row],[Age]] &lt;= 45, "Adults", IF(Table2[[#This Row],[Age]] &lt;= 55, "Seniors", "Elderly")) ))</f>
        <v>Young Adults</v>
      </c>
      <c r="J606" s="7" t="s">
        <v>11</v>
      </c>
      <c r="K606" s="8">
        <v>1</v>
      </c>
      <c r="L606" s="8" t="str">
        <f>IF(Table2[[#This Row],[Quantity]]=1, "Single Order", IF(Table2[[#This Row],[Quantity]]=2, "Small Order", IF(Table2[[#This Row],[Quantity]]=3, "Medium Order", "Bulk Order")))</f>
        <v>Single Order</v>
      </c>
      <c r="M606" s="10">
        <v>500</v>
      </c>
      <c r="N606" s="10">
        <v>500</v>
      </c>
    </row>
    <row r="607" spans="1:14" x14ac:dyDescent="0.2">
      <c r="A607">
        <v>368</v>
      </c>
      <c r="B607" s="5">
        <v>45161</v>
      </c>
      <c r="C607" s="5" t="str">
        <f>TEXT(Table2[[#This Row],[Date]], "MMM")</f>
        <v>Aug</v>
      </c>
      <c r="D607" s="8">
        <f>MONTH(Table2[[#This Row],[Date]])</f>
        <v>8</v>
      </c>
      <c r="E607" s="8">
        <f>YEAR(Table2[[#This Row],[Date]])</f>
        <v>2023</v>
      </c>
      <c r="F607" s="7" t="s">
        <v>381</v>
      </c>
      <c r="G607" s="7" t="s">
        <v>13</v>
      </c>
      <c r="H607" s="8">
        <v>56</v>
      </c>
      <c r="I607" s="8" t="str">
        <f>IF(Table2[[#This Row],[Age]] &lt; 19, "Teenagers", IF(Table2[[#This Row],[Age]] &lt;= 34, "Young Adults", IF(Table2[[#This Row],[Age]] &lt;= 45, "Adults", IF(Table2[[#This Row],[Age]] &lt;= 55, "Seniors", "Elderly")) ))</f>
        <v>Elderly</v>
      </c>
      <c r="J607" s="7" t="s">
        <v>14</v>
      </c>
      <c r="K607" s="8">
        <v>4</v>
      </c>
      <c r="L607" s="8" t="str">
        <f>IF(Table2[[#This Row],[Quantity]]=1, "Single Order", IF(Table2[[#This Row],[Quantity]]=2, "Small Order", IF(Table2[[#This Row],[Quantity]]=3, "Medium Order", "Bulk Order")))</f>
        <v>Bulk Order</v>
      </c>
      <c r="M607" s="10">
        <v>300</v>
      </c>
      <c r="N607" s="10">
        <v>1200</v>
      </c>
    </row>
    <row r="608" spans="1:14" x14ac:dyDescent="0.2">
      <c r="A608">
        <v>384</v>
      </c>
      <c r="B608" s="5">
        <v>45151</v>
      </c>
      <c r="C608" s="5" t="str">
        <f>TEXT(Table2[[#This Row],[Date]], "MMM")</f>
        <v>Aug</v>
      </c>
      <c r="D608" s="8">
        <f>MONTH(Table2[[#This Row],[Date]])</f>
        <v>8</v>
      </c>
      <c r="E608" s="8">
        <f>YEAR(Table2[[#This Row],[Date]])</f>
        <v>2023</v>
      </c>
      <c r="F608" s="7" t="s">
        <v>397</v>
      </c>
      <c r="G608" s="7" t="s">
        <v>10</v>
      </c>
      <c r="H608" s="8">
        <v>55</v>
      </c>
      <c r="I608" s="8" t="str">
        <f>IF(Table2[[#This Row],[Age]] &lt; 19, "Teenagers", IF(Table2[[#This Row],[Age]] &lt;= 34, "Young Adults", IF(Table2[[#This Row],[Age]] &lt;= 45, "Adults", IF(Table2[[#This Row],[Age]] &lt;= 55, "Seniors", "Elderly")) ))</f>
        <v>Seniors</v>
      </c>
      <c r="J608" s="7" t="s">
        <v>14</v>
      </c>
      <c r="K608" s="8">
        <v>1</v>
      </c>
      <c r="L608" s="8" t="str">
        <f>IF(Table2[[#This Row],[Quantity]]=1, "Single Order", IF(Table2[[#This Row],[Quantity]]=2, "Small Order", IF(Table2[[#This Row],[Quantity]]=3, "Medium Order", "Bulk Order")))</f>
        <v>Single Order</v>
      </c>
      <c r="M608" s="10">
        <v>500</v>
      </c>
      <c r="N608" s="10">
        <v>500</v>
      </c>
    </row>
    <row r="609" spans="1:14" x14ac:dyDescent="0.2">
      <c r="A609">
        <v>418</v>
      </c>
      <c r="B609" s="5">
        <v>45143</v>
      </c>
      <c r="C609" s="5" t="str">
        <f>TEXT(Table2[[#This Row],[Date]], "MMM")</f>
        <v>Aug</v>
      </c>
      <c r="D609" s="8">
        <f>MONTH(Table2[[#This Row],[Date]])</f>
        <v>8</v>
      </c>
      <c r="E609" s="8">
        <f>YEAR(Table2[[#This Row],[Date]])</f>
        <v>2023</v>
      </c>
      <c r="F609" s="7" t="s">
        <v>431</v>
      </c>
      <c r="G609" s="7" t="s">
        <v>13</v>
      </c>
      <c r="H609" s="8">
        <v>60</v>
      </c>
      <c r="I609" s="8" t="str">
        <f>IF(Table2[[#This Row],[Age]] &lt; 19, "Teenagers", IF(Table2[[#This Row],[Age]] &lt;= 34, "Young Adults", IF(Table2[[#This Row],[Age]] &lt;= 45, "Adults", IF(Table2[[#This Row],[Age]] &lt;= 55, "Seniors", "Elderly")) ))</f>
        <v>Elderly</v>
      </c>
      <c r="J609" s="7" t="s">
        <v>16</v>
      </c>
      <c r="K609" s="8">
        <v>2</v>
      </c>
      <c r="L609" s="8" t="str">
        <f>IF(Table2[[#This Row],[Quantity]]=1, "Single Order", IF(Table2[[#This Row],[Quantity]]=2, "Small Order", IF(Table2[[#This Row],[Quantity]]=3, "Medium Order", "Bulk Order")))</f>
        <v>Small Order</v>
      </c>
      <c r="M609" s="10">
        <v>500</v>
      </c>
      <c r="N609" s="10">
        <v>1000</v>
      </c>
    </row>
    <row r="610" spans="1:14" x14ac:dyDescent="0.2">
      <c r="A610">
        <v>427</v>
      </c>
      <c r="B610" s="5">
        <v>45153</v>
      </c>
      <c r="C610" s="5" t="str">
        <f>TEXT(Table2[[#This Row],[Date]], "MMM")</f>
        <v>Aug</v>
      </c>
      <c r="D610" s="8">
        <f>MONTH(Table2[[#This Row],[Date]])</f>
        <v>8</v>
      </c>
      <c r="E610" s="8">
        <f>YEAR(Table2[[#This Row],[Date]])</f>
        <v>2023</v>
      </c>
      <c r="F610" s="7" t="s">
        <v>440</v>
      </c>
      <c r="G610" s="7" t="s">
        <v>10</v>
      </c>
      <c r="H610" s="8">
        <v>25</v>
      </c>
      <c r="I610" s="8" t="str">
        <f>IF(Table2[[#This Row],[Age]] &lt; 19, "Teenagers", IF(Table2[[#This Row],[Age]] &lt;= 34, "Young Adults", IF(Table2[[#This Row],[Age]] &lt;= 45, "Adults", IF(Table2[[#This Row],[Age]] &lt;= 55, "Seniors", "Elderly")) ))</f>
        <v>Young Adults</v>
      </c>
      <c r="J610" s="7" t="s">
        <v>16</v>
      </c>
      <c r="K610" s="8">
        <v>1</v>
      </c>
      <c r="L610" s="8" t="str">
        <f>IF(Table2[[#This Row],[Quantity]]=1, "Single Order", IF(Table2[[#This Row],[Quantity]]=2, "Small Order", IF(Table2[[#This Row],[Quantity]]=3, "Medium Order", "Bulk Order")))</f>
        <v>Single Order</v>
      </c>
      <c r="M610" s="10">
        <v>25</v>
      </c>
      <c r="N610" s="10">
        <v>25</v>
      </c>
    </row>
    <row r="611" spans="1:14" x14ac:dyDescent="0.2">
      <c r="A611">
        <v>430</v>
      </c>
      <c r="B611" s="5">
        <v>45145</v>
      </c>
      <c r="C611" s="5" t="str">
        <f>TEXT(Table2[[#This Row],[Date]], "MMM")</f>
        <v>Aug</v>
      </c>
      <c r="D611" s="8">
        <f>MONTH(Table2[[#This Row],[Date]])</f>
        <v>8</v>
      </c>
      <c r="E611" s="8">
        <f>YEAR(Table2[[#This Row],[Date]])</f>
        <v>2023</v>
      </c>
      <c r="F611" s="7" t="s">
        <v>443</v>
      </c>
      <c r="G611" s="7" t="s">
        <v>13</v>
      </c>
      <c r="H611" s="8">
        <v>43</v>
      </c>
      <c r="I611" s="8" t="str">
        <f>IF(Table2[[#This Row],[Age]] &lt; 19, "Teenagers", IF(Table2[[#This Row],[Age]] &lt;= 34, "Young Adults", IF(Table2[[#This Row],[Age]] &lt;= 45, "Adults", IF(Table2[[#This Row],[Age]] &lt;= 55, "Seniors", "Elderly")) ))</f>
        <v>Adults</v>
      </c>
      <c r="J611" s="7" t="s">
        <v>16</v>
      </c>
      <c r="K611" s="8">
        <v>3</v>
      </c>
      <c r="L611" s="8" t="str">
        <f>IF(Table2[[#This Row],[Quantity]]=1, "Single Order", IF(Table2[[#This Row],[Quantity]]=2, "Small Order", IF(Table2[[#This Row],[Quantity]]=3, "Medium Order", "Bulk Order")))</f>
        <v>Medium Order</v>
      </c>
      <c r="M611" s="10">
        <v>300</v>
      </c>
      <c r="N611" s="10">
        <v>900</v>
      </c>
    </row>
    <row r="612" spans="1:14" x14ac:dyDescent="0.2">
      <c r="A612">
        <v>443</v>
      </c>
      <c r="B612" s="5">
        <v>45147</v>
      </c>
      <c r="C612" s="5" t="str">
        <f>TEXT(Table2[[#This Row],[Date]], "MMM")</f>
        <v>Aug</v>
      </c>
      <c r="D612" s="8">
        <f>MONTH(Table2[[#This Row],[Date]])</f>
        <v>8</v>
      </c>
      <c r="E612" s="8">
        <f>YEAR(Table2[[#This Row],[Date]])</f>
        <v>2023</v>
      </c>
      <c r="F612" s="7" t="s">
        <v>456</v>
      </c>
      <c r="G612" s="7" t="s">
        <v>10</v>
      </c>
      <c r="H612" s="8">
        <v>29</v>
      </c>
      <c r="I612" s="8" t="str">
        <f>IF(Table2[[#This Row],[Age]] &lt; 19, "Teenagers", IF(Table2[[#This Row],[Age]] &lt;= 34, "Young Adults", IF(Table2[[#This Row],[Age]] &lt;= 45, "Adults", IF(Table2[[#This Row],[Age]] &lt;= 55, "Seniors", "Elderly")) ))</f>
        <v>Young Adults</v>
      </c>
      <c r="J612" s="7" t="s">
        <v>14</v>
      </c>
      <c r="K612" s="8">
        <v>2</v>
      </c>
      <c r="L612" s="8" t="str">
        <f>IF(Table2[[#This Row],[Quantity]]=1, "Single Order", IF(Table2[[#This Row],[Quantity]]=2, "Small Order", IF(Table2[[#This Row],[Quantity]]=3, "Medium Order", "Bulk Order")))</f>
        <v>Small Order</v>
      </c>
      <c r="M612" s="10">
        <v>300</v>
      </c>
      <c r="N612" s="10">
        <v>600</v>
      </c>
    </row>
    <row r="613" spans="1:14" x14ac:dyDescent="0.2">
      <c r="A613">
        <v>476</v>
      </c>
      <c r="B613" s="5">
        <v>45167</v>
      </c>
      <c r="C613" s="5" t="str">
        <f>TEXT(Table2[[#This Row],[Date]], "MMM")</f>
        <v>Aug</v>
      </c>
      <c r="D613" s="8">
        <f>MONTH(Table2[[#This Row],[Date]])</f>
        <v>8</v>
      </c>
      <c r="E613" s="8">
        <f>YEAR(Table2[[#This Row],[Date]])</f>
        <v>2023</v>
      </c>
      <c r="F613" s="7" t="s">
        <v>489</v>
      </c>
      <c r="G613" s="7" t="s">
        <v>13</v>
      </c>
      <c r="H613" s="8">
        <v>27</v>
      </c>
      <c r="I613" s="8" t="str">
        <f>IF(Table2[[#This Row],[Age]] &lt; 19, "Teenagers", IF(Table2[[#This Row],[Age]] &lt;= 34, "Young Adults", IF(Table2[[#This Row],[Age]] &lt;= 45, "Adults", IF(Table2[[#This Row],[Age]] &lt;= 55, "Seniors", "Elderly")) ))</f>
        <v>Young Adults</v>
      </c>
      <c r="J613" s="7" t="s">
        <v>14</v>
      </c>
      <c r="K613" s="8">
        <v>4</v>
      </c>
      <c r="L613" s="8" t="str">
        <f>IF(Table2[[#This Row],[Quantity]]=1, "Single Order", IF(Table2[[#This Row],[Quantity]]=2, "Small Order", IF(Table2[[#This Row],[Quantity]]=3, "Medium Order", "Bulk Order")))</f>
        <v>Bulk Order</v>
      </c>
      <c r="M613" s="10">
        <v>500</v>
      </c>
      <c r="N613" s="10">
        <v>2000</v>
      </c>
    </row>
    <row r="614" spans="1:14" x14ac:dyDescent="0.2">
      <c r="A614">
        <v>479</v>
      </c>
      <c r="B614" s="5">
        <v>45162</v>
      </c>
      <c r="C614" s="5" t="str">
        <f>TEXT(Table2[[#This Row],[Date]], "MMM")</f>
        <v>Aug</v>
      </c>
      <c r="D614" s="8">
        <f>MONTH(Table2[[#This Row],[Date]])</f>
        <v>8</v>
      </c>
      <c r="E614" s="8">
        <f>YEAR(Table2[[#This Row],[Date]])</f>
        <v>2023</v>
      </c>
      <c r="F614" s="7" t="s">
        <v>492</v>
      </c>
      <c r="G614" s="7" t="s">
        <v>10</v>
      </c>
      <c r="H614" s="8">
        <v>52</v>
      </c>
      <c r="I614" s="8" t="str">
        <f>IF(Table2[[#This Row],[Age]] &lt; 19, "Teenagers", IF(Table2[[#This Row],[Age]] &lt;= 34, "Young Adults", IF(Table2[[#This Row],[Age]] &lt;= 45, "Adults", IF(Table2[[#This Row],[Age]] &lt;= 55, "Seniors", "Elderly")) ))</f>
        <v>Seniors</v>
      </c>
      <c r="J614" s="7" t="s">
        <v>16</v>
      </c>
      <c r="K614" s="8">
        <v>4</v>
      </c>
      <c r="L614" s="8" t="str">
        <f>IF(Table2[[#This Row],[Quantity]]=1, "Single Order", IF(Table2[[#This Row],[Quantity]]=2, "Small Order", IF(Table2[[#This Row],[Quantity]]=3, "Medium Order", "Bulk Order")))</f>
        <v>Bulk Order</v>
      </c>
      <c r="M614" s="10">
        <v>300</v>
      </c>
      <c r="N614" s="10">
        <v>1200</v>
      </c>
    </row>
    <row r="615" spans="1:14" x14ac:dyDescent="0.2">
      <c r="A615">
        <v>508</v>
      </c>
      <c r="B615" s="5">
        <v>45149</v>
      </c>
      <c r="C615" s="5" t="str">
        <f>TEXT(Table2[[#This Row],[Date]], "MMM")</f>
        <v>Aug</v>
      </c>
      <c r="D615" s="8">
        <f>MONTH(Table2[[#This Row],[Date]])</f>
        <v>8</v>
      </c>
      <c r="E615" s="8">
        <f>YEAR(Table2[[#This Row],[Date]])</f>
        <v>2023</v>
      </c>
      <c r="F615" s="7" t="s">
        <v>521</v>
      </c>
      <c r="G615" s="7" t="s">
        <v>10</v>
      </c>
      <c r="H615" s="8">
        <v>58</v>
      </c>
      <c r="I615" s="8" t="str">
        <f>IF(Table2[[#This Row],[Age]] &lt; 19, "Teenagers", IF(Table2[[#This Row],[Age]] &lt;= 34, "Young Adults", IF(Table2[[#This Row],[Age]] &lt;= 45, "Adults", IF(Table2[[#This Row],[Age]] &lt;= 55, "Seniors", "Elderly")) ))</f>
        <v>Elderly</v>
      </c>
      <c r="J615" s="7" t="s">
        <v>11</v>
      </c>
      <c r="K615" s="8">
        <v>2</v>
      </c>
      <c r="L615" s="8" t="str">
        <f>IF(Table2[[#This Row],[Quantity]]=1, "Single Order", IF(Table2[[#This Row],[Quantity]]=2, "Small Order", IF(Table2[[#This Row],[Quantity]]=3, "Medium Order", "Bulk Order")))</f>
        <v>Small Order</v>
      </c>
      <c r="M615" s="10">
        <v>300</v>
      </c>
      <c r="N615" s="10">
        <v>600</v>
      </c>
    </row>
    <row r="616" spans="1:14" x14ac:dyDescent="0.2">
      <c r="A616">
        <v>511</v>
      </c>
      <c r="B616" s="5">
        <v>45150</v>
      </c>
      <c r="C616" s="5" t="str">
        <f>TEXT(Table2[[#This Row],[Date]], "MMM")</f>
        <v>Aug</v>
      </c>
      <c r="D616" s="8">
        <f>MONTH(Table2[[#This Row],[Date]])</f>
        <v>8</v>
      </c>
      <c r="E616" s="8">
        <f>YEAR(Table2[[#This Row],[Date]])</f>
        <v>2023</v>
      </c>
      <c r="F616" s="7" t="s">
        <v>524</v>
      </c>
      <c r="G616" s="7" t="s">
        <v>10</v>
      </c>
      <c r="H616" s="8">
        <v>45</v>
      </c>
      <c r="I616" s="8" t="str">
        <f>IF(Table2[[#This Row],[Age]] &lt; 19, "Teenagers", IF(Table2[[#This Row],[Age]] &lt;= 34, "Young Adults", IF(Table2[[#This Row],[Age]] &lt;= 45, "Adults", IF(Table2[[#This Row],[Age]] &lt;= 55, "Seniors", "Elderly")) ))</f>
        <v>Adults</v>
      </c>
      <c r="J616" s="7" t="s">
        <v>11</v>
      </c>
      <c r="K616" s="8">
        <v>2</v>
      </c>
      <c r="L616" s="8" t="str">
        <f>IF(Table2[[#This Row],[Quantity]]=1, "Single Order", IF(Table2[[#This Row],[Quantity]]=2, "Small Order", IF(Table2[[#This Row],[Quantity]]=3, "Medium Order", "Bulk Order")))</f>
        <v>Small Order</v>
      </c>
      <c r="M616" s="10">
        <v>50</v>
      </c>
      <c r="N616" s="10">
        <v>100</v>
      </c>
    </row>
    <row r="617" spans="1:14" x14ac:dyDescent="0.2">
      <c r="A617">
        <v>521</v>
      </c>
      <c r="B617" s="5">
        <v>45150</v>
      </c>
      <c r="C617" s="5" t="str">
        <f>TEXT(Table2[[#This Row],[Date]], "MMM")</f>
        <v>Aug</v>
      </c>
      <c r="D617" s="8">
        <f>MONTH(Table2[[#This Row],[Date]])</f>
        <v>8</v>
      </c>
      <c r="E617" s="8">
        <f>YEAR(Table2[[#This Row],[Date]])</f>
        <v>2023</v>
      </c>
      <c r="F617" s="7" t="s">
        <v>534</v>
      </c>
      <c r="G617" s="7" t="s">
        <v>13</v>
      </c>
      <c r="H617" s="8">
        <v>47</v>
      </c>
      <c r="I617" s="8" t="str">
        <f>IF(Table2[[#This Row],[Age]] &lt; 19, "Teenagers", IF(Table2[[#This Row],[Age]] &lt;= 34, "Young Adults", IF(Table2[[#This Row],[Age]] &lt;= 45, "Adults", IF(Table2[[#This Row],[Age]] &lt;= 55, "Seniors", "Elderly")) ))</f>
        <v>Seniors</v>
      </c>
      <c r="J617" s="7" t="s">
        <v>14</v>
      </c>
      <c r="K617" s="8">
        <v>4</v>
      </c>
      <c r="L617" s="8" t="str">
        <f>IF(Table2[[#This Row],[Quantity]]=1, "Single Order", IF(Table2[[#This Row],[Quantity]]=2, "Small Order", IF(Table2[[#This Row],[Quantity]]=3, "Medium Order", "Bulk Order")))</f>
        <v>Bulk Order</v>
      </c>
      <c r="M617" s="10">
        <v>30</v>
      </c>
      <c r="N617" s="10">
        <v>120</v>
      </c>
    </row>
    <row r="618" spans="1:14" x14ac:dyDescent="0.2">
      <c r="A618">
        <v>529</v>
      </c>
      <c r="B618" s="5">
        <v>45147</v>
      </c>
      <c r="C618" s="5" t="str">
        <f>TEXT(Table2[[#This Row],[Date]], "MMM")</f>
        <v>Aug</v>
      </c>
      <c r="D618" s="8">
        <f>MONTH(Table2[[#This Row],[Date]])</f>
        <v>8</v>
      </c>
      <c r="E618" s="8">
        <f>YEAR(Table2[[#This Row],[Date]])</f>
        <v>2023</v>
      </c>
      <c r="F618" s="7" t="s">
        <v>542</v>
      </c>
      <c r="G618" s="7" t="s">
        <v>13</v>
      </c>
      <c r="H618" s="8">
        <v>35</v>
      </c>
      <c r="I618" s="8" t="str">
        <f>IF(Table2[[#This Row],[Age]] &lt; 19, "Teenagers", IF(Table2[[#This Row],[Age]] &lt;= 34, "Young Adults", IF(Table2[[#This Row],[Age]] &lt;= 45, "Adults", IF(Table2[[#This Row],[Age]] &lt;= 55, "Seniors", "Elderly")) ))</f>
        <v>Adults</v>
      </c>
      <c r="J618" s="7" t="s">
        <v>14</v>
      </c>
      <c r="K618" s="8">
        <v>3</v>
      </c>
      <c r="L618" s="8" t="str">
        <f>IF(Table2[[#This Row],[Quantity]]=1, "Single Order", IF(Table2[[#This Row],[Quantity]]=2, "Small Order", IF(Table2[[#This Row],[Quantity]]=3, "Medium Order", "Bulk Order")))</f>
        <v>Medium Order</v>
      </c>
      <c r="M618" s="10">
        <v>50</v>
      </c>
      <c r="N618" s="10">
        <v>150</v>
      </c>
    </row>
    <row r="619" spans="1:14" x14ac:dyDescent="0.2">
      <c r="A619">
        <v>549</v>
      </c>
      <c r="B619" s="5">
        <v>45142</v>
      </c>
      <c r="C619" s="5" t="str">
        <f>TEXT(Table2[[#This Row],[Date]], "MMM")</f>
        <v>Aug</v>
      </c>
      <c r="D619" s="8">
        <f>MONTH(Table2[[#This Row],[Date]])</f>
        <v>8</v>
      </c>
      <c r="E619" s="8">
        <f>YEAR(Table2[[#This Row],[Date]])</f>
        <v>2023</v>
      </c>
      <c r="F619" s="7" t="s">
        <v>562</v>
      </c>
      <c r="G619" s="7" t="s">
        <v>13</v>
      </c>
      <c r="H619" s="8">
        <v>50</v>
      </c>
      <c r="I619" s="8" t="str">
        <f>IF(Table2[[#This Row],[Age]] &lt; 19, "Teenagers", IF(Table2[[#This Row],[Age]] &lt;= 34, "Young Adults", IF(Table2[[#This Row],[Age]] &lt;= 45, "Adults", IF(Table2[[#This Row],[Age]] &lt;= 55, "Seniors", "Elderly")) ))</f>
        <v>Seniors</v>
      </c>
      <c r="J619" s="7" t="s">
        <v>11</v>
      </c>
      <c r="K619" s="8">
        <v>2</v>
      </c>
      <c r="L619" s="8" t="str">
        <f>IF(Table2[[#This Row],[Quantity]]=1, "Single Order", IF(Table2[[#This Row],[Quantity]]=2, "Small Order", IF(Table2[[#This Row],[Quantity]]=3, "Medium Order", "Bulk Order")))</f>
        <v>Small Order</v>
      </c>
      <c r="M619" s="10">
        <v>50</v>
      </c>
      <c r="N619" s="10">
        <v>100</v>
      </c>
    </row>
    <row r="620" spans="1:14" x14ac:dyDescent="0.2">
      <c r="A620">
        <v>563</v>
      </c>
      <c r="B620" s="5">
        <v>45147</v>
      </c>
      <c r="C620" s="5" t="str">
        <f>TEXT(Table2[[#This Row],[Date]], "MMM")</f>
        <v>Aug</v>
      </c>
      <c r="D620" s="8">
        <f>MONTH(Table2[[#This Row],[Date]])</f>
        <v>8</v>
      </c>
      <c r="E620" s="8">
        <f>YEAR(Table2[[#This Row],[Date]])</f>
        <v>2023</v>
      </c>
      <c r="F620" s="7" t="s">
        <v>576</v>
      </c>
      <c r="G620" s="7" t="s">
        <v>10</v>
      </c>
      <c r="H620" s="8">
        <v>20</v>
      </c>
      <c r="I620" s="8" t="str">
        <f>IF(Table2[[#This Row],[Age]] &lt; 19, "Teenagers", IF(Table2[[#This Row],[Age]] &lt;= 34, "Young Adults", IF(Table2[[#This Row],[Age]] &lt;= 45, "Adults", IF(Table2[[#This Row],[Age]] &lt;= 55, "Seniors", "Elderly")) ))</f>
        <v>Young Adults</v>
      </c>
      <c r="J620" s="7" t="s">
        <v>14</v>
      </c>
      <c r="K620" s="8">
        <v>2</v>
      </c>
      <c r="L620" s="8" t="str">
        <f>IF(Table2[[#This Row],[Quantity]]=1, "Single Order", IF(Table2[[#This Row],[Quantity]]=2, "Small Order", IF(Table2[[#This Row],[Quantity]]=3, "Medium Order", "Bulk Order")))</f>
        <v>Small Order</v>
      </c>
      <c r="M620" s="10">
        <v>30</v>
      </c>
      <c r="N620" s="10">
        <v>60</v>
      </c>
    </row>
    <row r="621" spans="1:14" x14ac:dyDescent="0.2">
      <c r="A621">
        <v>568</v>
      </c>
      <c r="B621" s="5">
        <v>45165</v>
      </c>
      <c r="C621" s="5" t="str">
        <f>TEXT(Table2[[#This Row],[Date]], "MMM")</f>
        <v>Aug</v>
      </c>
      <c r="D621" s="8">
        <f>MONTH(Table2[[#This Row],[Date]])</f>
        <v>8</v>
      </c>
      <c r="E621" s="8">
        <f>YEAR(Table2[[#This Row],[Date]])</f>
        <v>2023</v>
      </c>
      <c r="F621" s="7" t="s">
        <v>581</v>
      </c>
      <c r="G621" s="7" t="s">
        <v>13</v>
      </c>
      <c r="H621" s="8">
        <v>51</v>
      </c>
      <c r="I621" s="8" t="str">
        <f>IF(Table2[[#This Row],[Age]] &lt; 19, "Teenagers", IF(Table2[[#This Row],[Age]] &lt;= 34, "Young Adults", IF(Table2[[#This Row],[Age]] &lt;= 45, "Adults", IF(Table2[[#This Row],[Age]] &lt;= 55, "Seniors", "Elderly")) ))</f>
        <v>Seniors</v>
      </c>
      <c r="J621" s="7" t="s">
        <v>16</v>
      </c>
      <c r="K621" s="8">
        <v>1</v>
      </c>
      <c r="L621" s="8" t="str">
        <f>IF(Table2[[#This Row],[Quantity]]=1, "Single Order", IF(Table2[[#This Row],[Quantity]]=2, "Small Order", IF(Table2[[#This Row],[Quantity]]=3, "Medium Order", "Bulk Order")))</f>
        <v>Single Order</v>
      </c>
      <c r="M621" s="10">
        <v>300</v>
      </c>
      <c r="N621" s="10">
        <v>300</v>
      </c>
    </row>
    <row r="622" spans="1:14" x14ac:dyDescent="0.2">
      <c r="A622">
        <v>569</v>
      </c>
      <c r="B622" s="5">
        <v>45153</v>
      </c>
      <c r="C622" s="5" t="str">
        <f>TEXT(Table2[[#This Row],[Date]], "MMM")</f>
        <v>Aug</v>
      </c>
      <c r="D622" s="8">
        <f>MONTH(Table2[[#This Row],[Date]])</f>
        <v>8</v>
      </c>
      <c r="E622" s="8">
        <f>YEAR(Table2[[#This Row],[Date]])</f>
        <v>2023</v>
      </c>
      <c r="F622" s="7" t="s">
        <v>582</v>
      </c>
      <c r="G622" s="7" t="s">
        <v>10</v>
      </c>
      <c r="H622" s="8">
        <v>52</v>
      </c>
      <c r="I622" s="8" t="str">
        <f>IF(Table2[[#This Row],[Age]] &lt; 19, "Teenagers", IF(Table2[[#This Row],[Age]] &lt;= 34, "Young Adults", IF(Table2[[#This Row],[Age]] &lt;= 45, "Adults", IF(Table2[[#This Row],[Age]] &lt;= 55, "Seniors", "Elderly")) ))</f>
        <v>Seniors</v>
      </c>
      <c r="J622" s="7" t="s">
        <v>16</v>
      </c>
      <c r="K622" s="8">
        <v>4</v>
      </c>
      <c r="L622" s="8" t="str">
        <f>IF(Table2[[#This Row],[Quantity]]=1, "Single Order", IF(Table2[[#This Row],[Quantity]]=2, "Small Order", IF(Table2[[#This Row],[Quantity]]=3, "Medium Order", "Bulk Order")))</f>
        <v>Bulk Order</v>
      </c>
      <c r="M622" s="10">
        <v>50</v>
      </c>
      <c r="N622" s="10">
        <v>200</v>
      </c>
    </row>
    <row r="623" spans="1:14" x14ac:dyDescent="0.2">
      <c r="A623">
        <v>570</v>
      </c>
      <c r="B623" s="5">
        <v>45153</v>
      </c>
      <c r="C623" s="5" t="str">
        <f>TEXT(Table2[[#This Row],[Date]], "MMM")</f>
        <v>Aug</v>
      </c>
      <c r="D623" s="8">
        <f>MONTH(Table2[[#This Row],[Date]])</f>
        <v>8</v>
      </c>
      <c r="E623" s="8">
        <f>YEAR(Table2[[#This Row],[Date]])</f>
        <v>2023</v>
      </c>
      <c r="F623" s="7" t="s">
        <v>583</v>
      </c>
      <c r="G623" s="7" t="s">
        <v>10</v>
      </c>
      <c r="H623" s="8">
        <v>49</v>
      </c>
      <c r="I623" s="8" t="str">
        <f>IF(Table2[[#This Row],[Age]] &lt; 19, "Teenagers", IF(Table2[[#This Row],[Age]] &lt;= 34, "Young Adults", IF(Table2[[#This Row],[Age]] &lt;= 45, "Adults", IF(Table2[[#This Row],[Age]] &lt;= 55, "Seniors", "Elderly")) ))</f>
        <v>Seniors</v>
      </c>
      <c r="J623" s="7" t="s">
        <v>14</v>
      </c>
      <c r="K623" s="8">
        <v>1</v>
      </c>
      <c r="L623" s="8" t="str">
        <f>IF(Table2[[#This Row],[Quantity]]=1, "Single Order", IF(Table2[[#This Row],[Quantity]]=2, "Small Order", IF(Table2[[#This Row],[Quantity]]=3, "Medium Order", "Bulk Order")))</f>
        <v>Single Order</v>
      </c>
      <c r="M623" s="10">
        <v>500</v>
      </c>
      <c r="N623" s="10">
        <v>500</v>
      </c>
    </row>
    <row r="624" spans="1:14" x14ac:dyDescent="0.2">
      <c r="A624">
        <v>574</v>
      </c>
      <c r="B624" s="5">
        <v>45169</v>
      </c>
      <c r="C624" s="5" t="str">
        <f>TEXT(Table2[[#This Row],[Date]], "MMM")</f>
        <v>Aug</v>
      </c>
      <c r="D624" s="8">
        <f>MONTH(Table2[[#This Row],[Date]])</f>
        <v>8</v>
      </c>
      <c r="E624" s="8">
        <f>YEAR(Table2[[#This Row],[Date]])</f>
        <v>2023</v>
      </c>
      <c r="F624" s="7" t="s">
        <v>587</v>
      </c>
      <c r="G624" s="7" t="s">
        <v>13</v>
      </c>
      <c r="H624" s="8">
        <v>63</v>
      </c>
      <c r="I624" s="8" t="str">
        <f>IF(Table2[[#This Row],[Age]] &lt; 19, "Teenagers", IF(Table2[[#This Row],[Age]] &lt;= 34, "Young Adults", IF(Table2[[#This Row],[Age]] &lt;= 45, "Adults", IF(Table2[[#This Row],[Age]] &lt;= 55, "Seniors", "Elderly")) ))</f>
        <v>Elderly</v>
      </c>
      <c r="J624" s="7" t="s">
        <v>16</v>
      </c>
      <c r="K624" s="8">
        <v>2</v>
      </c>
      <c r="L624" s="8" t="str">
        <f>IF(Table2[[#This Row],[Quantity]]=1, "Single Order", IF(Table2[[#This Row],[Quantity]]=2, "Small Order", IF(Table2[[#This Row],[Quantity]]=3, "Medium Order", "Bulk Order")))</f>
        <v>Small Order</v>
      </c>
      <c r="M624" s="10">
        <v>25</v>
      </c>
      <c r="N624" s="10">
        <v>50</v>
      </c>
    </row>
    <row r="625" spans="1:14" x14ac:dyDescent="0.2">
      <c r="A625">
        <v>597</v>
      </c>
      <c r="B625" s="5">
        <v>45160</v>
      </c>
      <c r="C625" s="5" t="str">
        <f>TEXT(Table2[[#This Row],[Date]], "MMM")</f>
        <v>Aug</v>
      </c>
      <c r="D625" s="8">
        <f>MONTH(Table2[[#This Row],[Date]])</f>
        <v>8</v>
      </c>
      <c r="E625" s="8">
        <f>YEAR(Table2[[#This Row],[Date]])</f>
        <v>2023</v>
      </c>
      <c r="F625" s="7" t="s">
        <v>610</v>
      </c>
      <c r="G625" s="7" t="s">
        <v>10</v>
      </c>
      <c r="H625" s="8">
        <v>22</v>
      </c>
      <c r="I625" s="8" t="str">
        <f>IF(Table2[[#This Row],[Age]] &lt; 19, "Teenagers", IF(Table2[[#This Row],[Age]] &lt;= 34, "Young Adults", IF(Table2[[#This Row],[Age]] &lt;= 45, "Adults", IF(Table2[[#This Row],[Age]] &lt;= 55, "Seniors", "Elderly")) ))</f>
        <v>Young Adults</v>
      </c>
      <c r="J625" s="7" t="s">
        <v>11</v>
      </c>
      <c r="K625" s="8">
        <v>4</v>
      </c>
      <c r="L625" s="8" t="str">
        <f>IF(Table2[[#This Row],[Quantity]]=1, "Single Order", IF(Table2[[#This Row],[Quantity]]=2, "Small Order", IF(Table2[[#This Row],[Quantity]]=3, "Medium Order", "Bulk Order")))</f>
        <v>Bulk Order</v>
      </c>
      <c r="M625" s="10">
        <v>300</v>
      </c>
      <c r="N625" s="10">
        <v>1200</v>
      </c>
    </row>
    <row r="626" spans="1:14" x14ac:dyDescent="0.2">
      <c r="A626">
        <v>598</v>
      </c>
      <c r="B626" s="5">
        <v>45139</v>
      </c>
      <c r="C626" s="5" t="str">
        <f>TEXT(Table2[[#This Row],[Date]], "MMM")</f>
        <v>Aug</v>
      </c>
      <c r="D626" s="8">
        <f>MONTH(Table2[[#This Row],[Date]])</f>
        <v>8</v>
      </c>
      <c r="E626" s="8">
        <f>YEAR(Table2[[#This Row],[Date]])</f>
        <v>2023</v>
      </c>
      <c r="F626" s="7" t="s">
        <v>611</v>
      </c>
      <c r="G626" s="7" t="s">
        <v>10</v>
      </c>
      <c r="H626" s="8">
        <v>37</v>
      </c>
      <c r="I626" s="8" t="str">
        <f>IF(Table2[[#This Row],[Age]] &lt; 19, "Teenagers", IF(Table2[[#This Row],[Age]] &lt;= 34, "Young Adults", IF(Table2[[#This Row],[Age]] &lt;= 45, "Adults", IF(Table2[[#This Row],[Age]] &lt;= 55, "Seniors", "Elderly")) ))</f>
        <v>Adults</v>
      </c>
      <c r="J626" s="7" t="s">
        <v>11</v>
      </c>
      <c r="K626" s="8">
        <v>4</v>
      </c>
      <c r="L626" s="8" t="str">
        <f>IF(Table2[[#This Row],[Quantity]]=1, "Single Order", IF(Table2[[#This Row],[Quantity]]=2, "Small Order", IF(Table2[[#This Row],[Quantity]]=3, "Medium Order", "Bulk Order")))</f>
        <v>Bulk Order</v>
      </c>
      <c r="M626" s="10">
        <v>30</v>
      </c>
      <c r="N626" s="10">
        <v>120</v>
      </c>
    </row>
    <row r="627" spans="1:14" x14ac:dyDescent="0.2">
      <c r="A627">
        <v>612</v>
      </c>
      <c r="B627" s="5">
        <v>45144</v>
      </c>
      <c r="C627" s="5" t="str">
        <f>TEXT(Table2[[#This Row],[Date]], "MMM")</f>
        <v>Aug</v>
      </c>
      <c r="D627" s="8">
        <f>MONTH(Table2[[#This Row],[Date]])</f>
        <v>8</v>
      </c>
      <c r="E627" s="8">
        <f>YEAR(Table2[[#This Row],[Date]])</f>
        <v>2023</v>
      </c>
      <c r="F627" s="7" t="s">
        <v>625</v>
      </c>
      <c r="G627" s="7" t="s">
        <v>13</v>
      </c>
      <c r="H627" s="8">
        <v>61</v>
      </c>
      <c r="I627" s="8" t="str">
        <f>IF(Table2[[#This Row],[Age]] &lt; 19, "Teenagers", IF(Table2[[#This Row],[Age]] &lt;= 34, "Young Adults", IF(Table2[[#This Row],[Age]] &lt;= 45, "Adults", IF(Table2[[#This Row],[Age]] &lt;= 55, "Seniors", "Elderly")) ))</f>
        <v>Elderly</v>
      </c>
      <c r="J627" s="7" t="s">
        <v>16</v>
      </c>
      <c r="K627" s="8">
        <v>1</v>
      </c>
      <c r="L627" s="8" t="str">
        <f>IF(Table2[[#This Row],[Quantity]]=1, "Single Order", IF(Table2[[#This Row],[Quantity]]=2, "Small Order", IF(Table2[[#This Row],[Quantity]]=3, "Medium Order", "Bulk Order")))</f>
        <v>Single Order</v>
      </c>
      <c r="M627" s="10">
        <v>500</v>
      </c>
      <c r="N627" s="10">
        <v>500</v>
      </c>
    </row>
    <row r="628" spans="1:14" x14ac:dyDescent="0.2">
      <c r="A628">
        <v>617</v>
      </c>
      <c r="B628" s="5">
        <v>45164</v>
      </c>
      <c r="C628" s="5" t="str">
        <f>TEXT(Table2[[#This Row],[Date]], "MMM")</f>
        <v>Aug</v>
      </c>
      <c r="D628" s="8">
        <f>MONTH(Table2[[#This Row],[Date]])</f>
        <v>8</v>
      </c>
      <c r="E628" s="8">
        <f>YEAR(Table2[[#This Row],[Date]])</f>
        <v>2023</v>
      </c>
      <c r="F628" s="7" t="s">
        <v>630</v>
      </c>
      <c r="G628" s="7" t="s">
        <v>10</v>
      </c>
      <c r="H628" s="8">
        <v>34</v>
      </c>
      <c r="I628" s="8" t="str">
        <f>IF(Table2[[#This Row],[Age]] &lt; 19, "Teenagers", IF(Table2[[#This Row],[Age]] &lt;= 34, "Young Adults", IF(Table2[[#This Row],[Age]] &lt;= 45, "Adults", IF(Table2[[#This Row],[Age]] &lt;= 55, "Seniors", "Elderly")) ))</f>
        <v>Young Adults</v>
      </c>
      <c r="J628" s="7" t="s">
        <v>16</v>
      </c>
      <c r="K628" s="8">
        <v>1</v>
      </c>
      <c r="L628" s="8" t="str">
        <f>IF(Table2[[#This Row],[Quantity]]=1, "Single Order", IF(Table2[[#This Row],[Quantity]]=2, "Small Order", IF(Table2[[#This Row],[Quantity]]=3, "Medium Order", "Bulk Order")))</f>
        <v>Single Order</v>
      </c>
      <c r="M628" s="10">
        <v>30</v>
      </c>
      <c r="N628" s="10">
        <v>30</v>
      </c>
    </row>
    <row r="629" spans="1:14" x14ac:dyDescent="0.2">
      <c r="A629">
        <v>622</v>
      </c>
      <c r="B629" s="5">
        <v>45160</v>
      </c>
      <c r="C629" s="5" t="str">
        <f>TEXT(Table2[[#This Row],[Date]], "MMM")</f>
        <v>Aug</v>
      </c>
      <c r="D629" s="8">
        <f>MONTH(Table2[[#This Row],[Date]])</f>
        <v>8</v>
      </c>
      <c r="E629" s="8">
        <f>YEAR(Table2[[#This Row],[Date]])</f>
        <v>2023</v>
      </c>
      <c r="F629" s="7" t="s">
        <v>635</v>
      </c>
      <c r="G629" s="7" t="s">
        <v>13</v>
      </c>
      <c r="H629" s="8">
        <v>49</v>
      </c>
      <c r="I629" s="8" t="str">
        <f>IF(Table2[[#This Row],[Age]] &lt; 19, "Teenagers", IF(Table2[[#This Row],[Age]] &lt;= 34, "Young Adults", IF(Table2[[#This Row],[Age]] &lt;= 45, "Adults", IF(Table2[[#This Row],[Age]] &lt;= 55, "Seniors", "Elderly")) ))</f>
        <v>Seniors</v>
      </c>
      <c r="J629" s="7" t="s">
        <v>11</v>
      </c>
      <c r="K629" s="8">
        <v>3</v>
      </c>
      <c r="L629" s="8" t="str">
        <f>IF(Table2[[#This Row],[Quantity]]=1, "Single Order", IF(Table2[[#This Row],[Quantity]]=2, "Small Order", IF(Table2[[#This Row],[Quantity]]=3, "Medium Order", "Bulk Order")))</f>
        <v>Medium Order</v>
      </c>
      <c r="M629" s="10">
        <v>25</v>
      </c>
      <c r="N629" s="10">
        <v>75</v>
      </c>
    </row>
    <row r="630" spans="1:14" x14ac:dyDescent="0.2">
      <c r="A630">
        <v>624</v>
      </c>
      <c r="B630" s="5">
        <v>45164</v>
      </c>
      <c r="C630" s="5" t="str">
        <f>TEXT(Table2[[#This Row],[Date]], "MMM")</f>
        <v>Aug</v>
      </c>
      <c r="D630" s="8">
        <f>MONTH(Table2[[#This Row],[Date]])</f>
        <v>8</v>
      </c>
      <c r="E630" s="8">
        <f>YEAR(Table2[[#This Row],[Date]])</f>
        <v>2023</v>
      </c>
      <c r="F630" s="7" t="s">
        <v>637</v>
      </c>
      <c r="G630" s="7" t="s">
        <v>13</v>
      </c>
      <c r="H630" s="8">
        <v>34</v>
      </c>
      <c r="I630" s="8" t="str">
        <f>IF(Table2[[#This Row],[Age]] &lt; 19, "Teenagers", IF(Table2[[#This Row],[Age]] &lt;= 34, "Young Adults", IF(Table2[[#This Row],[Age]] &lt;= 45, "Adults", IF(Table2[[#This Row],[Age]] &lt;= 55, "Seniors", "Elderly")) ))</f>
        <v>Young Adults</v>
      </c>
      <c r="J630" s="7" t="s">
        <v>11</v>
      </c>
      <c r="K630" s="8">
        <v>3</v>
      </c>
      <c r="L630" s="8" t="str">
        <f>IF(Table2[[#This Row],[Quantity]]=1, "Single Order", IF(Table2[[#This Row],[Quantity]]=2, "Small Order", IF(Table2[[#This Row],[Quantity]]=3, "Medium Order", "Bulk Order")))</f>
        <v>Medium Order</v>
      </c>
      <c r="M630" s="10">
        <v>300</v>
      </c>
      <c r="N630" s="10">
        <v>900</v>
      </c>
    </row>
    <row r="631" spans="1:14" x14ac:dyDescent="0.2">
      <c r="A631">
        <v>630</v>
      </c>
      <c r="B631" s="5">
        <v>45153</v>
      </c>
      <c r="C631" s="5" t="str">
        <f>TEXT(Table2[[#This Row],[Date]], "MMM")</f>
        <v>Aug</v>
      </c>
      <c r="D631" s="8">
        <f>MONTH(Table2[[#This Row],[Date]])</f>
        <v>8</v>
      </c>
      <c r="E631" s="8">
        <f>YEAR(Table2[[#This Row],[Date]])</f>
        <v>2023</v>
      </c>
      <c r="F631" s="7" t="s">
        <v>643</v>
      </c>
      <c r="G631" s="7" t="s">
        <v>10</v>
      </c>
      <c r="H631" s="8">
        <v>42</v>
      </c>
      <c r="I631" s="8" t="str">
        <f>IF(Table2[[#This Row],[Age]] &lt; 19, "Teenagers", IF(Table2[[#This Row],[Age]] &lt;= 34, "Young Adults", IF(Table2[[#This Row],[Age]] &lt;= 45, "Adults", IF(Table2[[#This Row],[Age]] &lt;= 55, "Seniors", "Elderly")) ))</f>
        <v>Adults</v>
      </c>
      <c r="J631" s="7" t="s">
        <v>14</v>
      </c>
      <c r="K631" s="8">
        <v>2</v>
      </c>
      <c r="L631" s="8" t="str">
        <f>IF(Table2[[#This Row],[Quantity]]=1, "Single Order", IF(Table2[[#This Row],[Quantity]]=2, "Small Order", IF(Table2[[#This Row],[Quantity]]=3, "Medium Order", "Bulk Order")))</f>
        <v>Small Order</v>
      </c>
      <c r="M631" s="10">
        <v>50</v>
      </c>
      <c r="N631" s="10">
        <v>100</v>
      </c>
    </row>
    <row r="632" spans="1:14" x14ac:dyDescent="0.2">
      <c r="A632">
        <v>633</v>
      </c>
      <c r="B632" s="5">
        <v>45145</v>
      </c>
      <c r="C632" s="5" t="str">
        <f>TEXT(Table2[[#This Row],[Date]], "MMM")</f>
        <v>Aug</v>
      </c>
      <c r="D632" s="8">
        <f>MONTH(Table2[[#This Row],[Date]])</f>
        <v>8</v>
      </c>
      <c r="E632" s="8">
        <f>YEAR(Table2[[#This Row],[Date]])</f>
        <v>2023</v>
      </c>
      <c r="F632" s="7" t="s">
        <v>646</v>
      </c>
      <c r="G632" s="7" t="s">
        <v>10</v>
      </c>
      <c r="H632" s="8">
        <v>39</v>
      </c>
      <c r="I632" s="8" t="str">
        <f>IF(Table2[[#This Row],[Age]] &lt; 19, "Teenagers", IF(Table2[[#This Row],[Age]] &lt;= 34, "Young Adults", IF(Table2[[#This Row],[Age]] &lt;= 45, "Adults", IF(Table2[[#This Row],[Age]] &lt;= 55, "Seniors", "Elderly")) ))</f>
        <v>Adults</v>
      </c>
      <c r="J632" s="7" t="s">
        <v>11</v>
      </c>
      <c r="K632" s="8">
        <v>4</v>
      </c>
      <c r="L632" s="8" t="str">
        <f>IF(Table2[[#This Row],[Quantity]]=1, "Single Order", IF(Table2[[#This Row],[Quantity]]=2, "Small Order", IF(Table2[[#This Row],[Quantity]]=3, "Medium Order", "Bulk Order")))</f>
        <v>Bulk Order</v>
      </c>
      <c r="M632" s="10">
        <v>30</v>
      </c>
      <c r="N632" s="10">
        <v>120</v>
      </c>
    </row>
    <row r="633" spans="1:14" x14ac:dyDescent="0.2">
      <c r="A633">
        <v>635</v>
      </c>
      <c r="B633" s="5">
        <v>45155</v>
      </c>
      <c r="C633" s="5" t="str">
        <f>TEXT(Table2[[#This Row],[Date]], "MMM")</f>
        <v>Aug</v>
      </c>
      <c r="D633" s="8">
        <f>MONTH(Table2[[#This Row],[Date]])</f>
        <v>8</v>
      </c>
      <c r="E633" s="8">
        <f>YEAR(Table2[[#This Row],[Date]])</f>
        <v>2023</v>
      </c>
      <c r="F633" s="7" t="s">
        <v>648</v>
      </c>
      <c r="G633" s="7" t="s">
        <v>13</v>
      </c>
      <c r="H633" s="8">
        <v>63</v>
      </c>
      <c r="I633" s="8" t="str">
        <f>IF(Table2[[#This Row],[Age]] &lt; 19, "Teenagers", IF(Table2[[#This Row],[Age]] &lt;= 34, "Young Adults", IF(Table2[[#This Row],[Age]] &lt;= 45, "Adults", IF(Table2[[#This Row],[Age]] &lt;= 55, "Seniors", "Elderly")) ))</f>
        <v>Elderly</v>
      </c>
      <c r="J633" s="7" t="s">
        <v>16</v>
      </c>
      <c r="K633" s="8">
        <v>3</v>
      </c>
      <c r="L633" s="8" t="str">
        <f>IF(Table2[[#This Row],[Quantity]]=1, "Single Order", IF(Table2[[#This Row],[Quantity]]=2, "Small Order", IF(Table2[[#This Row],[Quantity]]=3, "Medium Order", "Bulk Order")))</f>
        <v>Medium Order</v>
      </c>
      <c r="M633" s="10">
        <v>300</v>
      </c>
      <c r="N633" s="10">
        <v>900</v>
      </c>
    </row>
    <row r="634" spans="1:14" x14ac:dyDescent="0.2">
      <c r="A634">
        <v>638</v>
      </c>
      <c r="B634" s="5">
        <v>45157</v>
      </c>
      <c r="C634" s="5" t="str">
        <f>TEXT(Table2[[#This Row],[Date]], "MMM")</f>
        <v>Aug</v>
      </c>
      <c r="D634" s="8">
        <f>MONTH(Table2[[#This Row],[Date]])</f>
        <v>8</v>
      </c>
      <c r="E634" s="8">
        <f>YEAR(Table2[[#This Row],[Date]])</f>
        <v>2023</v>
      </c>
      <c r="F634" s="7" t="s">
        <v>651</v>
      </c>
      <c r="G634" s="7" t="s">
        <v>10</v>
      </c>
      <c r="H634" s="8">
        <v>46</v>
      </c>
      <c r="I634" s="8" t="str">
        <f>IF(Table2[[#This Row],[Age]] &lt; 19, "Teenagers", IF(Table2[[#This Row],[Age]] &lt;= 34, "Young Adults", IF(Table2[[#This Row],[Age]] &lt;= 45, "Adults", IF(Table2[[#This Row],[Age]] &lt;= 55, "Seniors", "Elderly")) ))</f>
        <v>Seniors</v>
      </c>
      <c r="J634" s="7" t="s">
        <v>16</v>
      </c>
      <c r="K634" s="8">
        <v>1</v>
      </c>
      <c r="L634" s="8" t="str">
        <f>IF(Table2[[#This Row],[Quantity]]=1, "Single Order", IF(Table2[[#This Row],[Quantity]]=2, "Small Order", IF(Table2[[#This Row],[Quantity]]=3, "Medium Order", "Bulk Order")))</f>
        <v>Single Order</v>
      </c>
      <c r="M634" s="10">
        <v>500</v>
      </c>
      <c r="N634" s="10">
        <v>500</v>
      </c>
    </row>
    <row r="635" spans="1:14" x14ac:dyDescent="0.2">
      <c r="A635">
        <v>648</v>
      </c>
      <c r="B635" s="5">
        <v>45152</v>
      </c>
      <c r="C635" s="5" t="str">
        <f>TEXT(Table2[[#This Row],[Date]], "MMM")</f>
        <v>Aug</v>
      </c>
      <c r="D635" s="8">
        <f>MONTH(Table2[[#This Row],[Date]])</f>
        <v>8</v>
      </c>
      <c r="E635" s="8">
        <f>YEAR(Table2[[#This Row],[Date]])</f>
        <v>2023</v>
      </c>
      <c r="F635" s="7" t="s">
        <v>661</v>
      </c>
      <c r="G635" s="7" t="s">
        <v>10</v>
      </c>
      <c r="H635" s="8">
        <v>53</v>
      </c>
      <c r="I635" s="8" t="str">
        <f>IF(Table2[[#This Row],[Age]] &lt; 19, "Teenagers", IF(Table2[[#This Row],[Age]] &lt;= 34, "Young Adults", IF(Table2[[#This Row],[Age]] &lt;= 45, "Adults", IF(Table2[[#This Row],[Age]] &lt;= 55, "Seniors", "Elderly")) ))</f>
        <v>Seniors</v>
      </c>
      <c r="J635" s="7" t="s">
        <v>11</v>
      </c>
      <c r="K635" s="8">
        <v>4</v>
      </c>
      <c r="L635" s="8" t="str">
        <f>IF(Table2[[#This Row],[Quantity]]=1, "Single Order", IF(Table2[[#This Row],[Quantity]]=2, "Small Order", IF(Table2[[#This Row],[Quantity]]=3, "Medium Order", "Bulk Order")))</f>
        <v>Bulk Order</v>
      </c>
      <c r="M635" s="10">
        <v>300</v>
      </c>
      <c r="N635" s="10">
        <v>1200</v>
      </c>
    </row>
    <row r="636" spans="1:14" x14ac:dyDescent="0.2">
      <c r="A636">
        <v>667</v>
      </c>
      <c r="B636" s="5">
        <v>45139</v>
      </c>
      <c r="C636" s="5" t="str">
        <f>TEXT(Table2[[#This Row],[Date]], "MMM")</f>
        <v>Aug</v>
      </c>
      <c r="D636" s="8">
        <f>MONTH(Table2[[#This Row],[Date]])</f>
        <v>8</v>
      </c>
      <c r="E636" s="8">
        <f>YEAR(Table2[[#This Row],[Date]])</f>
        <v>2023</v>
      </c>
      <c r="F636" s="7" t="s">
        <v>680</v>
      </c>
      <c r="G636" s="7" t="s">
        <v>13</v>
      </c>
      <c r="H636" s="8">
        <v>29</v>
      </c>
      <c r="I636" s="8" t="str">
        <f>IF(Table2[[#This Row],[Age]] &lt; 19, "Teenagers", IF(Table2[[#This Row],[Age]] &lt;= 34, "Young Adults", IF(Table2[[#This Row],[Age]] &lt;= 45, "Adults", IF(Table2[[#This Row],[Age]] &lt;= 55, "Seniors", "Elderly")) ))</f>
        <v>Young Adults</v>
      </c>
      <c r="J636" s="7" t="s">
        <v>16</v>
      </c>
      <c r="K636" s="8">
        <v>1</v>
      </c>
      <c r="L636" s="8" t="str">
        <f>IF(Table2[[#This Row],[Quantity]]=1, "Single Order", IF(Table2[[#This Row],[Quantity]]=2, "Small Order", IF(Table2[[#This Row],[Quantity]]=3, "Medium Order", "Bulk Order")))</f>
        <v>Single Order</v>
      </c>
      <c r="M636" s="10">
        <v>500</v>
      </c>
      <c r="N636" s="10">
        <v>500</v>
      </c>
    </row>
    <row r="637" spans="1:14" x14ac:dyDescent="0.2">
      <c r="A637">
        <v>671</v>
      </c>
      <c r="B637" s="5">
        <v>45165</v>
      </c>
      <c r="C637" s="5" t="str">
        <f>TEXT(Table2[[#This Row],[Date]], "MMM")</f>
        <v>Aug</v>
      </c>
      <c r="D637" s="8">
        <f>MONTH(Table2[[#This Row],[Date]])</f>
        <v>8</v>
      </c>
      <c r="E637" s="8">
        <f>YEAR(Table2[[#This Row],[Date]])</f>
        <v>2023</v>
      </c>
      <c r="F637" s="7" t="s">
        <v>684</v>
      </c>
      <c r="G637" s="7" t="s">
        <v>10</v>
      </c>
      <c r="H637" s="8">
        <v>62</v>
      </c>
      <c r="I637" s="8" t="str">
        <f>IF(Table2[[#This Row],[Age]] &lt; 19, "Teenagers", IF(Table2[[#This Row],[Age]] &lt;= 34, "Young Adults", IF(Table2[[#This Row],[Age]] &lt;= 45, "Adults", IF(Table2[[#This Row],[Age]] &lt;= 55, "Seniors", "Elderly")) ))</f>
        <v>Elderly</v>
      </c>
      <c r="J637" s="7" t="s">
        <v>16</v>
      </c>
      <c r="K637" s="8">
        <v>3</v>
      </c>
      <c r="L637" s="8" t="str">
        <f>IF(Table2[[#This Row],[Quantity]]=1, "Single Order", IF(Table2[[#This Row],[Quantity]]=2, "Small Order", IF(Table2[[#This Row],[Quantity]]=3, "Medium Order", "Bulk Order")))</f>
        <v>Medium Order</v>
      </c>
      <c r="M637" s="10">
        <v>50</v>
      </c>
      <c r="N637" s="10">
        <v>150</v>
      </c>
    </row>
    <row r="638" spans="1:14" x14ac:dyDescent="0.2">
      <c r="A638">
        <v>672</v>
      </c>
      <c r="B638" s="5">
        <v>45139</v>
      </c>
      <c r="C638" s="5" t="str">
        <f>TEXT(Table2[[#This Row],[Date]], "MMM")</f>
        <v>Aug</v>
      </c>
      <c r="D638" s="8">
        <f>MONTH(Table2[[#This Row],[Date]])</f>
        <v>8</v>
      </c>
      <c r="E638" s="8">
        <f>YEAR(Table2[[#This Row],[Date]])</f>
        <v>2023</v>
      </c>
      <c r="F638" s="7" t="s">
        <v>685</v>
      </c>
      <c r="G638" s="7" t="s">
        <v>13</v>
      </c>
      <c r="H638" s="8">
        <v>34</v>
      </c>
      <c r="I638" s="8" t="str">
        <f>IF(Table2[[#This Row],[Age]] &lt; 19, "Teenagers", IF(Table2[[#This Row],[Age]] &lt;= 34, "Young Adults", IF(Table2[[#This Row],[Age]] &lt;= 45, "Adults", IF(Table2[[#This Row],[Age]] &lt;= 55, "Seniors", "Elderly")) ))</f>
        <v>Young Adults</v>
      </c>
      <c r="J638" s="7" t="s">
        <v>11</v>
      </c>
      <c r="K638" s="8">
        <v>2</v>
      </c>
      <c r="L638" s="8" t="str">
        <f>IF(Table2[[#This Row],[Quantity]]=1, "Single Order", IF(Table2[[#This Row],[Quantity]]=2, "Small Order", IF(Table2[[#This Row],[Quantity]]=3, "Medium Order", "Bulk Order")))</f>
        <v>Small Order</v>
      </c>
      <c r="M638" s="10">
        <v>50</v>
      </c>
      <c r="N638" s="10">
        <v>100</v>
      </c>
    </row>
    <row r="639" spans="1:14" x14ac:dyDescent="0.2">
      <c r="A639">
        <v>675</v>
      </c>
      <c r="B639" s="5">
        <v>45142</v>
      </c>
      <c r="C639" s="5" t="str">
        <f>TEXT(Table2[[#This Row],[Date]], "MMM")</f>
        <v>Aug</v>
      </c>
      <c r="D639" s="8">
        <f>MONTH(Table2[[#This Row],[Date]])</f>
        <v>8</v>
      </c>
      <c r="E639" s="8">
        <f>YEAR(Table2[[#This Row],[Date]])</f>
        <v>2023</v>
      </c>
      <c r="F639" s="7" t="s">
        <v>688</v>
      </c>
      <c r="G639" s="7" t="s">
        <v>13</v>
      </c>
      <c r="H639" s="8">
        <v>45</v>
      </c>
      <c r="I639" s="8" t="str">
        <f>IF(Table2[[#This Row],[Age]] &lt; 19, "Teenagers", IF(Table2[[#This Row],[Age]] &lt;= 34, "Young Adults", IF(Table2[[#This Row],[Age]] &lt;= 45, "Adults", IF(Table2[[#This Row],[Age]] &lt;= 55, "Seniors", "Elderly")) ))</f>
        <v>Adults</v>
      </c>
      <c r="J639" s="7" t="s">
        <v>14</v>
      </c>
      <c r="K639" s="8">
        <v>2</v>
      </c>
      <c r="L639" s="8" t="str">
        <f>IF(Table2[[#This Row],[Quantity]]=1, "Single Order", IF(Table2[[#This Row],[Quantity]]=2, "Small Order", IF(Table2[[#This Row],[Quantity]]=3, "Medium Order", "Bulk Order")))</f>
        <v>Small Order</v>
      </c>
      <c r="M639" s="10">
        <v>30</v>
      </c>
      <c r="N639" s="10">
        <v>60</v>
      </c>
    </row>
    <row r="640" spans="1:14" x14ac:dyDescent="0.2">
      <c r="A640">
        <v>687</v>
      </c>
      <c r="B640" s="5">
        <v>45141</v>
      </c>
      <c r="C640" s="5" t="str">
        <f>TEXT(Table2[[#This Row],[Date]], "MMM")</f>
        <v>Aug</v>
      </c>
      <c r="D640" s="8">
        <f>MONTH(Table2[[#This Row],[Date]])</f>
        <v>8</v>
      </c>
      <c r="E640" s="8">
        <f>YEAR(Table2[[#This Row],[Date]])</f>
        <v>2023</v>
      </c>
      <c r="F640" s="7" t="s">
        <v>700</v>
      </c>
      <c r="G640" s="7" t="s">
        <v>13</v>
      </c>
      <c r="H640" s="8">
        <v>53</v>
      </c>
      <c r="I640" s="8" t="str">
        <f>IF(Table2[[#This Row],[Age]] &lt; 19, "Teenagers", IF(Table2[[#This Row],[Age]] &lt;= 34, "Young Adults", IF(Table2[[#This Row],[Age]] &lt;= 45, "Adults", IF(Table2[[#This Row],[Age]] &lt;= 55, "Seniors", "Elderly")) ))</f>
        <v>Seniors</v>
      </c>
      <c r="J640" s="7" t="s">
        <v>16</v>
      </c>
      <c r="K640" s="8">
        <v>1</v>
      </c>
      <c r="L640" s="8" t="str">
        <f>IF(Table2[[#This Row],[Quantity]]=1, "Single Order", IF(Table2[[#This Row],[Quantity]]=2, "Small Order", IF(Table2[[#This Row],[Quantity]]=3, "Medium Order", "Bulk Order")))</f>
        <v>Single Order</v>
      </c>
      <c r="M640" s="10">
        <v>300</v>
      </c>
      <c r="N640" s="10">
        <v>300</v>
      </c>
    </row>
    <row r="641" spans="1:14" x14ac:dyDescent="0.2">
      <c r="A641">
        <v>695</v>
      </c>
      <c r="B641" s="5">
        <v>45150</v>
      </c>
      <c r="C641" s="5" t="str">
        <f>TEXT(Table2[[#This Row],[Date]], "MMM")</f>
        <v>Aug</v>
      </c>
      <c r="D641" s="8">
        <f>MONTH(Table2[[#This Row],[Date]])</f>
        <v>8</v>
      </c>
      <c r="E641" s="8">
        <f>YEAR(Table2[[#This Row],[Date]])</f>
        <v>2023</v>
      </c>
      <c r="F641" s="7" t="s">
        <v>708</v>
      </c>
      <c r="G641" s="7" t="s">
        <v>13</v>
      </c>
      <c r="H641" s="8">
        <v>22</v>
      </c>
      <c r="I641" s="8" t="str">
        <f>IF(Table2[[#This Row],[Age]] &lt; 19, "Teenagers", IF(Table2[[#This Row],[Age]] &lt;= 34, "Young Adults", IF(Table2[[#This Row],[Age]] &lt;= 45, "Adults", IF(Table2[[#This Row],[Age]] &lt;= 55, "Seniors", "Elderly")) ))</f>
        <v>Young Adults</v>
      </c>
      <c r="J641" s="7" t="s">
        <v>16</v>
      </c>
      <c r="K641" s="8">
        <v>3</v>
      </c>
      <c r="L641" s="8" t="str">
        <f>IF(Table2[[#This Row],[Quantity]]=1, "Single Order", IF(Table2[[#This Row],[Quantity]]=2, "Small Order", IF(Table2[[#This Row],[Quantity]]=3, "Medium Order", "Bulk Order")))</f>
        <v>Medium Order</v>
      </c>
      <c r="M641" s="10">
        <v>50</v>
      </c>
      <c r="N641" s="10">
        <v>150</v>
      </c>
    </row>
    <row r="642" spans="1:14" x14ac:dyDescent="0.2">
      <c r="A642">
        <v>704</v>
      </c>
      <c r="B642" s="5">
        <v>45166</v>
      </c>
      <c r="C642" s="5" t="str">
        <f>TEXT(Table2[[#This Row],[Date]], "MMM")</f>
        <v>Aug</v>
      </c>
      <c r="D642" s="8">
        <f>MONTH(Table2[[#This Row],[Date]])</f>
        <v>8</v>
      </c>
      <c r="E642" s="8">
        <f>YEAR(Table2[[#This Row],[Date]])</f>
        <v>2023</v>
      </c>
      <c r="F642" s="7" t="s">
        <v>717</v>
      </c>
      <c r="G642" s="7" t="s">
        <v>13</v>
      </c>
      <c r="H642" s="8">
        <v>62</v>
      </c>
      <c r="I642" s="8" t="str">
        <f>IF(Table2[[#This Row],[Age]] &lt; 19, "Teenagers", IF(Table2[[#This Row],[Age]] &lt;= 34, "Young Adults", IF(Table2[[#This Row],[Age]] &lt;= 45, "Adults", IF(Table2[[#This Row],[Age]] &lt;= 55, "Seniors", "Elderly")) ))</f>
        <v>Elderly</v>
      </c>
      <c r="J642" s="7" t="s">
        <v>14</v>
      </c>
      <c r="K642" s="8">
        <v>3</v>
      </c>
      <c r="L642" s="8" t="str">
        <f>IF(Table2[[#This Row],[Quantity]]=1, "Single Order", IF(Table2[[#This Row],[Quantity]]=2, "Small Order", IF(Table2[[#This Row],[Quantity]]=3, "Medium Order", "Bulk Order")))</f>
        <v>Medium Order</v>
      </c>
      <c r="M642" s="10">
        <v>30</v>
      </c>
      <c r="N642" s="10">
        <v>90</v>
      </c>
    </row>
    <row r="643" spans="1:14" x14ac:dyDescent="0.2">
      <c r="A643">
        <v>716</v>
      </c>
      <c r="B643" s="5">
        <v>45146</v>
      </c>
      <c r="C643" s="5" t="str">
        <f>TEXT(Table2[[#This Row],[Date]], "MMM")</f>
        <v>Aug</v>
      </c>
      <c r="D643" s="8">
        <f>MONTH(Table2[[#This Row],[Date]])</f>
        <v>8</v>
      </c>
      <c r="E643" s="8">
        <f>YEAR(Table2[[#This Row],[Date]])</f>
        <v>2023</v>
      </c>
      <c r="F643" s="7" t="s">
        <v>729</v>
      </c>
      <c r="G643" s="7" t="s">
        <v>13</v>
      </c>
      <c r="H643" s="8">
        <v>60</v>
      </c>
      <c r="I643" s="8" t="str">
        <f>IF(Table2[[#This Row],[Age]] &lt; 19, "Teenagers", IF(Table2[[#This Row],[Age]] &lt;= 34, "Young Adults", IF(Table2[[#This Row],[Age]] &lt;= 45, "Adults", IF(Table2[[#This Row],[Age]] &lt;= 55, "Seniors", "Elderly")) ))</f>
        <v>Elderly</v>
      </c>
      <c r="J643" s="7" t="s">
        <v>14</v>
      </c>
      <c r="K643" s="8">
        <v>4</v>
      </c>
      <c r="L643" s="8" t="str">
        <f>IF(Table2[[#This Row],[Quantity]]=1, "Single Order", IF(Table2[[#This Row],[Quantity]]=2, "Small Order", IF(Table2[[#This Row],[Quantity]]=3, "Medium Order", "Bulk Order")))</f>
        <v>Bulk Order</v>
      </c>
      <c r="M643" s="10">
        <v>300</v>
      </c>
      <c r="N643" s="10">
        <v>1200</v>
      </c>
    </row>
    <row r="644" spans="1:14" x14ac:dyDescent="0.2">
      <c r="A644">
        <v>718</v>
      </c>
      <c r="B644" s="5">
        <v>45163</v>
      </c>
      <c r="C644" s="5" t="str">
        <f>TEXT(Table2[[#This Row],[Date]], "MMM")</f>
        <v>Aug</v>
      </c>
      <c r="D644" s="8">
        <f>MONTH(Table2[[#This Row],[Date]])</f>
        <v>8</v>
      </c>
      <c r="E644" s="8">
        <f>YEAR(Table2[[#This Row],[Date]])</f>
        <v>2023</v>
      </c>
      <c r="F644" s="7" t="s">
        <v>731</v>
      </c>
      <c r="G644" s="7" t="s">
        <v>13</v>
      </c>
      <c r="H644" s="8">
        <v>59</v>
      </c>
      <c r="I644" s="8" t="str">
        <f>IF(Table2[[#This Row],[Age]] &lt; 19, "Teenagers", IF(Table2[[#This Row],[Age]] &lt;= 34, "Young Adults", IF(Table2[[#This Row],[Age]] &lt;= 45, "Adults", IF(Table2[[#This Row],[Age]] &lt;= 55, "Seniors", "Elderly")) ))</f>
        <v>Elderly</v>
      </c>
      <c r="J644" s="7" t="s">
        <v>11</v>
      </c>
      <c r="K644" s="8">
        <v>3</v>
      </c>
      <c r="L644" s="8" t="str">
        <f>IF(Table2[[#This Row],[Quantity]]=1, "Single Order", IF(Table2[[#This Row],[Quantity]]=2, "Small Order", IF(Table2[[#This Row],[Quantity]]=3, "Medium Order", "Bulk Order")))</f>
        <v>Medium Order</v>
      </c>
      <c r="M644" s="10">
        <v>25</v>
      </c>
      <c r="N644" s="10">
        <v>75</v>
      </c>
    </row>
    <row r="645" spans="1:14" x14ac:dyDescent="0.2">
      <c r="A645">
        <v>725</v>
      </c>
      <c r="B645" s="5">
        <v>45159</v>
      </c>
      <c r="C645" s="5" t="str">
        <f>TEXT(Table2[[#This Row],[Date]], "MMM")</f>
        <v>Aug</v>
      </c>
      <c r="D645" s="8">
        <f>MONTH(Table2[[#This Row],[Date]])</f>
        <v>8</v>
      </c>
      <c r="E645" s="8">
        <f>YEAR(Table2[[#This Row],[Date]])</f>
        <v>2023</v>
      </c>
      <c r="F645" s="7" t="s">
        <v>738</v>
      </c>
      <c r="G645" s="7" t="s">
        <v>10</v>
      </c>
      <c r="H645" s="8">
        <v>61</v>
      </c>
      <c r="I645" s="8" t="str">
        <f>IF(Table2[[#This Row],[Age]] &lt; 19, "Teenagers", IF(Table2[[#This Row],[Age]] &lt;= 34, "Young Adults", IF(Table2[[#This Row],[Age]] &lt;= 45, "Adults", IF(Table2[[#This Row],[Age]] &lt;= 55, "Seniors", "Elderly")) ))</f>
        <v>Elderly</v>
      </c>
      <c r="J645" s="7" t="s">
        <v>16</v>
      </c>
      <c r="K645" s="8">
        <v>1</v>
      </c>
      <c r="L645" s="8" t="str">
        <f>IF(Table2[[#This Row],[Quantity]]=1, "Single Order", IF(Table2[[#This Row],[Quantity]]=2, "Small Order", IF(Table2[[#This Row],[Quantity]]=3, "Medium Order", "Bulk Order")))</f>
        <v>Single Order</v>
      </c>
      <c r="M645" s="10">
        <v>300</v>
      </c>
      <c r="N645" s="10">
        <v>300</v>
      </c>
    </row>
    <row r="646" spans="1:14" x14ac:dyDescent="0.2">
      <c r="A646">
        <v>730</v>
      </c>
      <c r="B646" s="5">
        <v>45142</v>
      </c>
      <c r="C646" s="5" t="str">
        <f>TEXT(Table2[[#This Row],[Date]], "MMM")</f>
        <v>Aug</v>
      </c>
      <c r="D646" s="8">
        <f>MONTH(Table2[[#This Row],[Date]])</f>
        <v>8</v>
      </c>
      <c r="E646" s="8">
        <f>YEAR(Table2[[#This Row],[Date]])</f>
        <v>2023</v>
      </c>
      <c r="F646" s="7" t="s">
        <v>743</v>
      </c>
      <c r="G646" s="7" t="s">
        <v>13</v>
      </c>
      <c r="H646" s="8">
        <v>36</v>
      </c>
      <c r="I646" s="8" t="str">
        <f>IF(Table2[[#This Row],[Age]] &lt; 19, "Teenagers", IF(Table2[[#This Row],[Age]] &lt;= 34, "Young Adults", IF(Table2[[#This Row],[Age]] &lt;= 45, "Adults", IF(Table2[[#This Row],[Age]] &lt;= 55, "Seniors", "Elderly")) ))</f>
        <v>Adults</v>
      </c>
      <c r="J646" s="7" t="s">
        <v>14</v>
      </c>
      <c r="K646" s="8">
        <v>2</v>
      </c>
      <c r="L646" s="8" t="str">
        <f>IF(Table2[[#This Row],[Quantity]]=1, "Single Order", IF(Table2[[#This Row],[Quantity]]=2, "Small Order", IF(Table2[[#This Row],[Quantity]]=3, "Medium Order", "Bulk Order")))</f>
        <v>Small Order</v>
      </c>
      <c r="M646" s="10">
        <v>25</v>
      </c>
      <c r="N646" s="10">
        <v>50</v>
      </c>
    </row>
    <row r="647" spans="1:14" x14ac:dyDescent="0.2">
      <c r="A647">
        <v>733</v>
      </c>
      <c r="B647" s="5">
        <v>45167</v>
      </c>
      <c r="C647" s="5" t="str">
        <f>TEXT(Table2[[#This Row],[Date]], "MMM")</f>
        <v>Aug</v>
      </c>
      <c r="D647" s="8">
        <f>MONTH(Table2[[#This Row],[Date]])</f>
        <v>8</v>
      </c>
      <c r="E647" s="8">
        <f>YEAR(Table2[[#This Row],[Date]])</f>
        <v>2023</v>
      </c>
      <c r="F647" s="7" t="s">
        <v>746</v>
      </c>
      <c r="G647" s="7" t="s">
        <v>10</v>
      </c>
      <c r="H647" s="8">
        <v>34</v>
      </c>
      <c r="I647" s="8" t="str">
        <f>IF(Table2[[#This Row],[Age]] &lt; 19, "Teenagers", IF(Table2[[#This Row],[Age]] &lt;= 34, "Young Adults", IF(Table2[[#This Row],[Age]] &lt;= 45, "Adults", IF(Table2[[#This Row],[Age]] &lt;= 55, "Seniors", "Elderly")) ))</f>
        <v>Young Adults</v>
      </c>
      <c r="J647" s="7" t="s">
        <v>11</v>
      </c>
      <c r="K647" s="8">
        <v>1</v>
      </c>
      <c r="L647" s="8" t="str">
        <f>IF(Table2[[#This Row],[Quantity]]=1, "Single Order", IF(Table2[[#This Row],[Quantity]]=2, "Small Order", IF(Table2[[#This Row],[Quantity]]=3, "Medium Order", "Bulk Order")))</f>
        <v>Single Order</v>
      </c>
      <c r="M647" s="10">
        <v>30</v>
      </c>
      <c r="N647" s="10">
        <v>30</v>
      </c>
    </row>
    <row r="648" spans="1:14" x14ac:dyDescent="0.2">
      <c r="A648">
        <v>751</v>
      </c>
      <c r="B648" s="5">
        <v>45169</v>
      </c>
      <c r="C648" s="5" t="str">
        <f>TEXT(Table2[[#This Row],[Date]], "MMM")</f>
        <v>Aug</v>
      </c>
      <c r="D648" s="8">
        <f>MONTH(Table2[[#This Row],[Date]])</f>
        <v>8</v>
      </c>
      <c r="E648" s="8">
        <f>YEAR(Table2[[#This Row],[Date]])</f>
        <v>2023</v>
      </c>
      <c r="F648" s="7" t="s">
        <v>764</v>
      </c>
      <c r="G648" s="7" t="s">
        <v>13</v>
      </c>
      <c r="H648" s="8">
        <v>42</v>
      </c>
      <c r="I648" s="8" t="str">
        <f>IF(Table2[[#This Row],[Age]] &lt; 19, "Teenagers", IF(Table2[[#This Row],[Age]] &lt;= 34, "Young Adults", IF(Table2[[#This Row],[Age]] &lt;= 45, "Adults", IF(Table2[[#This Row],[Age]] &lt;= 55, "Seniors", "Elderly")) ))</f>
        <v>Adults</v>
      </c>
      <c r="J648" s="7" t="s">
        <v>14</v>
      </c>
      <c r="K648" s="8">
        <v>2</v>
      </c>
      <c r="L648" s="8" t="str">
        <f>IF(Table2[[#This Row],[Quantity]]=1, "Single Order", IF(Table2[[#This Row],[Quantity]]=2, "Small Order", IF(Table2[[#This Row],[Quantity]]=3, "Medium Order", "Bulk Order")))</f>
        <v>Small Order</v>
      </c>
      <c r="M648" s="10">
        <v>25</v>
      </c>
      <c r="N648" s="10">
        <v>50</v>
      </c>
    </row>
    <row r="649" spans="1:14" x14ac:dyDescent="0.2">
      <c r="A649">
        <v>756</v>
      </c>
      <c r="B649" s="5">
        <v>45165</v>
      </c>
      <c r="C649" s="5" t="str">
        <f>TEXT(Table2[[#This Row],[Date]], "MMM")</f>
        <v>Aug</v>
      </c>
      <c r="D649" s="8">
        <f>MONTH(Table2[[#This Row],[Date]])</f>
        <v>8</v>
      </c>
      <c r="E649" s="8">
        <f>YEAR(Table2[[#This Row],[Date]])</f>
        <v>2023</v>
      </c>
      <c r="F649" s="7" t="s">
        <v>769</v>
      </c>
      <c r="G649" s="7" t="s">
        <v>13</v>
      </c>
      <c r="H649" s="8">
        <v>62</v>
      </c>
      <c r="I649" s="8" t="str">
        <f>IF(Table2[[#This Row],[Age]] &lt; 19, "Teenagers", IF(Table2[[#This Row],[Age]] &lt;= 34, "Young Adults", IF(Table2[[#This Row],[Age]] &lt;= 45, "Adults", IF(Table2[[#This Row],[Age]] &lt;= 55, "Seniors", "Elderly")) ))</f>
        <v>Elderly</v>
      </c>
      <c r="J649" s="7" t="s">
        <v>16</v>
      </c>
      <c r="K649" s="8">
        <v>4</v>
      </c>
      <c r="L649" s="8" t="str">
        <f>IF(Table2[[#This Row],[Quantity]]=1, "Single Order", IF(Table2[[#This Row],[Quantity]]=2, "Small Order", IF(Table2[[#This Row],[Quantity]]=3, "Medium Order", "Bulk Order")))</f>
        <v>Bulk Order</v>
      </c>
      <c r="M649" s="10">
        <v>300</v>
      </c>
      <c r="N649" s="10">
        <v>1200</v>
      </c>
    </row>
    <row r="650" spans="1:14" x14ac:dyDescent="0.2">
      <c r="A650">
        <v>790</v>
      </c>
      <c r="B650" s="5">
        <v>45146</v>
      </c>
      <c r="C650" s="5" t="str">
        <f>TEXT(Table2[[#This Row],[Date]], "MMM")</f>
        <v>Aug</v>
      </c>
      <c r="D650" s="8">
        <f>MONTH(Table2[[#This Row],[Date]])</f>
        <v>8</v>
      </c>
      <c r="E650" s="8">
        <f>YEAR(Table2[[#This Row],[Date]])</f>
        <v>2023</v>
      </c>
      <c r="F650" s="7" t="s">
        <v>803</v>
      </c>
      <c r="G650" s="7" t="s">
        <v>10</v>
      </c>
      <c r="H650" s="8">
        <v>62</v>
      </c>
      <c r="I650" s="8" t="str">
        <f>IF(Table2[[#This Row],[Age]] &lt; 19, "Teenagers", IF(Table2[[#This Row],[Age]] &lt;= 34, "Young Adults", IF(Table2[[#This Row],[Age]] &lt;= 45, "Adults", IF(Table2[[#This Row],[Age]] &lt;= 55, "Seniors", "Elderly")) ))</f>
        <v>Elderly</v>
      </c>
      <c r="J650" s="7" t="s">
        <v>14</v>
      </c>
      <c r="K650" s="8">
        <v>1</v>
      </c>
      <c r="L650" s="8" t="str">
        <f>IF(Table2[[#This Row],[Quantity]]=1, "Single Order", IF(Table2[[#This Row],[Quantity]]=2, "Small Order", IF(Table2[[#This Row],[Quantity]]=3, "Medium Order", "Bulk Order")))</f>
        <v>Single Order</v>
      </c>
      <c r="M650" s="10">
        <v>25</v>
      </c>
      <c r="N650" s="10">
        <v>25</v>
      </c>
    </row>
    <row r="651" spans="1:14" x14ac:dyDescent="0.2">
      <c r="A651">
        <v>798</v>
      </c>
      <c r="B651" s="5">
        <v>45142</v>
      </c>
      <c r="C651" s="5" t="str">
        <f>TEXT(Table2[[#This Row],[Date]], "MMM")</f>
        <v>Aug</v>
      </c>
      <c r="D651" s="8">
        <f>MONTH(Table2[[#This Row],[Date]])</f>
        <v>8</v>
      </c>
      <c r="E651" s="8">
        <f>YEAR(Table2[[#This Row],[Date]])</f>
        <v>2023</v>
      </c>
      <c r="F651" s="7" t="s">
        <v>811</v>
      </c>
      <c r="G651" s="7" t="s">
        <v>10</v>
      </c>
      <c r="H651" s="8">
        <v>61</v>
      </c>
      <c r="I651" s="8" t="str">
        <f>IF(Table2[[#This Row],[Age]] &lt; 19, "Teenagers", IF(Table2[[#This Row],[Age]] &lt;= 34, "Young Adults", IF(Table2[[#This Row],[Age]] &lt;= 45, "Adults", IF(Table2[[#This Row],[Age]] &lt;= 55, "Seniors", "Elderly")) ))</f>
        <v>Elderly</v>
      </c>
      <c r="J651" s="7" t="s">
        <v>14</v>
      </c>
      <c r="K651" s="8">
        <v>1</v>
      </c>
      <c r="L651" s="8" t="str">
        <f>IF(Table2[[#This Row],[Quantity]]=1, "Single Order", IF(Table2[[#This Row],[Quantity]]=2, "Small Order", IF(Table2[[#This Row],[Quantity]]=3, "Medium Order", "Bulk Order")))</f>
        <v>Single Order</v>
      </c>
      <c r="M651" s="10">
        <v>50</v>
      </c>
      <c r="N651" s="10">
        <v>50</v>
      </c>
    </row>
    <row r="652" spans="1:14" x14ac:dyDescent="0.2">
      <c r="A652">
        <v>801</v>
      </c>
      <c r="B652" s="5">
        <v>45148</v>
      </c>
      <c r="C652" s="5" t="str">
        <f>TEXT(Table2[[#This Row],[Date]], "MMM")</f>
        <v>Aug</v>
      </c>
      <c r="D652" s="8">
        <f>MONTH(Table2[[#This Row],[Date]])</f>
        <v>8</v>
      </c>
      <c r="E652" s="8">
        <f>YEAR(Table2[[#This Row],[Date]])</f>
        <v>2023</v>
      </c>
      <c r="F652" s="7" t="s">
        <v>814</v>
      </c>
      <c r="G652" s="7" t="s">
        <v>10</v>
      </c>
      <c r="H652" s="8">
        <v>21</v>
      </c>
      <c r="I652" s="8" t="str">
        <f>IF(Table2[[#This Row],[Age]] &lt; 19, "Teenagers", IF(Table2[[#This Row],[Age]] &lt;= 34, "Young Adults", IF(Table2[[#This Row],[Age]] &lt;= 45, "Adults", IF(Table2[[#This Row],[Age]] &lt;= 55, "Seniors", "Elderly")) ))</f>
        <v>Young Adults</v>
      </c>
      <c r="J652" s="7" t="s">
        <v>14</v>
      </c>
      <c r="K652" s="8">
        <v>4</v>
      </c>
      <c r="L652" s="8" t="str">
        <f>IF(Table2[[#This Row],[Quantity]]=1, "Single Order", IF(Table2[[#This Row],[Quantity]]=2, "Small Order", IF(Table2[[#This Row],[Quantity]]=3, "Medium Order", "Bulk Order")))</f>
        <v>Bulk Order</v>
      </c>
      <c r="M652" s="10">
        <v>50</v>
      </c>
      <c r="N652" s="10">
        <v>200</v>
      </c>
    </row>
    <row r="653" spans="1:14" x14ac:dyDescent="0.2">
      <c r="A653">
        <v>804</v>
      </c>
      <c r="B653" s="5">
        <v>45162</v>
      </c>
      <c r="C653" s="5" t="str">
        <f>TEXT(Table2[[#This Row],[Date]], "MMM")</f>
        <v>Aug</v>
      </c>
      <c r="D653" s="8">
        <f>MONTH(Table2[[#This Row],[Date]])</f>
        <v>8</v>
      </c>
      <c r="E653" s="8">
        <f>YEAR(Table2[[#This Row],[Date]])</f>
        <v>2023</v>
      </c>
      <c r="F653" s="7" t="s">
        <v>817</v>
      </c>
      <c r="G653" s="7" t="s">
        <v>10</v>
      </c>
      <c r="H653" s="8">
        <v>42</v>
      </c>
      <c r="I653" s="8" t="str">
        <f>IF(Table2[[#This Row],[Age]] &lt; 19, "Teenagers", IF(Table2[[#This Row],[Age]] &lt;= 34, "Young Adults", IF(Table2[[#This Row],[Age]] &lt;= 45, "Adults", IF(Table2[[#This Row],[Age]] &lt;= 55, "Seniors", "Elderly")) ))</f>
        <v>Adults</v>
      </c>
      <c r="J653" s="7" t="s">
        <v>16</v>
      </c>
      <c r="K653" s="8">
        <v>1</v>
      </c>
      <c r="L653" s="8" t="str">
        <f>IF(Table2[[#This Row],[Quantity]]=1, "Single Order", IF(Table2[[#This Row],[Quantity]]=2, "Small Order", IF(Table2[[#This Row],[Quantity]]=3, "Medium Order", "Bulk Order")))</f>
        <v>Single Order</v>
      </c>
      <c r="M653" s="10">
        <v>30</v>
      </c>
      <c r="N653" s="10">
        <v>30</v>
      </c>
    </row>
    <row r="654" spans="1:14" x14ac:dyDescent="0.2">
      <c r="A654">
        <v>807</v>
      </c>
      <c r="B654" s="5">
        <v>45149</v>
      </c>
      <c r="C654" s="5" t="str">
        <f>TEXT(Table2[[#This Row],[Date]], "MMM")</f>
        <v>Aug</v>
      </c>
      <c r="D654" s="8">
        <f>MONTH(Table2[[#This Row],[Date]])</f>
        <v>8</v>
      </c>
      <c r="E654" s="8">
        <f>YEAR(Table2[[#This Row],[Date]])</f>
        <v>2023</v>
      </c>
      <c r="F654" s="7" t="s">
        <v>820</v>
      </c>
      <c r="G654" s="7" t="s">
        <v>13</v>
      </c>
      <c r="H654" s="8">
        <v>50</v>
      </c>
      <c r="I654" s="8" t="str">
        <f>IF(Table2[[#This Row],[Age]] &lt; 19, "Teenagers", IF(Table2[[#This Row],[Age]] &lt;= 34, "Young Adults", IF(Table2[[#This Row],[Age]] &lt;= 45, "Adults", IF(Table2[[#This Row],[Age]] &lt;= 55, "Seniors", "Elderly")) ))</f>
        <v>Seniors</v>
      </c>
      <c r="J654" s="7" t="s">
        <v>16</v>
      </c>
      <c r="K654" s="8">
        <v>4</v>
      </c>
      <c r="L654" s="8" t="str">
        <f>IF(Table2[[#This Row],[Quantity]]=1, "Single Order", IF(Table2[[#This Row],[Quantity]]=2, "Small Order", IF(Table2[[#This Row],[Quantity]]=3, "Medium Order", "Bulk Order")))</f>
        <v>Bulk Order</v>
      </c>
      <c r="M654" s="10">
        <v>50</v>
      </c>
      <c r="N654" s="10">
        <v>200</v>
      </c>
    </row>
    <row r="655" spans="1:14" x14ac:dyDescent="0.2">
      <c r="A655">
        <v>815</v>
      </c>
      <c r="B655" s="5">
        <v>45165</v>
      </c>
      <c r="C655" s="5" t="str">
        <f>TEXT(Table2[[#This Row],[Date]], "MMM")</f>
        <v>Aug</v>
      </c>
      <c r="D655" s="8">
        <f>MONTH(Table2[[#This Row],[Date]])</f>
        <v>8</v>
      </c>
      <c r="E655" s="8">
        <f>YEAR(Table2[[#This Row],[Date]])</f>
        <v>2023</v>
      </c>
      <c r="F655" s="7" t="s">
        <v>828</v>
      </c>
      <c r="G655" s="7" t="s">
        <v>13</v>
      </c>
      <c r="H655" s="8">
        <v>51</v>
      </c>
      <c r="I655" s="8" t="str">
        <f>IF(Table2[[#This Row],[Age]] &lt; 19, "Teenagers", IF(Table2[[#This Row],[Age]] &lt;= 34, "Young Adults", IF(Table2[[#This Row],[Age]] &lt;= 45, "Adults", IF(Table2[[#This Row],[Age]] &lt;= 55, "Seniors", "Elderly")) ))</f>
        <v>Seniors</v>
      </c>
      <c r="J655" s="7" t="s">
        <v>14</v>
      </c>
      <c r="K655" s="8">
        <v>3</v>
      </c>
      <c r="L655" s="8" t="str">
        <f>IF(Table2[[#This Row],[Quantity]]=1, "Single Order", IF(Table2[[#This Row],[Quantity]]=2, "Small Order", IF(Table2[[#This Row],[Quantity]]=3, "Medium Order", "Bulk Order")))</f>
        <v>Medium Order</v>
      </c>
      <c r="M655" s="10">
        <v>25</v>
      </c>
      <c r="N655" s="10">
        <v>75</v>
      </c>
    </row>
    <row r="656" spans="1:14" x14ac:dyDescent="0.2">
      <c r="A656">
        <v>816</v>
      </c>
      <c r="B656" s="5">
        <v>45150</v>
      </c>
      <c r="C656" s="5" t="str">
        <f>TEXT(Table2[[#This Row],[Date]], "MMM")</f>
        <v>Aug</v>
      </c>
      <c r="D656" s="8">
        <f>MONTH(Table2[[#This Row],[Date]])</f>
        <v>8</v>
      </c>
      <c r="E656" s="8">
        <f>YEAR(Table2[[#This Row],[Date]])</f>
        <v>2023</v>
      </c>
      <c r="F656" s="7" t="s">
        <v>829</v>
      </c>
      <c r="G656" s="7" t="s">
        <v>10</v>
      </c>
      <c r="H656" s="8">
        <v>47</v>
      </c>
      <c r="I656" s="8" t="str">
        <f>IF(Table2[[#This Row],[Age]] &lt; 19, "Teenagers", IF(Table2[[#This Row],[Age]] &lt;= 34, "Young Adults", IF(Table2[[#This Row],[Age]] &lt;= 45, "Adults", IF(Table2[[#This Row],[Age]] &lt;= 55, "Seniors", "Elderly")) ))</f>
        <v>Seniors</v>
      </c>
      <c r="J656" s="7" t="s">
        <v>11</v>
      </c>
      <c r="K656" s="8">
        <v>2</v>
      </c>
      <c r="L656" s="8" t="str">
        <f>IF(Table2[[#This Row],[Quantity]]=1, "Single Order", IF(Table2[[#This Row],[Quantity]]=2, "Small Order", IF(Table2[[#This Row],[Quantity]]=3, "Medium Order", "Bulk Order")))</f>
        <v>Small Order</v>
      </c>
      <c r="M656" s="10">
        <v>500</v>
      </c>
      <c r="N656" s="10">
        <v>1000</v>
      </c>
    </row>
    <row r="657" spans="1:14" x14ac:dyDescent="0.2">
      <c r="A657">
        <v>823</v>
      </c>
      <c r="B657" s="5">
        <v>45157</v>
      </c>
      <c r="C657" s="5" t="str">
        <f>TEXT(Table2[[#This Row],[Date]], "MMM")</f>
        <v>Aug</v>
      </c>
      <c r="D657" s="8">
        <f>MONTH(Table2[[#This Row],[Date]])</f>
        <v>8</v>
      </c>
      <c r="E657" s="8">
        <f>YEAR(Table2[[#This Row],[Date]])</f>
        <v>2023</v>
      </c>
      <c r="F657" s="7" t="s">
        <v>836</v>
      </c>
      <c r="G657" s="7" t="s">
        <v>13</v>
      </c>
      <c r="H657" s="8">
        <v>56</v>
      </c>
      <c r="I657" s="8" t="str">
        <f>IF(Table2[[#This Row],[Age]] &lt; 19, "Teenagers", IF(Table2[[#This Row],[Age]] &lt;= 34, "Young Adults", IF(Table2[[#This Row],[Age]] &lt;= 45, "Adults", IF(Table2[[#This Row],[Age]] &lt;= 55, "Seniors", "Elderly")) ))</f>
        <v>Elderly</v>
      </c>
      <c r="J657" s="7" t="s">
        <v>16</v>
      </c>
      <c r="K657" s="8">
        <v>2</v>
      </c>
      <c r="L657" s="8" t="str">
        <f>IF(Table2[[#This Row],[Quantity]]=1, "Single Order", IF(Table2[[#This Row],[Quantity]]=2, "Small Order", IF(Table2[[#This Row],[Quantity]]=3, "Medium Order", "Bulk Order")))</f>
        <v>Small Order</v>
      </c>
      <c r="M657" s="10">
        <v>50</v>
      </c>
      <c r="N657" s="10">
        <v>100</v>
      </c>
    </row>
    <row r="658" spans="1:14" x14ac:dyDescent="0.2">
      <c r="A658">
        <v>825</v>
      </c>
      <c r="B658" s="5">
        <v>45164</v>
      </c>
      <c r="C658" s="5" t="str">
        <f>TEXT(Table2[[#This Row],[Date]], "MMM")</f>
        <v>Aug</v>
      </c>
      <c r="D658" s="8">
        <f>MONTH(Table2[[#This Row],[Date]])</f>
        <v>8</v>
      </c>
      <c r="E658" s="8">
        <f>YEAR(Table2[[#This Row],[Date]])</f>
        <v>2023</v>
      </c>
      <c r="F658" s="7" t="s">
        <v>838</v>
      </c>
      <c r="G658" s="7" t="s">
        <v>13</v>
      </c>
      <c r="H658" s="8">
        <v>46</v>
      </c>
      <c r="I658" s="8" t="str">
        <f>IF(Table2[[#This Row],[Age]] &lt; 19, "Teenagers", IF(Table2[[#This Row],[Age]] &lt;= 34, "Young Adults", IF(Table2[[#This Row],[Age]] &lt;= 45, "Adults", IF(Table2[[#This Row],[Age]] &lt;= 55, "Seniors", "Elderly")) ))</f>
        <v>Seniors</v>
      </c>
      <c r="J658" s="7" t="s">
        <v>11</v>
      </c>
      <c r="K658" s="8">
        <v>1</v>
      </c>
      <c r="L658" s="8" t="str">
        <f>IF(Table2[[#This Row],[Quantity]]=1, "Single Order", IF(Table2[[#This Row],[Quantity]]=2, "Small Order", IF(Table2[[#This Row],[Quantity]]=3, "Medium Order", "Bulk Order")))</f>
        <v>Single Order</v>
      </c>
      <c r="M658" s="10">
        <v>25</v>
      </c>
      <c r="N658" s="10">
        <v>25</v>
      </c>
    </row>
    <row r="659" spans="1:14" x14ac:dyDescent="0.2">
      <c r="A659">
        <v>859</v>
      </c>
      <c r="B659" s="5">
        <v>45156</v>
      </c>
      <c r="C659" s="5" t="str">
        <f>TEXT(Table2[[#This Row],[Date]], "MMM")</f>
        <v>Aug</v>
      </c>
      <c r="D659" s="8">
        <f>MONTH(Table2[[#This Row],[Date]])</f>
        <v>8</v>
      </c>
      <c r="E659" s="8">
        <f>YEAR(Table2[[#This Row],[Date]])</f>
        <v>2023</v>
      </c>
      <c r="F659" s="7" t="s">
        <v>872</v>
      </c>
      <c r="G659" s="7" t="s">
        <v>13</v>
      </c>
      <c r="H659" s="8">
        <v>56</v>
      </c>
      <c r="I659" s="8" t="str">
        <f>IF(Table2[[#This Row],[Age]] &lt; 19, "Teenagers", IF(Table2[[#This Row],[Age]] &lt;= 34, "Young Adults", IF(Table2[[#This Row],[Age]] &lt;= 45, "Adults", IF(Table2[[#This Row],[Age]] &lt;= 55, "Seniors", "Elderly")) ))</f>
        <v>Elderly</v>
      </c>
      <c r="J659" s="7" t="s">
        <v>16</v>
      </c>
      <c r="K659" s="8">
        <v>3</v>
      </c>
      <c r="L659" s="8" t="str">
        <f>IF(Table2[[#This Row],[Quantity]]=1, "Single Order", IF(Table2[[#This Row],[Quantity]]=2, "Small Order", IF(Table2[[#This Row],[Quantity]]=3, "Medium Order", "Bulk Order")))</f>
        <v>Medium Order</v>
      </c>
      <c r="M659" s="10">
        <v>500</v>
      </c>
      <c r="N659" s="10">
        <v>1500</v>
      </c>
    </row>
    <row r="660" spans="1:14" x14ac:dyDescent="0.2">
      <c r="A660">
        <v>871</v>
      </c>
      <c r="B660" s="5">
        <v>45169</v>
      </c>
      <c r="C660" s="5" t="str">
        <f>TEXT(Table2[[#This Row],[Date]], "MMM")</f>
        <v>Aug</v>
      </c>
      <c r="D660" s="8">
        <f>MONTH(Table2[[#This Row],[Date]])</f>
        <v>8</v>
      </c>
      <c r="E660" s="8">
        <f>YEAR(Table2[[#This Row],[Date]])</f>
        <v>2023</v>
      </c>
      <c r="F660" s="7" t="s">
        <v>884</v>
      </c>
      <c r="G660" s="7" t="s">
        <v>10</v>
      </c>
      <c r="H660" s="8">
        <v>62</v>
      </c>
      <c r="I660" s="8" t="str">
        <f>IF(Table2[[#This Row],[Age]] &lt; 19, "Teenagers", IF(Table2[[#This Row],[Age]] &lt;= 34, "Young Adults", IF(Table2[[#This Row],[Age]] &lt;= 45, "Adults", IF(Table2[[#This Row],[Age]] &lt;= 55, "Seniors", "Elderly")) ))</f>
        <v>Elderly</v>
      </c>
      <c r="J660" s="7" t="s">
        <v>11</v>
      </c>
      <c r="K660" s="8">
        <v>2</v>
      </c>
      <c r="L660" s="8" t="str">
        <f>IF(Table2[[#This Row],[Quantity]]=1, "Single Order", IF(Table2[[#This Row],[Quantity]]=2, "Small Order", IF(Table2[[#This Row],[Quantity]]=3, "Medium Order", "Bulk Order")))</f>
        <v>Small Order</v>
      </c>
      <c r="M660" s="10">
        <v>30</v>
      </c>
      <c r="N660" s="10">
        <v>60</v>
      </c>
    </row>
    <row r="661" spans="1:14" x14ac:dyDescent="0.2">
      <c r="A661">
        <v>875</v>
      </c>
      <c r="B661" s="5">
        <v>45144</v>
      </c>
      <c r="C661" s="5" t="str">
        <f>TEXT(Table2[[#This Row],[Date]], "MMM")</f>
        <v>Aug</v>
      </c>
      <c r="D661" s="8">
        <f>MONTH(Table2[[#This Row],[Date]])</f>
        <v>8</v>
      </c>
      <c r="E661" s="8">
        <f>YEAR(Table2[[#This Row],[Date]])</f>
        <v>2023</v>
      </c>
      <c r="F661" s="7" t="s">
        <v>888</v>
      </c>
      <c r="G661" s="7" t="s">
        <v>13</v>
      </c>
      <c r="H661" s="8">
        <v>51</v>
      </c>
      <c r="I661" s="8" t="str">
        <f>IF(Table2[[#This Row],[Age]] &lt; 19, "Teenagers", IF(Table2[[#This Row],[Age]] &lt;= 34, "Young Adults", IF(Table2[[#This Row],[Age]] &lt;= 45, "Adults", IF(Table2[[#This Row],[Age]] &lt;= 55, "Seniors", "Elderly")) ))</f>
        <v>Seniors</v>
      </c>
      <c r="J661" s="7" t="s">
        <v>16</v>
      </c>
      <c r="K661" s="8">
        <v>4</v>
      </c>
      <c r="L661" s="8" t="str">
        <f>IF(Table2[[#This Row],[Quantity]]=1, "Single Order", IF(Table2[[#This Row],[Quantity]]=2, "Small Order", IF(Table2[[#This Row],[Quantity]]=3, "Medium Order", "Bulk Order")))</f>
        <v>Bulk Order</v>
      </c>
      <c r="M661" s="10">
        <v>500</v>
      </c>
      <c r="N661" s="10">
        <v>2000</v>
      </c>
    </row>
    <row r="662" spans="1:14" x14ac:dyDescent="0.2">
      <c r="A662">
        <v>880</v>
      </c>
      <c r="B662" s="5">
        <v>45159</v>
      </c>
      <c r="C662" s="5" t="str">
        <f>TEXT(Table2[[#This Row],[Date]], "MMM")</f>
        <v>Aug</v>
      </c>
      <c r="D662" s="8">
        <f>MONTH(Table2[[#This Row],[Date]])</f>
        <v>8</v>
      </c>
      <c r="E662" s="8">
        <f>YEAR(Table2[[#This Row],[Date]])</f>
        <v>2023</v>
      </c>
      <c r="F662" s="7" t="s">
        <v>893</v>
      </c>
      <c r="G662" s="7" t="s">
        <v>10</v>
      </c>
      <c r="H662" s="8">
        <v>22</v>
      </c>
      <c r="I662" s="8" t="str">
        <f>IF(Table2[[#This Row],[Age]] &lt; 19, "Teenagers", IF(Table2[[#This Row],[Age]] &lt;= 34, "Young Adults", IF(Table2[[#This Row],[Age]] &lt;= 45, "Adults", IF(Table2[[#This Row],[Age]] &lt;= 55, "Seniors", "Elderly")) ))</f>
        <v>Young Adults</v>
      </c>
      <c r="J662" s="7" t="s">
        <v>11</v>
      </c>
      <c r="K662" s="8">
        <v>2</v>
      </c>
      <c r="L662" s="8" t="str">
        <f>IF(Table2[[#This Row],[Quantity]]=1, "Single Order", IF(Table2[[#This Row],[Quantity]]=2, "Small Order", IF(Table2[[#This Row],[Quantity]]=3, "Medium Order", "Bulk Order")))</f>
        <v>Small Order</v>
      </c>
      <c r="M662" s="10">
        <v>500</v>
      </c>
      <c r="N662" s="10">
        <v>1000</v>
      </c>
    </row>
    <row r="663" spans="1:14" x14ac:dyDescent="0.2">
      <c r="A663">
        <v>924</v>
      </c>
      <c r="B663" s="5">
        <v>45167</v>
      </c>
      <c r="C663" s="5" t="str">
        <f>TEXT(Table2[[#This Row],[Date]], "MMM")</f>
        <v>Aug</v>
      </c>
      <c r="D663" s="8">
        <f>MONTH(Table2[[#This Row],[Date]])</f>
        <v>8</v>
      </c>
      <c r="E663" s="8">
        <f>YEAR(Table2[[#This Row],[Date]])</f>
        <v>2023</v>
      </c>
      <c r="F663" s="7" t="s">
        <v>937</v>
      </c>
      <c r="G663" s="7" t="s">
        <v>10</v>
      </c>
      <c r="H663" s="8">
        <v>55</v>
      </c>
      <c r="I663" s="8" t="str">
        <f>IF(Table2[[#This Row],[Age]] &lt; 19, "Teenagers", IF(Table2[[#This Row],[Age]] &lt;= 34, "Young Adults", IF(Table2[[#This Row],[Age]] &lt;= 45, "Adults", IF(Table2[[#This Row],[Age]] &lt;= 55, "Seniors", "Elderly")) ))</f>
        <v>Seniors</v>
      </c>
      <c r="J663" s="7" t="s">
        <v>11</v>
      </c>
      <c r="K663" s="8">
        <v>2</v>
      </c>
      <c r="L663" s="8" t="str">
        <f>IF(Table2[[#This Row],[Quantity]]=1, "Single Order", IF(Table2[[#This Row],[Quantity]]=2, "Small Order", IF(Table2[[#This Row],[Quantity]]=3, "Medium Order", "Bulk Order")))</f>
        <v>Small Order</v>
      </c>
      <c r="M663" s="10">
        <v>50</v>
      </c>
      <c r="N663" s="10">
        <v>100</v>
      </c>
    </row>
    <row r="664" spans="1:14" x14ac:dyDescent="0.2">
      <c r="A664">
        <v>926</v>
      </c>
      <c r="B664" s="5">
        <v>45152</v>
      </c>
      <c r="C664" s="5" t="str">
        <f>TEXT(Table2[[#This Row],[Date]], "MMM")</f>
        <v>Aug</v>
      </c>
      <c r="D664" s="8">
        <f>MONTH(Table2[[#This Row],[Date]])</f>
        <v>8</v>
      </c>
      <c r="E664" s="8">
        <f>YEAR(Table2[[#This Row],[Date]])</f>
        <v>2023</v>
      </c>
      <c r="F664" s="7" t="s">
        <v>939</v>
      </c>
      <c r="G664" s="7" t="s">
        <v>10</v>
      </c>
      <c r="H664" s="8">
        <v>22</v>
      </c>
      <c r="I664" s="8" t="str">
        <f>IF(Table2[[#This Row],[Age]] &lt; 19, "Teenagers", IF(Table2[[#This Row],[Age]] &lt;= 34, "Young Adults", IF(Table2[[#This Row],[Age]] &lt;= 45, "Adults", IF(Table2[[#This Row],[Age]] &lt;= 55, "Seniors", "Elderly")) ))</f>
        <v>Young Adults</v>
      </c>
      <c r="J664" s="7" t="s">
        <v>16</v>
      </c>
      <c r="K664" s="8">
        <v>1</v>
      </c>
      <c r="L664" s="8" t="str">
        <f>IF(Table2[[#This Row],[Quantity]]=1, "Single Order", IF(Table2[[#This Row],[Quantity]]=2, "Small Order", IF(Table2[[#This Row],[Quantity]]=3, "Medium Order", "Bulk Order")))</f>
        <v>Single Order</v>
      </c>
      <c r="M664" s="10">
        <v>30</v>
      </c>
      <c r="N664" s="10">
        <v>30</v>
      </c>
    </row>
    <row r="665" spans="1:14" x14ac:dyDescent="0.2">
      <c r="A665">
        <v>949</v>
      </c>
      <c r="B665" s="5">
        <v>45140</v>
      </c>
      <c r="C665" s="5" t="str">
        <f>TEXT(Table2[[#This Row],[Date]], "MMM")</f>
        <v>Aug</v>
      </c>
      <c r="D665" s="8">
        <f>MONTH(Table2[[#This Row],[Date]])</f>
        <v>8</v>
      </c>
      <c r="E665" s="8">
        <f>YEAR(Table2[[#This Row],[Date]])</f>
        <v>2023</v>
      </c>
      <c r="F665" s="7" t="s">
        <v>962</v>
      </c>
      <c r="G665" s="7" t="s">
        <v>13</v>
      </c>
      <c r="H665" s="8">
        <v>41</v>
      </c>
      <c r="I665" s="8" t="str">
        <f>IF(Table2[[#This Row],[Age]] &lt; 19, "Teenagers", IF(Table2[[#This Row],[Age]] &lt;= 34, "Young Adults", IF(Table2[[#This Row],[Age]] &lt;= 45, "Adults", IF(Table2[[#This Row],[Age]] &lt;= 55, "Seniors", "Elderly")) ))</f>
        <v>Adults</v>
      </c>
      <c r="J665" s="7" t="s">
        <v>16</v>
      </c>
      <c r="K665" s="8">
        <v>2</v>
      </c>
      <c r="L665" s="8" t="str">
        <f>IF(Table2[[#This Row],[Quantity]]=1, "Single Order", IF(Table2[[#This Row],[Quantity]]=2, "Small Order", IF(Table2[[#This Row],[Quantity]]=3, "Medium Order", "Bulk Order")))</f>
        <v>Small Order</v>
      </c>
      <c r="M665" s="10">
        <v>25</v>
      </c>
      <c r="N665" s="10">
        <v>50</v>
      </c>
    </row>
    <row r="666" spans="1:14" x14ac:dyDescent="0.2">
      <c r="A666">
        <v>956</v>
      </c>
      <c r="B666" s="5">
        <v>45157</v>
      </c>
      <c r="C666" s="5" t="str">
        <f>TEXT(Table2[[#This Row],[Date]], "MMM")</f>
        <v>Aug</v>
      </c>
      <c r="D666" s="8">
        <f>MONTH(Table2[[#This Row],[Date]])</f>
        <v>8</v>
      </c>
      <c r="E666" s="8">
        <f>YEAR(Table2[[#This Row],[Date]])</f>
        <v>2023</v>
      </c>
      <c r="F666" s="7" t="s">
        <v>969</v>
      </c>
      <c r="G666" s="7" t="s">
        <v>10</v>
      </c>
      <c r="H666" s="8">
        <v>30</v>
      </c>
      <c r="I666" s="8" t="str">
        <f>IF(Table2[[#This Row],[Age]] &lt; 19, "Teenagers", IF(Table2[[#This Row],[Age]] &lt;= 34, "Young Adults", IF(Table2[[#This Row],[Age]] &lt;= 45, "Adults", IF(Table2[[#This Row],[Age]] &lt;= 55, "Seniors", "Elderly")) ))</f>
        <v>Young Adults</v>
      </c>
      <c r="J666" s="7" t="s">
        <v>14</v>
      </c>
      <c r="K666" s="8">
        <v>3</v>
      </c>
      <c r="L666" s="8" t="str">
        <f>IF(Table2[[#This Row],[Quantity]]=1, "Single Order", IF(Table2[[#This Row],[Quantity]]=2, "Small Order", IF(Table2[[#This Row],[Quantity]]=3, "Medium Order", "Bulk Order")))</f>
        <v>Medium Order</v>
      </c>
      <c r="M666" s="10">
        <v>500</v>
      </c>
      <c r="N666" s="10">
        <v>1500</v>
      </c>
    </row>
    <row r="667" spans="1:14" x14ac:dyDescent="0.2">
      <c r="A667">
        <v>957</v>
      </c>
      <c r="B667" s="5">
        <v>45153</v>
      </c>
      <c r="C667" s="5" t="str">
        <f>TEXT(Table2[[#This Row],[Date]], "MMM")</f>
        <v>Aug</v>
      </c>
      <c r="D667" s="8">
        <f>MONTH(Table2[[#This Row],[Date]])</f>
        <v>8</v>
      </c>
      <c r="E667" s="8">
        <f>YEAR(Table2[[#This Row],[Date]])</f>
        <v>2023</v>
      </c>
      <c r="F667" s="7" t="s">
        <v>970</v>
      </c>
      <c r="G667" s="7" t="s">
        <v>13</v>
      </c>
      <c r="H667" s="8">
        <v>60</v>
      </c>
      <c r="I667" s="8" t="str">
        <f>IF(Table2[[#This Row],[Age]] &lt; 19, "Teenagers", IF(Table2[[#This Row],[Age]] &lt;= 34, "Young Adults", IF(Table2[[#This Row],[Age]] &lt;= 45, "Adults", IF(Table2[[#This Row],[Age]] &lt;= 55, "Seniors", "Elderly")) ))</f>
        <v>Elderly</v>
      </c>
      <c r="J667" s="7" t="s">
        <v>16</v>
      </c>
      <c r="K667" s="8">
        <v>4</v>
      </c>
      <c r="L667" s="8" t="str">
        <f>IF(Table2[[#This Row],[Quantity]]=1, "Single Order", IF(Table2[[#This Row],[Quantity]]=2, "Small Order", IF(Table2[[#This Row],[Quantity]]=3, "Medium Order", "Bulk Order")))</f>
        <v>Bulk Order</v>
      </c>
      <c r="M667" s="10">
        <v>30</v>
      </c>
      <c r="N667" s="10">
        <v>120</v>
      </c>
    </row>
    <row r="668" spans="1:14" x14ac:dyDescent="0.2">
      <c r="A668">
        <v>960</v>
      </c>
      <c r="B668" s="5">
        <v>45146</v>
      </c>
      <c r="C668" s="5" t="str">
        <f>TEXT(Table2[[#This Row],[Date]], "MMM")</f>
        <v>Aug</v>
      </c>
      <c r="D668" s="8">
        <f>MONTH(Table2[[#This Row],[Date]])</f>
        <v>8</v>
      </c>
      <c r="E668" s="8">
        <f>YEAR(Table2[[#This Row],[Date]])</f>
        <v>2023</v>
      </c>
      <c r="F668" s="7" t="s">
        <v>973</v>
      </c>
      <c r="G668" s="7" t="s">
        <v>10</v>
      </c>
      <c r="H668" s="8">
        <v>59</v>
      </c>
      <c r="I668" s="8" t="str">
        <f>IF(Table2[[#This Row],[Age]] &lt; 19, "Teenagers", IF(Table2[[#This Row],[Age]] &lt;= 34, "Young Adults", IF(Table2[[#This Row],[Age]] &lt;= 45, "Adults", IF(Table2[[#This Row],[Age]] &lt;= 55, "Seniors", "Elderly")) ))</f>
        <v>Elderly</v>
      </c>
      <c r="J668" s="7" t="s">
        <v>14</v>
      </c>
      <c r="K668" s="8">
        <v>2</v>
      </c>
      <c r="L668" s="8" t="str">
        <f>IF(Table2[[#This Row],[Quantity]]=1, "Single Order", IF(Table2[[#This Row],[Quantity]]=2, "Small Order", IF(Table2[[#This Row],[Quantity]]=3, "Medium Order", "Bulk Order")))</f>
        <v>Small Order</v>
      </c>
      <c r="M668" s="10">
        <v>30</v>
      </c>
      <c r="N668" s="10">
        <v>60</v>
      </c>
    </row>
    <row r="669" spans="1:14" x14ac:dyDescent="0.2">
      <c r="A669">
        <v>981</v>
      </c>
      <c r="B669" s="5">
        <v>45157</v>
      </c>
      <c r="C669" s="5" t="str">
        <f>TEXT(Table2[[#This Row],[Date]], "MMM")</f>
        <v>Aug</v>
      </c>
      <c r="D669" s="8">
        <f>MONTH(Table2[[#This Row],[Date]])</f>
        <v>8</v>
      </c>
      <c r="E669" s="8">
        <f>YEAR(Table2[[#This Row],[Date]])</f>
        <v>2023</v>
      </c>
      <c r="F669" s="7" t="s">
        <v>994</v>
      </c>
      <c r="G669" s="7" t="s">
        <v>13</v>
      </c>
      <c r="H669" s="8">
        <v>30</v>
      </c>
      <c r="I669" s="8" t="str">
        <f>IF(Table2[[#This Row],[Age]] &lt; 19, "Teenagers", IF(Table2[[#This Row],[Age]] &lt;= 34, "Young Adults", IF(Table2[[#This Row],[Age]] &lt;= 45, "Adults", IF(Table2[[#This Row],[Age]] &lt;= 55, "Seniors", "Elderly")) ))</f>
        <v>Young Adults</v>
      </c>
      <c r="J669" s="7" t="s">
        <v>16</v>
      </c>
      <c r="K669" s="8">
        <v>2</v>
      </c>
      <c r="L669" s="8" t="str">
        <f>IF(Table2[[#This Row],[Quantity]]=1, "Single Order", IF(Table2[[#This Row],[Quantity]]=2, "Small Order", IF(Table2[[#This Row],[Quantity]]=3, "Medium Order", "Bulk Order")))</f>
        <v>Small Order</v>
      </c>
      <c r="M669" s="10">
        <v>30</v>
      </c>
      <c r="N669" s="10">
        <v>60</v>
      </c>
    </row>
    <row r="670" spans="1:14" x14ac:dyDescent="0.2">
      <c r="A670">
        <v>984</v>
      </c>
      <c r="B670" s="5">
        <v>45167</v>
      </c>
      <c r="C670" s="5" t="str">
        <f>TEXT(Table2[[#This Row],[Date]], "MMM")</f>
        <v>Aug</v>
      </c>
      <c r="D670" s="8">
        <f>MONTH(Table2[[#This Row],[Date]])</f>
        <v>8</v>
      </c>
      <c r="E670" s="8">
        <f>YEAR(Table2[[#This Row],[Date]])</f>
        <v>2023</v>
      </c>
      <c r="F670" s="7" t="s">
        <v>997</v>
      </c>
      <c r="G670" s="7" t="s">
        <v>10</v>
      </c>
      <c r="H670" s="8">
        <v>56</v>
      </c>
      <c r="I670" s="8" t="str">
        <f>IF(Table2[[#This Row],[Age]] &lt; 19, "Teenagers", IF(Table2[[#This Row],[Age]] &lt;= 34, "Young Adults", IF(Table2[[#This Row],[Age]] &lt;= 45, "Adults", IF(Table2[[#This Row],[Age]] &lt;= 55, "Seniors", "Elderly")) ))</f>
        <v>Elderly</v>
      </c>
      <c r="J670" s="7" t="s">
        <v>14</v>
      </c>
      <c r="K670" s="8">
        <v>1</v>
      </c>
      <c r="L670" s="8" t="str">
        <f>IF(Table2[[#This Row],[Quantity]]=1, "Single Order", IF(Table2[[#This Row],[Quantity]]=2, "Small Order", IF(Table2[[#This Row],[Quantity]]=3, "Medium Order", "Bulk Order")))</f>
        <v>Single Order</v>
      </c>
      <c r="M670" s="10">
        <v>500</v>
      </c>
      <c r="N670" s="10">
        <v>500</v>
      </c>
    </row>
    <row r="671" spans="1:14" x14ac:dyDescent="0.2">
      <c r="A671">
        <v>992</v>
      </c>
      <c r="B671" s="5">
        <v>45159</v>
      </c>
      <c r="C671" s="5" t="str">
        <f>TEXT(Table2[[#This Row],[Date]], "MMM")</f>
        <v>Aug</v>
      </c>
      <c r="D671" s="8">
        <f>MONTH(Table2[[#This Row],[Date]])</f>
        <v>8</v>
      </c>
      <c r="E671" s="8">
        <f>YEAR(Table2[[#This Row],[Date]])</f>
        <v>2023</v>
      </c>
      <c r="F671" s="7" t="s">
        <v>1005</v>
      </c>
      <c r="G671" s="7" t="s">
        <v>13</v>
      </c>
      <c r="H671" s="8">
        <v>57</v>
      </c>
      <c r="I671" s="8" t="str">
        <f>IF(Table2[[#This Row],[Age]] &lt; 19, "Teenagers", IF(Table2[[#This Row],[Age]] &lt;= 34, "Young Adults", IF(Table2[[#This Row],[Age]] &lt;= 45, "Adults", IF(Table2[[#This Row],[Age]] &lt;= 55, "Seniors", "Elderly")) ))</f>
        <v>Elderly</v>
      </c>
      <c r="J671" s="7" t="s">
        <v>16</v>
      </c>
      <c r="K671" s="8">
        <v>2</v>
      </c>
      <c r="L671" s="8" t="str">
        <f>IF(Table2[[#This Row],[Quantity]]=1, "Single Order", IF(Table2[[#This Row],[Quantity]]=2, "Small Order", IF(Table2[[#This Row],[Quantity]]=3, "Medium Order", "Bulk Order")))</f>
        <v>Small Order</v>
      </c>
      <c r="M671" s="10">
        <v>30</v>
      </c>
      <c r="N671" s="10">
        <v>60</v>
      </c>
    </row>
    <row r="672" spans="1:14" x14ac:dyDescent="0.2">
      <c r="A672">
        <v>19</v>
      </c>
      <c r="B672" s="5">
        <v>45185</v>
      </c>
      <c r="C672" s="5" t="str">
        <f>TEXT(Table2[[#This Row],[Date]], "MMM")</f>
        <v>Sep</v>
      </c>
      <c r="D672" s="8">
        <f>MONTH(Table2[[#This Row],[Date]])</f>
        <v>9</v>
      </c>
      <c r="E672" s="8">
        <f>YEAR(Table2[[#This Row],[Date]])</f>
        <v>2023</v>
      </c>
      <c r="F672" s="7" t="s">
        <v>32</v>
      </c>
      <c r="G672" s="7" t="s">
        <v>13</v>
      </c>
      <c r="H672" s="8">
        <v>62</v>
      </c>
      <c r="I672" s="8" t="str">
        <f>IF(Table2[[#This Row],[Age]] &lt; 19, "Teenagers", IF(Table2[[#This Row],[Age]] &lt;= 34, "Young Adults", IF(Table2[[#This Row],[Age]] &lt;= 45, "Adults", IF(Table2[[#This Row],[Age]] &lt;= 55, "Seniors", "Elderly")) ))</f>
        <v>Elderly</v>
      </c>
      <c r="J672" s="7" t="s">
        <v>14</v>
      </c>
      <c r="K672" s="8">
        <v>2</v>
      </c>
      <c r="L672" s="8" t="str">
        <f>IF(Table2[[#This Row],[Quantity]]=1, "Single Order", IF(Table2[[#This Row],[Quantity]]=2, "Small Order", IF(Table2[[#This Row],[Quantity]]=3, "Medium Order", "Bulk Order")))</f>
        <v>Small Order</v>
      </c>
      <c r="M672" s="10">
        <v>25</v>
      </c>
      <c r="N672" s="10">
        <v>50</v>
      </c>
    </row>
    <row r="673" spans="1:14" x14ac:dyDescent="0.2">
      <c r="A673">
        <v>113</v>
      </c>
      <c r="B673" s="5">
        <v>45182</v>
      </c>
      <c r="C673" s="5" t="str">
        <f>TEXT(Table2[[#This Row],[Date]], "MMM")</f>
        <v>Sep</v>
      </c>
      <c r="D673" s="8">
        <f>MONTH(Table2[[#This Row],[Date]])</f>
        <v>9</v>
      </c>
      <c r="E673" s="8">
        <f>YEAR(Table2[[#This Row],[Date]])</f>
        <v>2023</v>
      </c>
      <c r="F673" s="7" t="s">
        <v>126</v>
      </c>
      <c r="G673" s="7" t="s">
        <v>13</v>
      </c>
      <c r="H673" s="8">
        <v>41</v>
      </c>
      <c r="I673" s="8" t="str">
        <f>IF(Table2[[#This Row],[Age]] &lt; 19, "Teenagers", IF(Table2[[#This Row],[Age]] &lt;= 34, "Young Adults", IF(Table2[[#This Row],[Age]] &lt;= 45, "Adults", IF(Table2[[#This Row],[Age]] &lt;= 55, "Seniors", "Elderly")) ))</f>
        <v>Adults</v>
      </c>
      <c r="J673" s="7" t="s">
        <v>16</v>
      </c>
      <c r="K673" s="8">
        <v>2</v>
      </c>
      <c r="L673" s="8" t="str">
        <f>IF(Table2[[#This Row],[Quantity]]=1, "Single Order", IF(Table2[[#This Row],[Quantity]]=2, "Small Order", IF(Table2[[#This Row],[Quantity]]=3, "Medium Order", "Bulk Order")))</f>
        <v>Small Order</v>
      </c>
      <c r="M673" s="10">
        <v>25</v>
      </c>
      <c r="N673" s="10">
        <v>50</v>
      </c>
    </row>
    <row r="674" spans="1:14" x14ac:dyDescent="0.2">
      <c r="A674">
        <v>131</v>
      </c>
      <c r="B674" s="5">
        <v>45187</v>
      </c>
      <c r="C674" s="5" t="str">
        <f>TEXT(Table2[[#This Row],[Date]], "MMM")</f>
        <v>Sep</v>
      </c>
      <c r="D674" s="8">
        <f>MONTH(Table2[[#This Row],[Date]])</f>
        <v>9</v>
      </c>
      <c r="E674" s="8">
        <f>YEAR(Table2[[#This Row],[Date]])</f>
        <v>2023</v>
      </c>
      <c r="F674" s="7" t="s">
        <v>144</v>
      </c>
      <c r="G674" s="7" t="s">
        <v>13</v>
      </c>
      <c r="H674" s="8">
        <v>21</v>
      </c>
      <c r="I674" s="8" t="str">
        <f>IF(Table2[[#This Row],[Age]] &lt; 19, "Teenagers", IF(Table2[[#This Row],[Age]] &lt;= 34, "Young Adults", IF(Table2[[#This Row],[Age]] &lt;= 45, "Adults", IF(Table2[[#This Row],[Age]] &lt;= 55, "Seniors", "Elderly")) ))</f>
        <v>Young Adults</v>
      </c>
      <c r="J674" s="7" t="s">
        <v>11</v>
      </c>
      <c r="K674" s="8">
        <v>2</v>
      </c>
      <c r="L674" s="8" t="str">
        <f>IF(Table2[[#This Row],[Quantity]]=1, "Single Order", IF(Table2[[#This Row],[Quantity]]=2, "Small Order", IF(Table2[[#This Row],[Quantity]]=3, "Medium Order", "Bulk Order")))</f>
        <v>Small Order</v>
      </c>
      <c r="M674" s="10">
        <v>300</v>
      </c>
      <c r="N674" s="10">
        <v>600</v>
      </c>
    </row>
    <row r="675" spans="1:14" x14ac:dyDescent="0.2">
      <c r="A675">
        <v>132</v>
      </c>
      <c r="B675" s="5">
        <v>45179</v>
      </c>
      <c r="C675" s="5" t="str">
        <f>TEXT(Table2[[#This Row],[Date]], "MMM")</f>
        <v>Sep</v>
      </c>
      <c r="D675" s="8">
        <f>MONTH(Table2[[#This Row],[Date]])</f>
        <v>9</v>
      </c>
      <c r="E675" s="8">
        <f>YEAR(Table2[[#This Row],[Date]])</f>
        <v>2023</v>
      </c>
      <c r="F675" s="7" t="s">
        <v>145</v>
      </c>
      <c r="G675" s="7" t="s">
        <v>10</v>
      </c>
      <c r="H675" s="8">
        <v>42</v>
      </c>
      <c r="I675" s="8" t="str">
        <f>IF(Table2[[#This Row],[Age]] &lt; 19, "Teenagers", IF(Table2[[#This Row],[Age]] &lt;= 34, "Young Adults", IF(Table2[[#This Row],[Age]] &lt;= 45, "Adults", IF(Table2[[#This Row],[Age]] &lt;= 55, "Seniors", "Elderly")) ))</f>
        <v>Adults</v>
      </c>
      <c r="J675" s="7" t="s">
        <v>16</v>
      </c>
      <c r="K675" s="8">
        <v>4</v>
      </c>
      <c r="L675" s="8" t="str">
        <f>IF(Table2[[#This Row],[Quantity]]=1, "Single Order", IF(Table2[[#This Row],[Quantity]]=2, "Small Order", IF(Table2[[#This Row],[Quantity]]=3, "Medium Order", "Bulk Order")))</f>
        <v>Bulk Order</v>
      </c>
      <c r="M675" s="10">
        <v>50</v>
      </c>
      <c r="N675" s="10">
        <v>200</v>
      </c>
    </row>
    <row r="676" spans="1:14" x14ac:dyDescent="0.2">
      <c r="A676">
        <v>147</v>
      </c>
      <c r="B676" s="5">
        <v>45197</v>
      </c>
      <c r="C676" s="5" t="str">
        <f>TEXT(Table2[[#This Row],[Date]], "MMM")</f>
        <v>Sep</v>
      </c>
      <c r="D676" s="8">
        <f>MONTH(Table2[[#This Row],[Date]])</f>
        <v>9</v>
      </c>
      <c r="E676" s="8">
        <f>YEAR(Table2[[#This Row],[Date]])</f>
        <v>2023</v>
      </c>
      <c r="F676" s="7" t="s">
        <v>160</v>
      </c>
      <c r="G676" s="7" t="s">
        <v>10</v>
      </c>
      <c r="H676" s="8">
        <v>23</v>
      </c>
      <c r="I676" s="8" t="str">
        <f>IF(Table2[[#This Row],[Age]] &lt; 19, "Teenagers", IF(Table2[[#This Row],[Age]] &lt;= 34, "Young Adults", IF(Table2[[#This Row],[Age]] &lt;= 45, "Adults", IF(Table2[[#This Row],[Age]] &lt;= 55, "Seniors", "Elderly")) ))</f>
        <v>Young Adults</v>
      </c>
      <c r="J676" s="7" t="s">
        <v>16</v>
      </c>
      <c r="K676" s="8">
        <v>1</v>
      </c>
      <c r="L676" s="8" t="str">
        <f>IF(Table2[[#This Row],[Quantity]]=1, "Single Order", IF(Table2[[#This Row],[Quantity]]=2, "Small Order", IF(Table2[[#This Row],[Quantity]]=3, "Medium Order", "Bulk Order")))</f>
        <v>Single Order</v>
      </c>
      <c r="M676" s="10">
        <v>300</v>
      </c>
      <c r="N676" s="10">
        <v>300</v>
      </c>
    </row>
    <row r="677" spans="1:14" x14ac:dyDescent="0.2">
      <c r="A677">
        <v>165</v>
      </c>
      <c r="B677" s="5">
        <v>45183</v>
      </c>
      <c r="C677" s="5" t="str">
        <f>TEXT(Table2[[#This Row],[Date]], "MMM")</f>
        <v>Sep</v>
      </c>
      <c r="D677" s="8">
        <f>MONTH(Table2[[#This Row],[Date]])</f>
        <v>9</v>
      </c>
      <c r="E677" s="8">
        <f>YEAR(Table2[[#This Row],[Date]])</f>
        <v>2023</v>
      </c>
      <c r="F677" s="7" t="s">
        <v>178</v>
      </c>
      <c r="G677" s="7" t="s">
        <v>13</v>
      </c>
      <c r="H677" s="8">
        <v>60</v>
      </c>
      <c r="I677" s="8" t="str">
        <f>IF(Table2[[#This Row],[Age]] &lt; 19, "Teenagers", IF(Table2[[#This Row],[Age]] &lt;= 34, "Young Adults", IF(Table2[[#This Row],[Age]] &lt;= 45, "Adults", IF(Table2[[#This Row],[Age]] &lt;= 55, "Seniors", "Elderly")) ))</f>
        <v>Elderly</v>
      </c>
      <c r="J677" s="7" t="s">
        <v>14</v>
      </c>
      <c r="K677" s="8">
        <v>4</v>
      </c>
      <c r="L677" s="8" t="str">
        <f>IF(Table2[[#This Row],[Quantity]]=1, "Single Order", IF(Table2[[#This Row],[Quantity]]=2, "Small Order", IF(Table2[[#This Row],[Quantity]]=3, "Medium Order", "Bulk Order")))</f>
        <v>Bulk Order</v>
      </c>
      <c r="M677" s="10">
        <v>300</v>
      </c>
      <c r="N677" s="10">
        <v>1200</v>
      </c>
    </row>
    <row r="678" spans="1:14" x14ac:dyDescent="0.2">
      <c r="A678">
        <v>167</v>
      </c>
      <c r="B678" s="5">
        <v>45186</v>
      </c>
      <c r="C678" s="5" t="str">
        <f>TEXT(Table2[[#This Row],[Date]], "MMM")</f>
        <v>Sep</v>
      </c>
      <c r="D678" s="8">
        <f>MONTH(Table2[[#This Row],[Date]])</f>
        <v>9</v>
      </c>
      <c r="E678" s="8">
        <f>YEAR(Table2[[#This Row],[Date]])</f>
        <v>2023</v>
      </c>
      <c r="F678" s="7" t="s">
        <v>180</v>
      </c>
      <c r="G678" s="7" t="s">
        <v>13</v>
      </c>
      <c r="H678" s="8">
        <v>43</v>
      </c>
      <c r="I678" s="8" t="str">
        <f>IF(Table2[[#This Row],[Age]] &lt; 19, "Teenagers", IF(Table2[[#This Row],[Age]] &lt;= 34, "Young Adults", IF(Table2[[#This Row],[Age]] &lt;= 45, "Adults", IF(Table2[[#This Row],[Age]] &lt;= 55, "Seniors", "Elderly")) ))</f>
        <v>Adults</v>
      </c>
      <c r="J678" s="7" t="s">
        <v>14</v>
      </c>
      <c r="K678" s="8">
        <v>3</v>
      </c>
      <c r="L678" s="8" t="str">
        <f>IF(Table2[[#This Row],[Quantity]]=1, "Single Order", IF(Table2[[#This Row],[Quantity]]=2, "Small Order", IF(Table2[[#This Row],[Quantity]]=3, "Medium Order", "Bulk Order")))</f>
        <v>Medium Order</v>
      </c>
      <c r="M678" s="10">
        <v>50</v>
      </c>
      <c r="N678" s="10">
        <v>150</v>
      </c>
    </row>
    <row r="679" spans="1:14" x14ac:dyDescent="0.2">
      <c r="A679">
        <v>172</v>
      </c>
      <c r="B679" s="5">
        <v>45186</v>
      </c>
      <c r="C679" s="5" t="str">
        <f>TEXT(Table2[[#This Row],[Date]], "MMM")</f>
        <v>Sep</v>
      </c>
      <c r="D679" s="8">
        <f>MONTH(Table2[[#This Row],[Date]])</f>
        <v>9</v>
      </c>
      <c r="E679" s="8">
        <f>YEAR(Table2[[#This Row],[Date]])</f>
        <v>2023</v>
      </c>
      <c r="F679" s="7" t="s">
        <v>185</v>
      </c>
      <c r="G679" s="7" t="s">
        <v>10</v>
      </c>
      <c r="H679" s="8">
        <v>32</v>
      </c>
      <c r="I679" s="8" t="str">
        <f>IF(Table2[[#This Row],[Age]] &lt; 19, "Teenagers", IF(Table2[[#This Row],[Age]] &lt;= 34, "Young Adults", IF(Table2[[#This Row],[Age]] &lt;= 45, "Adults", IF(Table2[[#This Row],[Age]] &lt;= 55, "Seniors", "Elderly")) ))</f>
        <v>Young Adults</v>
      </c>
      <c r="J679" s="7" t="s">
        <v>11</v>
      </c>
      <c r="K679" s="8">
        <v>2</v>
      </c>
      <c r="L679" s="8" t="str">
        <f>IF(Table2[[#This Row],[Quantity]]=1, "Single Order", IF(Table2[[#This Row],[Quantity]]=2, "Small Order", IF(Table2[[#This Row],[Quantity]]=3, "Medium Order", "Bulk Order")))</f>
        <v>Small Order</v>
      </c>
      <c r="M679" s="10">
        <v>25</v>
      </c>
      <c r="N679" s="10">
        <v>50</v>
      </c>
    </row>
    <row r="680" spans="1:14" x14ac:dyDescent="0.2">
      <c r="A680">
        <v>179</v>
      </c>
      <c r="B680" s="5">
        <v>45198</v>
      </c>
      <c r="C680" s="5" t="str">
        <f>TEXT(Table2[[#This Row],[Date]], "MMM")</f>
        <v>Sep</v>
      </c>
      <c r="D680" s="8">
        <f>MONTH(Table2[[#This Row],[Date]])</f>
        <v>9</v>
      </c>
      <c r="E680" s="8">
        <f>YEAR(Table2[[#This Row],[Date]])</f>
        <v>2023</v>
      </c>
      <c r="F680" s="7" t="s">
        <v>192</v>
      </c>
      <c r="G680" s="7" t="s">
        <v>10</v>
      </c>
      <c r="H680" s="8">
        <v>31</v>
      </c>
      <c r="I680" s="8" t="str">
        <f>IF(Table2[[#This Row],[Age]] &lt; 19, "Teenagers", IF(Table2[[#This Row],[Age]] &lt;= 34, "Young Adults", IF(Table2[[#This Row],[Age]] &lt;= 45, "Adults", IF(Table2[[#This Row],[Age]] &lt;= 55, "Seniors", "Elderly")) ))</f>
        <v>Young Adults</v>
      </c>
      <c r="J680" s="7" t="s">
        <v>16</v>
      </c>
      <c r="K680" s="8">
        <v>1</v>
      </c>
      <c r="L680" s="8" t="str">
        <f>IF(Table2[[#This Row],[Quantity]]=1, "Single Order", IF(Table2[[#This Row],[Quantity]]=2, "Small Order", IF(Table2[[#This Row],[Quantity]]=3, "Medium Order", "Bulk Order")))</f>
        <v>Single Order</v>
      </c>
      <c r="M680" s="10">
        <v>300</v>
      </c>
      <c r="N680" s="10">
        <v>300</v>
      </c>
    </row>
    <row r="681" spans="1:14" x14ac:dyDescent="0.2">
      <c r="A681">
        <v>183</v>
      </c>
      <c r="B681" s="5">
        <v>45177</v>
      </c>
      <c r="C681" s="5" t="str">
        <f>TEXT(Table2[[#This Row],[Date]], "MMM")</f>
        <v>Sep</v>
      </c>
      <c r="D681" s="8">
        <f>MONTH(Table2[[#This Row],[Date]])</f>
        <v>9</v>
      </c>
      <c r="E681" s="8">
        <f>YEAR(Table2[[#This Row],[Date]])</f>
        <v>2023</v>
      </c>
      <c r="F681" s="7" t="s">
        <v>196</v>
      </c>
      <c r="G681" s="7" t="s">
        <v>13</v>
      </c>
      <c r="H681" s="8">
        <v>43</v>
      </c>
      <c r="I681" s="8" t="str">
        <f>IF(Table2[[#This Row],[Age]] &lt; 19, "Teenagers", IF(Table2[[#This Row],[Age]] &lt;= 34, "Young Adults", IF(Table2[[#This Row],[Age]] &lt;= 45, "Adults", IF(Table2[[#This Row],[Age]] &lt;= 55, "Seniors", "Elderly")) ))</f>
        <v>Adults</v>
      </c>
      <c r="J681" s="7" t="s">
        <v>11</v>
      </c>
      <c r="K681" s="8">
        <v>3</v>
      </c>
      <c r="L681" s="8" t="str">
        <f>IF(Table2[[#This Row],[Quantity]]=1, "Single Order", IF(Table2[[#This Row],[Quantity]]=2, "Small Order", IF(Table2[[#This Row],[Quantity]]=3, "Medium Order", "Bulk Order")))</f>
        <v>Medium Order</v>
      </c>
      <c r="M681" s="10">
        <v>300</v>
      </c>
      <c r="N681" s="10">
        <v>900</v>
      </c>
    </row>
    <row r="682" spans="1:14" x14ac:dyDescent="0.2">
      <c r="A682">
        <v>194</v>
      </c>
      <c r="B682" s="5">
        <v>45175</v>
      </c>
      <c r="C682" s="5" t="str">
        <f>TEXT(Table2[[#This Row],[Date]], "MMM")</f>
        <v>Sep</v>
      </c>
      <c r="D682" s="8">
        <f>MONTH(Table2[[#This Row],[Date]])</f>
        <v>9</v>
      </c>
      <c r="E682" s="8">
        <f>YEAR(Table2[[#This Row],[Date]])</f>
        <v>2023</v>
      </c>
      <c r="F682" s="7" t="s">
        <v>207</v>
      </c>
      <c r="G682" s="7" t="s">
        <v>10</v>
      </c>
      <c r="H682" s="8">
        <v>55</v>
      </c>
      <c r="I682" s="8" t="str">
        <f>IF(Table2[[#This Row],[Age]] &lt; 19, "Teenagers", IF(Table2[[#This Row],[Age]] &lt;= 34, "Young Adults", IF(Table2[[#This Row],[Age]] &lt;= 45, "Adults", IF(Table2[[#This Row],[Age]] &lt;= 55, "Seniors", "Elderly")) ))</f>
        <v>Seniors</v>
      </c>
      <c r="J682" s="7" t="s">
        <v>14</v>
      </c>
      <c r="K682" s="8">
        <v>4</v>
      </c>
      <c r="L682" s="8" t="str">
        <f>IF(Table2[[#This Row],[Quantity]]=1, "Single Order", IF(Table2[[#This Row],[Quantity]]=2, "Small Order", IF(Table2[[#This Row],[Quantity]]=3, "Medium Order", "Bulk Order")))</f>
        <v>Bulk Order</v>
      </c>
      <c r="M682" s="10">
        <v>50</v>
      </c>
      <c r="N682" s="10">
        <v>200</v>
      </c>
    </row>
    <row r="683" spans="1:14" x14ac:dyDescent="0.2">
      <c r="A683">
        <v>196</v>
      </c>
      <c r="B683" s="5">
        <v>45199</v>
      </c>
      <c r="C683" s="5" t="str">
        <f>TEXT(Table2[[#This Row],[Date]], "MMM")</f>
        <v>Sep</v>
      </c>
      <c r="D683" s="8">
        <f>MONTH(Table2[[#This Row],[Date]])</f>
        <v>9</v>
      </c>
      <c r="E683" s="8">
        <f>YEAR(Table2[[#This Row],[Date]])</f>
        <v>2023</v>
      </c>
      <c r="F683" s="7" t="s">
        <v>209</v>
      </c>
      <c r="G683" s="7" t="s">
        <v>13</v>
      </c>
      <c r="H683" s="8">
        <v>32</v>
      </c>
      <c r="I683" s="8" t="str">
        <f>IF(Table2[[#This Row],[Age]] &lt; 19, "Teenagers", IF(Table2[[#This Row],[Age]] &lt;= 34, "Young Adults", IF(Table2[[#This Row],[Age]] &lt;= 45, "Adults", IF(Table2[[#This Row],[Age]] &lt;= 55, "Seniors", "Elderly")) ))</f>
        <v>Young Adults</v>
      </c>
      <c r="J683" s="7" t="s">
        <v>14</v>
      </c>
      <c r="K683" s="8">
        <v>3</v>
      </c>
      <c r="L683" s="8" t="str">
        <f>IF(Table2[[#This Row],[Quantity]]=1, "Single Order", IF(Table2[[#This Row],[Quantity]]=2, "Small Order", IF(Table2[[#This Row],[Quantity]]=3, "Medium Order", "Bulk Order")))</f>
        <v>Medium Order</v>
      </c>
      <c r="M683" s="10">
        <v>300</v>
      </c>
      <c r="N683" s="10">
        <v>900</v>
      </c>
    </row>
    <row r="684" spans="1:14" x14ac:dyDescent="0.2">
      <c r="A684">
        <v>200</v>
      </c>
      <c r="B684" s="5">
        <v>45170</v>
      </c>
      <c r="C684" s="5" t="str">
        <f>TEXT(Table2[[#This Row],[Date]], "MMM")</f>
        <v>Sep</v>
      </c>
      <c r="D684" s="8">
        <f>MONTH(Table2[[#This Row],[Date]])</f>
        <v>9</v>
      </c>
      <c r="E684" s="8">
        <f>YEAR(Table2[[#This Row],[Date]])</f>
        <v>2023</v>
      </c>
      <c r="F684" s="7" t="s">
        <v>213</v>
      </c>
      <c r="G684" s="7" t="s">
        <v>10</v>
      </c>
      <c r="H684" s="8">
        <v>27</v>
      </c>
      <c r="I684" s="8" t="str">
        <f>IF(Table2[[#This Row],[Age]] &lt; 19, "Teenagers", IF(Table2[[#This Row],[Age]] &lt;= 34, "Young Adults", IF(Table2[[#This Row],[Age]] &lt;= 45, "Adults", IF(Table2[[#This Row],[Age]] &lt;= 55, "Seniors", "Elderly")) ))</f>
        <v>Young Adults</v>
      </c>
      <c r="J684" s="7" t="s">
        <v>11</v>
      </c>
      <c r="K684" s="8">
        <v>3</v>
      </c>
      <c r="L684" s="8" t="str">
        <f>IF(Table2[[#This Row],[Quantity]]=1, "Single Order", IF(Table2[[#This Row],[Quantity]]=2, "Small Order", IF(Table2[[#This Row],[Quantity]]=3, "Medium Order", "Bulk Order")))</f>
        <v>Medium Order</v>
      </c>
      <c r="M684" s="10">
        <v>50</v>
      </c>
      <c r="N684" s="10">
        <v>150</v>
      </c>
    </row>
    <row r="685" spans="1:14" x14ac:dyDescent="0.2">
      <c r="A685">
        <v>204</v>
      </c>
      <c r="B685" s="5">
        <v>45197</v>
      </c>
      <c r="C685" s="5" t="str">
        <f>TEXT(Table2[[#This Row],[Date]], "MMM")</f>
        <v>Sep</v>
      </c>
      <c r="D685" s="8">
        <f>MONTH(Table2[[#This Row],[Date]])</f>
        <v>9</v>
      </c>
      <c r="E685" s="8">
        <f>YEAR(Table2[[#This Row],[Date]])</f>
        <v>2023</v>
      </c>
      <c r="F685" s="7" t="s">
        <v>217</v>
      </c>
      <c r="G685" s="7" t="s">
        <v>10</v>
      </c>
      <c r="H685" s="8">
        <v>39</v>
      </c>
      <c r="I685" s="8" t="str">
        <f>IF(Table2[[#This Row],[Age]] &lt; 19, "Teenagers", IF(Table2[[#This Row],[Age]] &lt;= 34, "Young Adults", IF(Table2[[#This Row],[Age]] &lt;= 45, "Adults", IF(Table2[[#This Row],[Age]] &lt;= 55, "Seniors", "Elderly")) ))</f>
        <v>Adults</v>
      </c>
      <c r="J685" s="7" t="s">
        <v>11</v>
      </c>
      <c r="K685" s="8">
        <v>1</v>
      </c>
      <c r="L685" s="8" t="str">
        <f>IF(Table2[[#This Row],[Quantity]]=1, "Single Order", IF(Table2[[#This Row],[Quantity]]=2, "Small Order", IF(Table2[[#This Row],[Quantity]]=3, "Medium Order", "Bulk Order")))</f>
        <v>Single Order</v>
      </c>
      <c r="M685" s="10">
        <v>25</v>
      </c>
      <c r="N685" s="10">
        <v>25</v>
      </c>
    </row>
    <row r="686" spans="1:14" x14ac:dyDescent="0.2">
      <c r="A686">
        <v>218</v>
      </c>
      <c r="B686" s="5">
        <v>45191</v>
      </c>
      <c r="C686" s="5" t="str">
        <f>TEXT(Table2[[#This Row],[Date]], "MMM")</f>
        <v>Sep</v>
      </c>
      <c r="D686" s="8">
        <f>MONTH(Table2[[#This Row],[Date]])</f>
        <v>9</v>
      </c>
      <c r="E686" s="8">
        <f>YEAR(Table2[[#This Row],[Date]])</f>
        <v>2023</v>
      </c>
      <c r="F686" s="7" t="s">
        <v>231</v>
      </c>
      <c r="G686" s="7" t="s">
        <v>10</v>
      </c>
      <c r="H686" s="8">
        <v>64</v>
      </c>
      <c r="I686" s="8" t="str">
        <f>IF(Table2[[#This Row],[Age]] &lt; 19, "Teenagers", IF(Table2[[#This Row],[Age]] &lt;= 34, "Young Adults", IF(Table2[[#This Row],[Age]] &lt;= 45, "Adults", IF(Table2[[#This Row],[Age]] &lt;= 55, "Seniors", "Elderly")) ))</f>
        <v>Elderly</v>
      </c>
      <c r="J686" s="7" t="s">
        <v>11</v>
      </c>
      <c r="K686" s="8">
        <v>3</v>
      </c>
      <c r="L686" s="8" t="str">
        <f>IF(Table2[[#This Row],[Quantity]]=1, "Single Order", IF(Table2[[#This Row],[Quantity]]=2, "Small Order", IF(Table2[[#This Row],[Quantity]]=3, "Medium Order", "Bulk Order")))</f>
        <v>Medium Order</v>
      </c>
      <c r="M686" s="10">
        <v>30</v>
      </c>
      <c r="N686" s="10">
        <v>90</v>
      </c>
    </row>
    <row r="687" spans="1:14" x14ac:dyDescent="0.2">
      <c r="A687">
        <v>241</v>
      </c>
      <c r="B687" s="5">
        <v>45190</v>
      </c>
      <c r="C687" s="5" t="str">
        <f>TEXT(Table2[[#This Row],[Date]], "MMM")</f>
        <v>Sep</v>
      </c>
      <c r="D687" s="8">
        <f>MONTH(Table2[[#This Row],[Date]])</f>
        <v>9</v>
      </c>
      <c r="E687" s="8">
        <f>YEAR(Table2[[#This Row],[Date]])</f>
        <v>2023</v>
      </c>
      <c r="F687" s="7" t="s">
        <v>254</v>
      </c>
      <c r="G687" s="7" t="s">
        <v>13</v>
      </c>
      <c r="H687" s="8">
        <v>23</v>
      </c>
      <c r="I687" s="8" t="str">
        <f>IF(Table2[[#This Row],[Age]] &lt; 19, "Teenagers", IF(Table2[[#This Row],[Age]] &lt;= 34, "Young Adults", IF(Table2[[#This Row],[Age]] &lt;= 45, "Adults", IF(Table2[[#This Row],[Age]] &lt;= 55, "Seniors", "Elderly")) ))</f>
        <v>Young Adults</v>
      </c>
      <c r="J687" s="7" t="s">
        <v>16</v>
      </c>
      <c r="K687" s="8">
        <v>3</v>
      </c>
      <c r="L687" s="8" t="str">
        <f>IF(Table2[[#This Row],[Quantity]]=1, "Single Order", IF(Table2[[#This Row],[Quantity]]=2, "Small Order", IF(Table2[[#This Row],[Quantity]]=3, "Medium Order", "Bulk Order")))</f>
        <v>Medium Order</v>
      </c>
      <c r="M687" s="10">
        <v>25</v>
      </c>
      <c r="N687" s="10">
        <v>75</v>
      </c>
    </row>
    <row r="688" spans="1:14" x14ac:dyDescent="0.2">
      <c r="A688">
        <v>245</v>
      </c>
      <c r="B688" s="5">
        <v>45175</v>
      </c>
      <c r="C688" s="5" t="str">
        <f>TEXT(Table2[[#This Row],[Date]], "MMM")</f>
        <v>Sep</v>
      </c>
      <c r="D688" s="8">
        <f>MONTH(Table2[[#This Row],[Date]])</f>
        <v>9</v>
      </c>
      <c r="E688" s="8">
        <f>YEAR(Table2[[#This Row],[Date]])</f>
        <v>2023</v>
      </c>
      <c r="F688" s="7" t="s">
        <v>258</v>
      </c>
      <c r="G688" s="7" t="s">
        <v>10</v>
      </c>
      <c r="H688" s="8">
        <v>47</v>
      </c>
      <c r="I688" s="8" t="str">
        <f>IF(Table2[[#This Row],[Age]] &lt; 19, "Teenagers", IF(Table2[[#This Row],[Age]] &lt;= 34, "Young Adults", IF(Table2[[#This Row],[Age]] &lt;= 45, "Adults", IF(Table2[[#This Row],[Age]] &lt;= 55, "Seniors", "Elderly")) ))</f>
        <v>Seniors</v>
      </c>
      <c r="J688" s="7" t="s">
        <v>14</v>
      </c>
      <c r="K688" s="8">
        <v>3</v>
      </c>
      <c r="L688" s="8" t="str">
        <f>IF(Table2[[#This Row],[Quantity]]=1, "Single Order", IF(Table2[[#This Row],[Quantity]]=2, "Small Order", IF(Table2[[#This Row],[Quantity]]=3, "Medium Order", "Bulk Order")))</f>
        <v>Medium Order</v>
      </c>
      <c r="M688" s="10">
        <v>30</v>
      </c>
      <c r="N688" s="10">
        <v>90</v>
      </c>
    </row>
    <row r="689" spans="1:14" x14ac:dyDescent="0.2">
      <c r="A689">
        <v>296</v>
      </c>
      <c r="B689" s="5">
        <v>45175</v>
      </c>
      <c r="C689" s="5" t="str">
        <f>TEXT(Table2[[#This Row],[Date]], "MMM")</f>
        <v>Sep</v>
      </c>
      <c r="D689" s="8">
        <f>MONTH(Table2[[#This Row],[Date]])</f>
        <v>9</v>
      </c>
      <c r="E689" s="8">
        <f>YEAR(Table2[[#This Row],[Date]])</f>
        <v>2023</v>
      </c>
      <c r="F689" s="7" t="s">
        <v>309</v>
      </c>
      <c r="G689" s="7" t="s">
        <v>13</v>
      </c>
      <c r="H689" s="8">
        <v>22</v>
      </c>
      <c r="I689" s="8" t="str">
        <f>IF(Table2[[#This Row],[Age]] &lt; 19, "Teenagers", IF(Table2[[#This Row],[Age]] &lt;= 34, "Young Adults", IF(Table2[[#This Row],[Age]] &lt;= 45, "Adults", IF(Table2[[#This Row],[Age]] &lt;= 55, "Seniors", "Elderly")) ))</f>
        <v>Young Adults</v>
      </c>
      <c r="J689" s="7" t="s">
        <v>14</v>
      </c>
      <c r="K689" s="8">
        <v>4</v>
      </c>
      <c r="L689" s="8" t="str">
        <f>IF(Table2[[#This Row],[Quantity]]=1, "Single Order", IF(Table2[[#This Row],[Quantity]]=2, "Small Order", IF(Table2[[#This Row],[Quantity]]=3, "Medium Order", "Bulk Order")))</f>
        <v>Bulk Order</v>
      </c>
      <c r="M689" s="10">
        <v>300</v>
      </c>
      <c r="N689" s="10">
        <v>1200</v>
      </c>
    </row>
    <row r="690" spans="1:14" x14ac:dyDescent="0.2">
      <c r="A690">
        <v>297</v>
      </c>
      <c r="B690" s="5">
        <v>45173</v>
      </c>
      <c r="C690" s="5" t="str">
        <f>TEXT(Table2[[#This Row],[Date]], "MMM")</f>
        <v>Sep</v>
      </c>
      <c r="D690" s="8">
        <f>MONTH(Table2[[#This Row],[Date]])</f>
        <v>9</v>
      </c>
      <c r="E690" s="8">
        <f>YEAR(Table2[[#This Row],[Date]])</f>
        <v>2023</v>
      </c>
      <c r="F690" s="7" t="s">
        <v>310</v>
      </c>
      <c r="G690" s="7" t="s">
        <v>13</v>
      </c>
      <c r="H690" s="8">
        <v>40</v>
      </c>
      <c r="I690" s="8" t="str">
        <f>IF(Table2[[#This Row],[Age]] &lt; 19, "Teenagers", IF(Table2[[#This Row],[Age]] &lt;= 34, "Young Adults", IF(Table2[[#This Row],[Age]] &lt;= 45, "Adults", IF(Table2[[#This Row],[Age]] &lt;= 55, "Seniors", "Elderly")) ))</f>
        <v>Adults</v>
      </c>
      <c r="J690" s="7" t="s">
        <v>16</v>
      </c>
      <c r="K690" s="8">
        <v>2</v>
      </c>
      <c r="L690" s="8" t="str">
        <f>IF(Table2[[#This Row],[Quantity]]=1, "Single Order", IF(Table2[[#This Row],[Quantity]]=2, "Small Order", IF(Table2[[#This Row],[Quantity]]=3, "Medium Order", "Bulk Order")))</f>
        <v>Small Order</v>
      </c>
      <c r="M690" s="10">
        <v>500</v>
      </c>
      <c r="N690" s="10">
        <v>1000</v>
      </c>
    </row>
    <row r="691" spans="1:14" x14ac:dyDescent="0.2">
      <c r="A691">
        <v>312</v>
      </c>
      <c r="B691" s="5">
        <v>45176</v>
      </c>
      <c r="C691" s="5" t="str">
        <f>TEXT(Table2[[#This Row],[Date]], "MMM")</f>
        <v>Sep</v>
      </c>
      <c r="D691" s="8">
        <f>MONTH(Table2[[#This Row],[Date]])</f>
        <v>9</v>
      </c>
      <c r="E691" s="8">
        <f>YEAR(Table2[[#This Row],[Date]])</f>
        <v>2023</v>
      </c>
      <c r="F691" s="7" t="s">
        <v>325</v>
      </c>
      <c r="G691" s="7" t="s">
        <v>10</v>
      </c>
      <c r="H691" s="8">
        <v>41</v>
      </c>
      <c r="I691" s="8" t="str">
        <f>IF(Table2[[#This Row],[Age]] &lt; 19, "Teenagers", IF(Table2[[#This Row],[Age]] &lt;= 34, "Young Adults", IF(Table2[[#This Row],[Age]] &lt;= 45, "Adults", IF(Table2[[#This Row],[Age]] &lt;= 55, "Seniors", "Elderly")) ))</f>
        <v>Adults</v>
      </c>
      <c r="J691" s="7" t="s">
        <v>14</v>
      </c>
      <c r="K691" s="8">
        <v>4</v>
      </c>
      <c r="L691" s="8" t="str">
        <f>IF(Table2[[#This Row],[Quantity]]=1, "Single Order", IF(Table2[[#This Row],[Quantity]]=2, "Small Order", IF(Table2[[#This Row],[Quantity]]=3, "Medium Order", "Bulk Order")))</f>
        <v>Bulk Order</v>
      </c>
      <c r="M691" s="10">
        <v>30</v>
      </c>
      <c r="N691" s="10">
        <v>120</v>
      </c>
    </row>
    <row r="692" spans="1:14" x14ac:dyDescent="0.2">
      <c r="A692">
        <v>325</v>
      </c>
      <c r="B692" s="5">
        <v>45171</v>
      </c>
      <c r="C692" s="5" t="str">
        <f>TEXT(Table2[[#This Row],[Date]], "MMM")</f>
        <v>Sep</v>
      </c>
      <c r="D692" s="8">
        <f>MONTH(Table2[[#This Row],[Date]])</f>
        <v>9</v>
      </c>
      <c r="E692" s="8">
        <f>YEAR(Table2[[#This Row],[Date]])</f>
        <v>2023</v>
      </c>
      <c r="F692" s="7" t="s">
        <v>338</v>
      </c>
      <c r="G692" s="7" t="s">
        <v>13</v>
      </c>
      <c r="H692" s="8">
        <v>52</v>
      </c>
      <c r="I692" s="8" t="str">
        <f>IF(Table2[[#This Row],[Age]] &lt; 19, "Teenagers", IF(Table2[[#This Row],[Age]] &lt;= 34, "Young Adults", IF(Table2[[#This Row],[Age]] &lt;= 45, "Adults", IF(Table2[[#This Row],[Age]] &lt;= 55, "Seniors", "Elderly")) ))</f>
        <v>Seniors</v>
      </c>
      <c r="J692" s="7" t="s">
        <v>16</v>
      </c>
      <c r="K692" s="8">
        <v>2</v>
      </c>
      <c r="L692" s="8" t="str">
        <f>IF(Table2[[#This Row],[Quantity]]=1, "Single Order", IF(Table2[[#This Row],[Quantity]]=2, "Small Order", IF(Table2[[#This Row],[Quantity]]=3, "Medium Order", "Bulk Order")))</f>
        <v>Small Order</v>
      </c>
      <c r="M692" s="10">
        <v>25</v>
      </c>
      <c r="N692" s="10">
        <v>50</v>
      </c>
    </row>
    <row r="693" spans="1:14" x14ac:dyDescent="0.2">
      <c r="A693">
        <v>326</v>
      </c>
      <c r="B693" s="5">
        <v>45184</v>
      </c>
      <c r="C693" s="5" t="str">
        <f>TEXT(Table2[[#This Row],[Date]], "MMM")</f>
        <v>Sep</v>
      </c>
      <c r="D693" s="8">
        <f>MONTH(Table2[[#This Row],[Date]])</f>
        <v>9</v>
      </c>
      <c r="E693" s="8">
        <f>YEAR(Table2[[#This Row],[Date]])</f>
        <v>2023</v>
      </c>
      <c r="F693" s="7" t="s">
        <v>339</v>
      </c>
      <c r="G693" s="7" t="s">
        <v>13</v>
      </c>
      <c r="H693" s="8">
        <v>18</v>
      </c>
      <c r="I693" s="8" t="str">
        <f>IF(Table2[[#This Row],[Age]] &lt; 19, "Teenagers", IF(Table2[[#This Row],[Age]] &lt;= 34, "Young Adults", IF(Table2[[#This Row],[Age]] &lt;= 45, "Adults", IF(Table2[[#This Row],[Age]] &lt;= 55, "Seniors", "Elderly")) ))</f>
        <v>Teenagers</v>
      </c>
      <c r="J693" s="7" t="s">
        <v>14</v>
      </c>
      <c r="K693" s="8">
        <v>3</v>
      </c>
      <c r="L693" s="8" t="str">
        <f>IF(Table2[[#This Row],[Quantity]]=1, "Single Order", IF(Table2[[#This Row],[Quantity]]=2, "Small Order", IF(Table2[[#This Row],[Quantity]]=3, "Medium Order", "Bulk Order")))</f>
        <v>Medium Order</v>
      </c>
      <c r="M693" s="10">
        <v>25</v>
      </c>
      <c r="N693" s="10">
        <v>75</v>
      </c>
    </row>
    <row r="694" spans="1:14" x14ac:dyDescent="0.2">
      <c r="A694">
        <v>327</v>
      </c>
      <c r="B694" s="5">
        <v>45198</v>
      </c>
      <c r="C694" s="5" t="str">
        <f>TEXT(Table2[[#This Row],[Date]], "MMM")</f>
        <v>Sep</v>
      </c>
      <c r="D694" s="8">
        <f>MONTH(Table2[[#This Row],[Date]])</f>
        <v>9</v>
      </c>
      <c r="E694" s="8">
        <f>YEAR(Table2[[#This Row],[Date]])</f>
        <v>2023</v>
      </c>
      <c r="F694" s="7" t="s">
        <v>340</v>
      </c>
      <c r="G694" s="7" t="s">
        <v>10</v>
      </c>
      <c r="H694" s="8">
        <v>57</v>
      </c>
      <c r="I694" s="8" t="str">
        <f>IF(Table2[[#This Row],[Age]] &lt; 19, "Teenagers", IF(Table2[[#This Row],[Age]] &lt;= 34, "Young Adults", IF(Table2[[#This Row],[Age]] &lt;= 45, "Adults", IF(Table2[[#This Row],[Age]] &lt;= 55, "Seniors", "Elderly")) ))</f>
        <v>Elderly</v>
      </c>
      <c r="J694" s="7" t="s">
        <v>16</v>
      </c>
      <c r="K694" s="8">
        <v>3</v>
      </c>
      <c r="L694" s="8" t="str">
        <f>IF(Table2[[#This Row],[Quantity]]=1, "Single Order", IF(Table2[[#This Row],[Quantity]]=2, "Small Order", IF(Table2[[#This Row],[Quantity]]=3, "Medium Order", "Bulk Order")))</f>
        <v>Medium Order</v>
      </c>
      <c r="M694" s="10">
        <v>50</v>
      </c>
      <c r="N694" s="10">
        <v>150</v>
      </c>
    </row>
    <row r="695" spans="1:14" x14ac:dyDescent="0.2">
      <c r="A695">
        <v>330</v>
      </c>
      <c r="B695" s="5">
        <v>45187</v>
      </c>
      <c r="C695" s="5" t="str">
        <f>TEXT(Table2[[#This Row],[Date]], "MMM")</f>
        <v>Sep</v>
      </c>
      <c r="D695" s="8">
        <f>MONTH(Table2[[#This Row],[Date]])</f>
        <v>9</v>
      </c>
      <c r="E695" s="8">
        <f>YEAR(Table2[[#This Row],[Date]])</f>
        <v>2023</v>
      </c>
      <c r="F695" s="7" t="s">
        <v>343</v>
      </c>
      <c r="G695" s="7" t="s">
        <v>13</v>
      </c>
      <c r="H695" s="8">
        <v>25</v>
      </c>
      <c r="I695" s="8" t="str">
        <f>IF(Table2[[#This Row],[Age]] &lt; 19, "Teenagers", IF(Table2[[#This Row],[Age]] &lt;= 34, "Young Adults", IF(Table2[[#This Row],[Age]] &lt;= 45, "Adults", IF(Table2[[#This Row],[Age]] &lt;= 55, "Seniors", "Elderly")) ))</f>
        <v>Young Adults</v>
      </c>
      <c r="J695" s="7" t="s">
        <v>11</v>
      </c>
      <c r="K695" s="8">
        <v>4</v>
      </c>
      <c r="L695" s="8" t="str">
        <f>IF(Table2[[#This Row],[Quantity]]=1, "Single Order", IF(Table2[[#This Row],[Quantity]]=2, "Small Order", IF(Table2[[#This Row],[Quantity]]=3, "Medium Order", "Bulk Order")))</f>
        <v>Bulk Order</v>
      </c>
      <c r="M695" s="10">
        <v>50</v>
      </c>
      <c r="N695" s="10">
        <v>200</v>
      </c>
    </row>
    <row r="696" spans="1:14" x14ac:dyDescent="0.2">
      <c r="A696">
        <v>351</v>
      </c>
      <c r="B696" s="5">
        <v>45194</v>
      </c>
      <c r="C696" s="5" t="str">
        <f>TEXT(Table2[[#This Row],[Date]], "MMM")</f>
        <v>Sep</v>
      </c>
      <c r="D696" s="8">
        <f>MONTH(Table2[[#This Row],[Date]])</f>
        <v>9</v>
      </c>
      <c r="E696" s="8">
        <f>YEAR(Table2[[#This Row],[Date]])</f>
        <v>2023</v>
      </c>
      <c r="F696" s="7" t="s">
        <v>364</v>
      </c>
      <c r="G696" s="7" t="s">
        <v>13</v>
      </c>
      <c r="H696" s="8">
        <v>56</v>
      </c>
      <c r="I696" s="8" t="str">
        <f>IF(Table2[[#This Row],[Age]] &lt; 19, "Teenagers", IF(Table2[[#This Row],[Age]] &lt;= 34, "Young Adults", IF(Table2[[#This Row],[Age]] &lt;= 45, "Adults", IF(Table2[[#This Row],[Age]] &lt;= 55, "Seniors", "Elderly")) ))</f>
        <v>Elderly</v>
      </c>
      <c r="J696" s="7" t="s">
        <v>14</v>
      </c>
      <c r="K696" s="8">
        <v>3</v>
      </c>
      <c r="L696" s="8" t="str">
        <f>IF(Table2[[#This Row],[Quantity]]=1, "Single Order", IF(Table2[[#This Row],[Quantity]]=2, "Small Order", IF(Table2[[#This Row],[Quantity]]=3, "Medium Order", "Bulk Order")))</f>
        <v>Medium Order</v>
      </c>
      <c r="M696" s="10">
        <v>30</v>
      </c>
      <c r="N696" s="10">
        <v>90</v>
      </c>
    </row>
    <row r="697" spans="1:14" x14ac:dyDescent="0.2">
      <c r="A697">
        <v>375</v>
      </c>
      <c r="B697" s="5">
        <v>45186</v>
      </c>
      <c r="C697" s="5" t="str">
        <f>TEXT(Table2[[#This Row],[Date]], "MMM")</f>
        <v>Sep</v>
      </c>
      <c r="D697" s="8">
        <f>MONTH(Table2[[#This Row],[Date]])</f>
        <v>9</v>
      </c>
      <c r="E697" s="8">
        <f>YEAR(Table2[[#This Row],[Date]])</f>
        <v>2023</v>
      </c>
      <c r="F697" s="7" t="s">
        <v>388</v>
      </c>
      <c r="G697" s="7" t="s">
        <v>10</v>
      </c>
      <c r="H697" s="8">
        <v>32</v>
      </c>
      <c r="I697" s="8" t="str">
        <f>IF(Table2[[#This Row],[Age]] &lt; 19, "Teenagers", IF(Table2[[#This Row],[Age]] &lt;= 34, "Young Adults", IF(Table2[[#This Row],[Age]] &lt;= 45, "Adults", IF(Table2[[#This Row],[Age]] &lt;= 55, "Seniors", "Elderly")) ))</f>
        <v>Young Adults</v>
      </c>
      <c r="J697" s="7" t="s">
        <v>14</v>
      </c>
      <c r="K697" s="8">
        <v>1</v>
      </c>
      <c r="L697" s="8" t="str">
        <f>IF(Table2[[#This Row],[Quantity]]=1, "Single Order", IF(Table2[[#This Row],[Quantity]]=2, "Small Order", IF(Table2[[#This Row],[Quantity]]=3, "Medium Order", "Bulk Order")))</f>
        <v>Single Order</v>
      </c>
      <c r="M697" s="10">
        <v>50</v>
      </c>
      <c r="N697" s="10">
        <v>50</v>
      </c>
    </row>
    <row r="698" spans="1:14" x14ac:dyDescent="0.2">
      <c r="A698">
        <v>390</v>
      </c>
      <c r="B698" s="5">
        <v>45197</v>
      </c>
      <c r="C698" s="5" t="str">
        <f>TEXT(Table2[[#This Row],[Date]], "MMM")</f>
        <v>Sep</v>
      </c>
      <c r="D698" s="8">
        <f>MONTH(Table2[[#This Row],[Date]])</f>
        <v>9</v>
      </c>
      <c r="E698" s="8">
        <f>YEAR(Table2[[#This Row],[Date]])</f>
        <v>2023</v>
      </c>
      <c r="F698" s="7" t="s">
        <v>403</v>
      </c>
      <c r="G698" s="7" t="s">
        <v>10</v>
      </c>
      <c r="H698" s="8">
        <v>39</v>
      </c>
      <c r="I698" s="8" t="str">
        <f>IF(Table2[[#This Row],[Age]] &lt; 19, "Teenagers", IF(Table2[[#This Row],[Age]] &lt;= 34, "Young Adults", IF(Table2[[#This Row],[Age]] &lt;= 45, "Adults", IF(Table2[[#This Row],[Age]] &lt;= 55, "Seniors", "Elderly")) ))</f>
        <v>Adults</v>
      </c>
      <c r="J698" s="7" t="s">
        <v>16</v>
      </c>
      <c r="K698" s="8">
        <v>2</v>
      </c>
      <c r="L698" s="8" t="str">
        <f>IF(Table2[[#This Row],[Quantity]]=1, "Single Order", IF(Table2[[#This Row],[Quantity]]=2, "Small Order", IF(Table2[[#This Row],[Quantity]]=3, "Medium Order", "Bulk Order")))</f>
        <v>Small Order</v>
      </c>
      <c r="M698" s="10">
        <v>50</v>
      </c>
      <c r="N698" s="10">
        <v>100</v>
      </c>
    </row>
    <row r="699" spans="1:14" x14ac:dyDescent="0.2">
      <c r="A699">
        <v>412</v>
      </c>
      <c r="B699" s="5">
        <v>45185</v>
      </c>
      <c r="C699" s="5" t="str">
        <f>TEXT(Table2[[#This Row],[Date]], "MMM")</f>
        <v>Sep</v>
      </c>
      <c r="D699" s="8">
        <f>MONTH(Table2[[#This Row],[Date]])</f>
        <v>9</v>
      </c>
      <c r="E699" s="8">
        <f>YEAR(Table2[[#This Row],[Date]])</f>
        <v>2023</v>
      </c>
      <c r="F699" s="7" t="s">
        <v>425</v>
      </c>
      <c r="G699" s="7" t="s">
        <v>13</v>
      </c>
      <c r="H699" s="8">
        <v>19</v>
      </c>
      <c r="I699" s="8" t="str">
        <f>IF(Table2[[#This Row],[Age]] &lt; 19, "Teenagers", IF(Table2[[#This Row],[Age]] &lt;= 34, "Young Adults", IF(Table2[[#This Row],[Age]] &lt;= 45, "Adults", IF(Table2[[#This Row],[Age]] &lt;= 55, "Seniors", "Elderly")) ))</f>
        <v>Young Adults</v>
      </c>
      <c r="J699" s="7" t="s">
        <v>16</v>
      </c>
      <c r="K699" s="8">
        <v>4</v>
      </c>
      <c r="L699" s="8" t="str">
        <f>IF(Table2[[#This Row],[Quantity]]=1, "Single Order", IF(Table2[[#This Row],[Quantity]]=2, "Small Order", IF(Table2[[#This Row],[Quantity]]=3, "Medium Order", "Bulk Order")))</f>
        <v>Bulk Order</v>
      </c>
      <c r="M699" s="10">
        <v>500</v>
      </c>
      <c r="N699" s="10">
        <v>2000</v>
      </c>
    </row>
    <row r="700" spans="1:14" x14ac:dyDescent="0.2">
      <c r="A700">
        <v>413</v>
      </c>
      <c r="B700" s="5">
        <v>45177</v>
      </c>
      <c r="C700" s="5" t="str">
        <f>TEXT(Table2[[#This Row],[Date]], "MMM")</f>
        <v>Sep</v>
      </c>
      <c r="D700" s="8">
        <f>MONTH(Table2[[#This Row],[Date]])</f>
        <v>9</v>
      </c>
      <c r="E700" s="8">
        <f>YEAR(Table2[[#This Row],[Date]])</f>
        <v>2023</v>
      </c>
      <c r="F700" s="7" t="s">
        <v>426</v>
      </c>
      <c r="G700" s="7" t="s">
        <v>13</v>
      </c>
      <c r="H700" s="8">
        <v>44</v>
      </c>
      <c r="I700" s="8" t="str">
        <f>IF(Table2[[#This Row],[Age]] &lt; 19, "Teenagers", IF(Table2[[#This Row],[Age]] &lt;= 34, "Young Adults", IF(Table2[[#This Row],[Age]] &lt;= 45, "Adults", IF(Table2[[#This Row],[Age]] &lt;= 55, "Seniors", "Elderly")) ))</f>
        <v>Adults</v>
      </c>
      <c r="J700" s="7" t="s">
        <v>11</v>
      </c>
      <c r="K700" s="8">
        <v>3</v>
      </c>
      <c r="L700" s="8" t="str">
        <f>IF(Table2[[#This Row],[Quantity]]=1, "Single Order", IF(Table2[[#This Row],[Quantity]]=2, "Small Order", IF(Table2[[#This Row],[Quantity]]=3, "Medium Order", "Bulk Order")))</f>
        <v>Medium Order</v>
      </c>
      <c r="M700" s="10">
        <v>25</v>
      </c>
      <c r="N700" s="10">
        <v>75</v>
      </c>
    </row>
    <row r="701" spans="1:14" x14ac:dyDescent="0.2">
      <c r="A701">
        <v>494</v>
      </c>
      <c r="B701" s="5">
        <v>45187</v>
      </c>
      <c r="C701" s="5" t="str">
        <f>TEXT(Table2[[#This Row],[Date]], "MMM")</f>
        <v>Sep</v>
      </c>
      <c r="D701" s="8">
        <f>MONTH(Table2[[#This Row],[Date]])</f>
        <v>9</v>
      </c>
      <c r="E701" s="8">
        <f>YEAR(Table2[[#This Row],[Date]])</f>
        <v>2023</v>
      </c>
      <c r="F701" s="7" t="s">
        <v>507</v>
      </c>
      <c r="G701" s="7" t="s">
        <v>13</v>
      </c>
      <c r="H701" s="8">
        <v>42</v>
      </c>
      <c r="I701" s="8" t="str">
        <f>IF(Table2[[#This Row],[Age]] &lt; 19, "Teenagers", IF(Table2[[#This Row],[Age]] &lt;= 34, "Young Adults", IF(Table2[[#This Row],[Age]] &lt;= 45, "Adults", IF(Table2[[#This Row],[Age]] &lt;= 55, "Seniors", "Elderly")) ))</f>
        <v>Adults</v>
      </c>
      <c r="J701" s="7" t="s">
        <v>11</v>
      </c>
      <c r="K701" s="8">
        <v>4</v>
      </c>
      <c r="L701" s="8" t="str">
        <f>IF(Table2[[#This Row],[Quantity]]=1, "Single Order", IF(Table2[[#This Row],[Quantity]]=2, "Small Order", IF(Table2[[#This Row],[Quantity]]=3, "Medium Order", "Bulk Order")))</f>
        <v>Bulk Order</v>
      </c>
      <c r="M701" s="10">
        <v>50</v>
      </c>
      <c r="N701" s="10">
        <v>200</v>
      </c>
    </row>
    <row r="702" spans="1:14" x14ac:dyDescent="0.2">
      <c r="A702">
        <v>513</v>
      </c>
      <c r="B702" s="5">
        <v>45188</v>
      </c>
      <c r="C702" s="5" t="str">
        <f>TEXT(Table2[[#This Row],[Date]], "MMM")</f>
        <v>Sep</v>
      </c>
      <c r="D702" s="8">
        <f>MONTH(Table2[[#This Row],[Date]])</f>
        <v>9</v>
      </c>
      <c r="E702" s="8">
        <f>YEAR(Table2[[#This Row],[Date]])</f>
        <v>2023</v>
      </c>
      <c r="F702" s="7" t="s">
        <v>526</v>
      </c>
      <c r="G702" s="7" t="s">
        <v>10</v>
      </c>
      <c r="H702" s="8">
        <v>24</v>
      </c>
      <c r="I702" s="8" t="str">
        <f>IF(Table2[[#This Row],[Age]] &lt; 19, "Teenagers", IF(Table2[[#This Row],[Age]] &lt;= 34, "Young Adults", IF(Table2[[#This Row],[Age]] &lt;= 45, "Adults", IF(Table2[[#This Row],[Age]] &lt;= 55, "Seniors", "Elderly")) ))</f>
        <v>Young Adults</v>
      </c>
      <c r="J702" s="7" t="s">
        <v>16</v>
      </c>
      <c r="K702" s="8">
        <v>4</v>
      </c>
      <c r="L702" s="8" t="str">
        <f>IF(Table2[[#This Row],[Quantity]]=1, "Single Order", IF(Table2[[#This Row],[Quantity]]=2, "Small Order", IF(Table2[[#This Row],[Quantity]]=3, "Medium Order", "Bulk Order")))</f>
        <v>Bulk Order</v>
      </c>
      <c r="M702" s="10">
        <v>25</v>
      </c>
      <c r="N702" s="10">
        <v>100</v>
      </c>
    </row>
    <row r="703" spans="1:14" x14ac:dyDescent="0.2">
      <c r="A703">
        <v>523</v>
      </c>
      <c r="B703" s="5">
        <v>45193</v>
      </c>
      <c r="C703" s="5" t="str">
        <f>TEXT(Table2[[#This Row],[Date]], "MMM")</f>
        <v>Sep</v>
      </c>
      <c r="D703" s="8">
        <f>MONTH(Table2[[#This Row],[Date]])</f>
        <v>9</v>
      </c>
      <c r="E703" s="8">
        <f>YEAR(Table2[[#This Row],[Date]])</f>
        <v>2023</v>
      </c>
      <c r="F703" s="7" t="s">
        <v>536</v>
      </c>
      <c r="G703" s="7" t="s">
        <v>13</v>
      </c>
      <c r="H703" s="8">
        <v>62</v>
      </c>
      <c r="I703" s="8" t="str">
        <f>IF(Table2[[#This Row],[Age]] &lt; 19, "Teenagers", IF(Table2[[#This Row],[Age]] &lt;= 34, "Young Adults", IF(Table2[[#This Row],[Age]] &lt;= 45, "Adults", IF(Table2[[#This Row],[Age]] &lt;= 55, "Seniors", "Elderly")) ))</f>
        <v>Elderly</v>
      </c>
      <c r="J703" s="7" t="s">
        <v>16</v>
      </c>
      <c r="K703" s="8">
        <v>1</v>
      </c>
      <c r="L703" s="8" t="str">
        <f>IF(Table2[[#This Row],[Quantity]]=1, "Single Order", IF(Table2[[#This Row],[Quantity]]=2, "Small Order", IF(Table2[[#This Row],[Quantity]]=3, "Medium Order", "Bulk Order")))</f>
        <v>Single Order</v>
      </c>
      <c r="M703" s="10">
        <v>300</v>
      </c>
      <c r="N703" s="10">
        <v>300</v>
      </c>
    </row>
    <row r="704" spans="1:14" x14ac:dyDescent="0.2">
      <c r="A704">
        <v>538</v>
      </c>
      <c r="B704" s="5">
        <v>45186</v>
      </c>
      <c r="C704" s="5" t="str">
        <f>TEXT(Table2[[#This Row],[Date]], "MMM")</f>
        <v>Sep</v>
      </c>
      <c r="D704" s="8">
        <f>MONTH(Table2[[#This Row],[Date]])</f>
        <v>9</v>
      </c>
      <c r="E704" s="8">
        <f>YEAR(Table2[[#This Row],[Date]])</f>
        <v>2023</v>
      </c>
      <c r="F704" s="7" t="s">
        <v>551</v>
      </c>
      <c r="G704" s="7" t="s">
        <v>10</v>
      </c>
      <c r="H704" s="8">
        <v>18</v>
      </c>
      <c r="I704" s="8" t="str">
        <f>IF(Table2[[#This Row],[Age]] &lt; 19, "Teenagers", IF(Table2[[#This Row],[Age]] &lt;= 34, "Young Adults", IF(Table2[[#This Row],[Age]] &lt;= 45, "Adults", IF(Table2[[#This Row],[Age]] &lt;= 55, "Seniors", "Elderly")) ))</f>
        <v>Teenagers</v>
      </c>
      <c r="J704" s="7" t="s">
        <v>14</v>
      </c>
      <c r="K704" s="8">
        <v>3</v>
      </c>
      <c r="L704" s="8" t="str">
        <f>IF(Table2[[#This Row],[Quantity]]=1, "Single Order", IF(Table2[[#This Row],[Quantity]]=2, "Small Order", IF(Table2[[#This Row],[Quantity]]=3, "Medium Order", "Bulk Order")))</f>
        <v>Medium Order</v>
      </c>
      <c r="M704" s="10">
        <v>50</v>
      </c>
      <c r="N704" s="10">
        <v>150</v>
      </c>
    </row>
    <row r="705" spans="1:14" x14ac:dyDescent="0.2">
      <c r="A705">
        <v>573</v>
      </c>
      <c r="B705" s="5">
        <v>45188</v>
      </c>
      <c r="C705" s="5" t="str">
        <f>TEXT(Table2[[#This Row],[Date]], "MMM")</f>
        <v>Sep</v>
      </c>
      <c r="D705" s="8">
        <f>MONTH(Table2[[#This Row],[Date]])</f>
        <v>9</v>
      </c>
      <c r="E705" s="8">
        <f>YEAR(Table2[[#This Row],[Date]])</f>
        <v>2023</v>
      </c>
      <c r="F705" s="7" t="s">
        <v>586</v>
      </c>
      <c r="G705" s="7" t="s">
        <v>10</v>
      </c>
      <c r="H705" s="8">
        <v>49</v>
      </c>
      <c r="I705" s="8" t="str">
        <f>IF(Table2[[#This Row],[Age]] &lt; 19, "Teenagers", IF(Table2[[#This Row],[Age]] &lt;= 34, "Young Adults", IF(Table2[[#This Row],[Age]] &lt;= 45, "Adults", IF(Table2[[#This Row],[Age]] &lt;= 55, "Seniors", "Elderly")) ))</f>
        <v>Seniors</v>
      </c>
      <c r="J705" s="7" t="s">
        <v>11</v>
      </c>
      <c r="K705" s="8">
        <v>2</v>
      </c>
      <c r="L705" s="8" t="str">
        <f>IF(Table2[[#This Row],[Quantity]]=1, "Single Order", IF(Table2[[#This Row],[Quantity]]=2, "Small Order", IF(Table2[[#This Row],[Quantity]]=3, "Medium Order", "Bulk Order")))</f>
        <v>Small Order</v>
      </c>
      <c r="M705" s="10">
        <v>30</v>
      </c>
      <c r="N705" s="10">
        <v>60</v>
      </c>
    </row>
    <row r="706" spans="1:14" x14ac:dyDescent="0.2">
      <c r="A706">
        <v>579</v>
      </c>
      <c r="B706" s="5">
        <v>45190</v>
      </c>
      <c r="C706" s="5" t="str">
        <f>TEXT(Table2[[#This Row],[Date]], "MMM")</f>
        <v>Sep</v>
      </c>
      <c r="D706" s="8">
        <f>MONTH(Table2[[#This Row],[Date]])</f>
        <v>9</v>
      </c>
      <c r="E706" s="8">
        <f>YEAR(Table2[[#This Row],[Date]])</f>
        <v>2023</v>
      </c>
      <c r="F706" s="7" t="s">
        <v>592</v>
      </c>
      <c r="G706" s="7" t="s">
        <v>13</v>
      </c>
      <c r="H706" s="8">
        <v>38</v>
      </c>
      <c r="I706" s="8" t="str">
        <f>IF(Table2[[#This Row],[Age]] &lt; 19, "Teenagers", IF(Table2[[#This Row],[Age]] &lt;= 34, "Young Adults", IF(Table2[[#This Row],[Age]] &lt;= 45, "Adults", IF(Table2[[#This Row],[Age]] &lt;= 55, "Seniors", "Elderly")) ))</f>
        <v>Adults</v>
      </c>
      <c r="J706" s="7" t="s">
        <v>16</v>
      </c>
      <c r="K706" s="8">
        <v>1</v>
      </c>
      <c r="L706" s="8" t="str">
        <f>IF(Table2[[#This Row],[Quantity]]=1, "Single Order", IF(Table2[[#This Row],[Quantity]]=2, "Small Order", IF(Table2[[#This Row],[Quantity]]=3, "Medium Order", "Bulk Order")))</f>
        <v>Single Order</v>
      </c>
      <c r="M706" s="10">
        <v>30</v>
      </c>
      <c r="N706" s="10">
        <v>30</v>
      </c>
    </row>
    <row r="707" spans="1:14" x14ac:dyDescent="0.2">
      <c r="A707">
        <v>594</v>
      </c>
      <c r="B707" s="5">
        <v>45170</v>
      </c>
      <c r="C707" s="5" t="str">
        <f>TEXT(Table2[[#This Row],[Date]], "MMM")</f>
        <v>Sep</v>
      </c>
      <c r="D707" s="8">
        <f>MONTH(Table2[[#This Row],[Date]])</f>
        <v>9</v>
      </c>
      <c r="E707" s="8">
        <f>YEAR(Table2[[#This Row],[Date]])</f>
        <v>2023</v>
      </c>
      <c r="F707" s="7" t="s">
        <v>607</v>
      </c>
      <c r="G707" s="7" t="s">
        <v>13</v>
      </c>
      <c r="H707" s="8">
        <v>19</v>
      </c>
      <c r="I707" s="8" t="str">
        <f>IF(Table2[[#This Row],[Age]] &lt; 19, "Teenagers", IF(Table2[[#This Row],[Age]] &lt;= 34, "Young Adults", IF(Table2[[#This Row],[Age]] &lt;= 45, "Adults", IF(Table2[[#This Row],[Age]] &lt;= 55, "Seniors", "Elderly")) ))</f>
        <v>Young Adults</v>
      </c>
      <c r="J707" s="7" t="s">
        <v>16</v>
      </c>
      <c r="K707" s="8">
        <v>2</v>
      </c>
      <c r="L707" s="8" t="str">
        <f>IF(Table2[[#This Row],[Quantity]]=1, "Single Order", IF(Table2[[#This Row],[Quantity]]=2, "Small Order", IF(Table2[[#This Row],[Quantity]]=3, "Medium Order", "Bulk Order")))</f>
        <v>Small Order</v>
      </c>
      <c r="M707" s="10">
        <v>300</v>
      </c>
      <c r="N707" s="10">
        <v>600</v>
      </c>
    </row>
    <row r="708" spans="1:14" x14ac:dyDescent="0.2">
      <c r="A708">
        <v>604</v>
      </c>
      <c r="B708" s="5">
        <v>45180</v>
      </c>
      <c r="C708" s="5" t="str">
        <f>TEXT(Table2[[#This Row],[Date]], "MMM")</f>
        <v>Sep</v>
      </c>
      <c r="D708" s="8">
        <f>MONTH(Table2[[#This Row],[Date]])</f>
        <v>9</v>
      </c>
      <c r="E708" s="8">
        <f>YEAR(Table2[[#This Row],[Date]])</f>
        <v>2023</v>
      </c>
      <c r="F708" s="7" t="s">
        <v>617</v>
      </c>
      <c r="G708" s="7" t="s">
        <v>13</v>
      </c>
      <c r="H708" s="8">
        <v>29</v>
      </c>
      <c r="I708" s="8" t="str">
        <f>IF(Table2[[#This Row],[Age]] &lt; 19, "Teenagers", IF(Table2[[#This Row],[Age]] &lt;= 34, "Young Adults", IF(Table2[[#This Row],[Age]] &lt;= 45, "Adults", IF(Table2[[#This Row],[Age]] &lt;= 55, "Seniors", "Elderly")) ))</f>
        <v>Young Adults</v>
      </c>
      <c r="J708" s="7" t="s">
        <v>16</v>
      </c>
      <c r="K708" s="8">
        <v>4</v>
      </c>
      <c r="L708" s="8" t="str">
        <f>IF(Table2[[#This Row],[Quantity]]=1, "Single Order", IF(Table2[[#This Row],[Quantity]]=2, "Small Order", IF(Table2[[#This Row],[Quantity]]=3, "Medium Order", "Bulk Order")))</f>
        <v>Bulk Order</v>
      </c>
      <c r="M708" s="10">
        <v>50</v>
      </c>
      <c r="N708" s="10">
        <v>200</v>
      </c>
    </row>
    <row r="709" spans="1:14" x14ac:dyDescent="0.2">
      <c r="A709">
        <v>616</v>
      </c>
      <c r="B709" s="5">
        <v>45192</v>
      </c>
      <c r="C709" s="5" t="str">
        <f>TEXT(Table2[[#This Row],[Date]], "MMM")</f>
        <v>Sep</v>
      </c>
      <c r="D709" s="8">
        <f>MONTH(Table2[[#This Row],[Date]])</f>
        <v>9</v>
      </c>
      <c r="E709" s="8">
        <f>YEAR(Table2[[#This Row],[Date]])</f>
        <v>2023</v>
      </c>
      <c r="F709" s="7" t="s">
        <v>629</v>
      </c>
      <c r="G709" s="7" t="s">
        <v>10</v>
      </c>
      <c r="H709" s="8">
        <v>41</v>
      </c>
      <c r="I709" s="8" t="str">
        <f>IF(Table2[[#This Row],[Age]] &lt; 19, "Teenagers", IF(Table2[[#This Row],[Age]] &lt;= 34, "Young Adults", IF(Table2[[#This Row],[Age]] &lt;= 45, "Adults", IF(Table2[[#This Row],[Age]] &lt;= 55, "Seniors", "Elderly")) ))</f>
        <v>Adults</v>
      </c>
      <c r="J709" s="7" t="s">
        <v>14</v>
      </c>
      <c r="K709" s="8">
        <v>2</v>
      </c>
      <c r="L709" s="8" t="str">
        <f>IF(Table2[[#This Row],[Quantity]]=1, "Single Order", IF(Table2[[#This Row],[Quantity]]=2, "Small Order", IF(Table2[[#This Row],[Quantity]]=3, "Medium Order", "Bulk Order")))</f>
        <v>Small Order</v>
      </c>
      <c r="M709" s="10">
        <v>50</v>
      </c>
      <c r="N709" s="10">
        <v>100</v>
      </c>
    </row>
    <row r="710" spans="1:14" x14ac:dyDescent="0.2">
      <c r="A710">
        <v>626</v>
      </c>
      <c r="B710" s="5">
        <v>45198</v>
      </c>
      <c r="C710" s="5" t="str">
        <f>TEXT(Table2[[#This Row],[Date]], "MMM")</f>
        <v>Sep</v>
      </c>
      <c r="D710" s="8">
        <f>MONTH(Table2[[#This Row],[Date]])</f>
        <v>9</v>
      </c>
      <c r="E710" s="8">
        <f>YEAR(Table2[[#This Row],[Date]])</f>
        <v>2023</v>
      </c>
      <c r="F710" s="7" t="s">
        <v>639</v>
      </c>
      <c r="G710" s="7" t="s">
        <v>13</v>
      </c>
      <c r="H710" s="8">
        <v>26</v>
      </c>
      <c r="I710" s="8" t="str">
        <f>IF(Table2[[#This Row],[Age]] &lt; 19, "Teenagers", IF(Table2[[#This Row],[Age]] &lt;= 34, "Young Adults", IF(Table2[[#This Row],[Age]] &lt;= 45, "Adults", IF(Table2[[#This Row],[Age]] &lt;= 55, "Seniors", "Elderly")) ))</f>
        <v>Young Adults</v>
      </c>
      <c r="J710" s="7" t="s">
        <v>14</v>
      </c>
      <c r="K710" s="8">
        <v>4</v>
      </c>
      <c r="L710" s="8" t="str">
        <f>IF(Table2[[#This Row],[Quantity]]=1, "Single Order", IF(Table2[[#This Row],[Quantity]]=2, "Small Order", IF(Table2[[#This Row],[Quantity]]=3, "Medium Order", "Bulk Order")))</f>
        <v>Bulk Order</v>
      </c>
      <c r="M710" s="10">
        <v>500</v>
      </c>
      <c r="N710" s="10">
        <v>2000</v>
      </c>
    </row>
    <row r="711" spans="1:14" x14ac:dyDescent="0.2">
      <c r="A711">
        <v>632</v>
      </c>
      <c r="B711" s="5">
        <v>45185</v>
      </c>
      <c r="C711" s="5" t="str">
        <f>TEXT(Table2[[#This Row],[Date]], "MMM")</f>
        <v>Sep</v>
      </c>
      <c r="D711" s="8">
        <f>MONTH(Table2[[#This Row],[Date]])</f>
        <v>9</v>
      </c>
      <c r="E711" s="8">
        <f>YEAR(Table2[[#This Row],[Date]])</f>
        <v>2023</v>
      </c>
      <c r="F711" s="7" t="s">
        <v>645</v>
      </c>
      <c r="G711" s="7" t="s">
        <v>13</v>
      </c>
      <c r="H711" s="8">
        <v>26</v>
      </c>
      <c r="I711" s="8" t="str">
        <f>IF(Table2[[#This Row],[Age]] &lt; 19, "Teenagers", IF(Table2[[#This Row],[Age]] &lt;= 34, "Young Adults", IF(Table2[[#This Row],[Age]] &lt;= 45, "Adults", IF(Table2[[#This Row],[Age]] &lt;= 55, "Seniors", "Elderly")) ))</f>
        <v>Young Adults</v>
      </c>
      <c r="J711" s="7" t="s">
        <v>16</v>
      </c>
      <c r="K711" s="8">
        <v>4</v>
      </c>
      <c r="L711" s="8" t="str">
        <f>IF(Table2[[#This Row],[Quantity]]=1, "Single Order", IF(Table2[[#This Row],[Quantity]]=2, "Small Order", IF(Table2[[#This Row],[Quantity]]=3, "Medium Order", "Bulk Order")))</f>
        <v>Bulk Order</v>
      </c>
      <c r="M711" s="10">
        <v>25</v>
      </c>
      <c r="N711" s="10">
        <v>100</v>
      </c>
    </row>
    <row r="712" spans="1:14" x14ac:dyDescent="0.2">
      <c r="A712">
        <v>637</v>
      </c>
      <c r="B712" s="5">
        <v>45170</v>
      </c>
      <c r="C712" s="5" t="str">
        <f>TEXT(Table2[[#This Row],[Date]], "MMM")</f>
        <v>Sep</v>
      </c>
      <c r="D712" s="8">
        <f>MONTH(Table2[[#This Row],[Date]])</f>
        <v>9</v>
      </c>
      <c r="E712" s="8">
        <f>YEAR(Table2[[#This Row],[Date]])</f>
        <v>2023</v>
      </c>
      <c r="F712" s="7" t="s">
        <v>650</v>
      </c>
      <c r="G712" s="7" t="s">
        <v>10</v>
      </c>
      <c r="H712" s="8">
        <v>43</v>
      </c>
      <c r="I712" s="8" t="str">
        <f>IF(Table2[[#This Row],[Age]] &lt; 19, "Teenagers", IF(Table2[[#This Row],[Age]] &lt;= 34, "Young Adults", IF(Table2[[#This Row],[Age]] &lt;= 45, "Adults", IF(Table2[[#This Row],[Age]] &lt;= 55, "Seniors", "Elderly")) ))</f>
        <v>Adults</v>
      </c>
      <c r="J712" s="7" t="s">
        <v>14</v>
      </c>
      <c r="K712" s="8">
        <v>2</v>
      </c>
      <c r="L712" s="8" t="str">
        <f>IF(Table2[[#This Row],[Quantity]]=1, "Single Order", IF(Table2[[#This Row],[Quantity]]=2, "Small Order", IF(Table2[[#This Row],[Quantity]]=3, "Medium Order", "Bulk Order")))</f>
        <v>Small Order</v>
      </c>
      <c r="M712" s="10">
        <v>300</v>
      </c>
      <c r="N712" s="10">
        <v>600</v>
      </c>
    </row>
    <row r="713" spans="1:14" x14ac:dyDescent="0.2">
      <c r="A713">
        <v>643</v>
      </c>
      <c r="B713" s="5">
        <v>45193</v>
      </c>
      <c r="C713" s="5" t="str">
        <f>TEXT(Table2[[#This Row],[Date]], "MMM")</f>
        <v>Sep</v>
      </c>
      <c r="D713" s="8">
        <f>MONTH(Table2[[#This Row],[Date]])</f>
        <v>9</v>
      </c>
      <c r="E713" s="8">
        <f>YEAR(Table2[[#This Row],[Date]])</f>
        <v>2023</v>
      </c>
      <c r="F713" s="7" t="s">
        <v>656</v>
      </c>
      <c r="G713" s="7" t="s">
        <v>13</v>
      </c>
      <c r="H713" s="8">
        <v>28</v>
      </c>
      <c r="I713" s="8" t="str">
        <f>IF(Table2[[#This Row],[Age]] &lt; 19, "Teenagers", IF(Table2[[#This Row],[Age]] &lt;= 34, "Young Adults", IF(Table2[[#This Row],[Age]] &lt;= 45, "Adults", IF(Table2[[#This Row],[Age]] &lt;= 55, "Seniors", "Elderly")) ))</f>
        <v>Young Adults</v>
      </c>
      <c r="J713" s="7" t="s">
        <v>16</v>
      </c>
      <c r="K713" s="8">
        <v>3</v>
      </c>
      <c r="L713" s="8" t="str">
        <f>IF(Table2[[#This Row],[Quantity]]=1, "Single Order", IF(Table2[[#This Row],[Quantity]]=2, "Small Order", IF(Table2[[#This Row],[Quantity]]=3, "Medium Order", "Bulk Order")))</f>
        <v>Medium Order</v>
      </c>
      <c r="M713" s="10">
        <v>30</v>
      </c>
      <c r="N713" s="10">
        <v>90</v>
      </c>
    </row>
    <row r="714" spans="1:14" x14ac:dyDescent="0.2">
      <c r="A714">
        <v>644</v>
      </c>
      <c r="B714" s="5">
        <v>45175</v>
      </c>
      <c r="C714" s="5" t="str">
        <f>TEXT(Table2[[#This Row],[Date]], "MMM")</f>
        <v>Sep</v>
      </c>
      <c r="D714" s="8">
        <f>MONTH(Table2[[#This Row],[Date]])</f>
        <v>9</v>
      </c>
      <c r="E714" s="8">
        <f>YEAR(Table2[[#This Row],[Date]])</f>
        <v>2023</v>
      </c>
      <c r="F714" s="7" t="s">
        <v>657</v>
      </c>
      <c r="G714" s="7" t="s">
        <v>10</v>
      </c>
      <c r="H714" s="8">
        <v>23</v>
      </c>
      <c r="I714" s="8" t="str">
        <f>IF(Table2[[#This Row],[Age]] &lt; 19, "Teenagers", IF(Table2[[#This Row],[Age]] &lt;= 34, "Young Adults", IF(Table2[[#This Row],[Age]] &lt;= 45, "Adults", IF(Table2[[#This Row],[Age]] &lt;= 55, "Seniors", "Elderly")) ))</f>
        <v>Young Adults</v>
      </c>
      <c r="J714" s="7" t="s">
        <v>11</v>
      </c>
      <c r="K714" s="8">
        <v>3</v>
      </c>
      <c r="L714" s="8" t="str">
        <f>IF(Table2[[#This Row],[Quantity]]=1, "Single Order", IF(Table2[[#This Row],[Quantity]]=2, "Small Order", IF(Table2[[#This Row],[Quantity]]=3, "Medium Order", "Bulk Order")))</f>
        <v>Medium Order</v>
      </c>
      <c r="M714" s="10">
        <v>25</v>
      </c>
      <c r="N714" s="10">
        <v>75</v>
      </c>
    </row>
    <row r="715" spans="1:14" x14ac:dyDescent="0.2">
      <c r="A715">
        <v>682</v>
      </c>
      <c r="B715" s="5">
        <v>45171</v>
      </c>
      <c r="C715" s="5" t="str">
        <f>TEXT(Table2[[#This Row],[Date]], "MMM")</f>
        <v>Sep</v>
      </c>
      <c r="D715" s="8">
        <f>MONTH(Table2[[#This Row],[Date]])</f>
        <v>9</v>
      </c>
      <c r="E715" s="8">
        <f>YEAR(Table2[[#This Row],[Date]])</f>
        <v>2023</v>
      </c>
      <c r="F715" s="7" t="s">
        <v>695</v>
      </c>
      <c r="G715" s="7" t="s">
        <v>10</v>
      </c>
      <c r="H715" s="8">
        <v>46</v>
      </c>
      <c r="I715" s="8" t="str">
        <f>IF(Table2[[#This Row],[Age]] &lt; 19, "Teenagers", IF(Table2[[#This Row],[Age]] &lt;= 34, "Young Adults", IF(Table2[[#This Row],[Age]] &lt;= 45, "Adults", IF(Table2[[#This Row],[Age]] &lt;= 55, "Seniors", "Elderly")) ))</f>
        <v>Seniors</v>
      </c>
      <c r="J715" s="7" t="s">
        <v>11</v>
      </c>
      <c r="K715" s="8">
        <v>4</v>
      </c>
      <c r="L715" s="8" t="str">
        <f>IF(Table2[[#This Row],[Quantity]]=1, "Single Order", IF(Table2[[#This Row],[Quantity]]=2, "Small Order", IF(Table2[[#This Row],[Quantity]]=3, "Medium Order", "Bulk Order")))</f>
        <v>Bulk Order</v>
      </c>
      <c r="M715" s="10">
        <v>300</v>
      </c>
      <c r="N715" s="10">
        <v>1200</v>
      </c>
    </row>
    <row r="716" spans="1:14" x14ac:dyDescent="0.2">
      <c r="A716">
        <v>692</v>
      </c>
      <c r="B716" s="5">
        <v>45176</v>
      </c>
      <c r="C716" s="5" t="str">
        <f>TEXT(Table2[[#This Row],[Date]], "MMM")</f>
        <v>Sep</v>
      </c>
      <c r="D716" s="8">
        <f>MONTH(Table2[[#This Row],[Date]])</f>
        <v>9</v>
      </c>
      <c r="E716" s="8">
        <f>YEAR(Table2[[#This Row],[Date]])</f>
        <v>2023</v>
      </c>
      <c r="F716" s="7" t="s">
        <v>705</v>
      </c>
      <c r="G716" s="7" t="s">
        <v>13</v>
      </c>
      <c r="H716" s="8">
        <v>64</v>
      </c>
      <c r="I716" s="8" t="str">
        <f>IF(Table2[[#This Row],[Age]] &lt; 19, "Teenagers", IF(Table2[[#This Row],[Age]] &lt;= 34, "Young Adults", IF(Table2[[#This Row],[Age]] &lt;= 45, "Adults", IF(Table2[[#This Row],[Age]] &lt;= 55, "Seniors", "Elderly")) ))</f>
        <v>Elderly</v>
      </c>
      <c r="J716" s="7" t="s">
        <v>14</v>
      </c>
      <c r="K716" s="8">
        <v>2</v>
      </c>
      <c r="L716" s="8" t="str">
        <f>IF(Table2[[#This Row],[Quantity]]=1, "Single Order", IF(Table2[[#This Row],[Quantity]]=2, "Small Order", IF(Table2[[#This Row],[Quantity]]=3, "Medium Order", "Bulk Order")))</f>
        <v>Small Order</v>
      </c>
      <c r="M716" s="10">
        <v>50</v>
      </c>
      <c r="N716" s="10">
        <v>100</v>
      </c>
    </row>
    <row r="717" spans="1:14" x14ac:dyDescent="0.2">
      <c r="A717">
        <v>696</v>
      </c>
      <c r="B717" s="5">
        <v>45175</v>
      </c>
      <c r="C717" s="5" t="str">
        <f>TEXT(Table2[[#This Row],[Date]], "MMM")</f>
        <v>Sep</v>
      </c>
      <c r="D717" s="8">
        <f>MONTH(Table2[[#This Row],[Date]])</f>
        <v>9</v>
      </c>
      <c r="E717" s="8">
        <f>YEAR(Table2[[#This Row],[Date]])</f>
        <v>2023</v>
      </c>
      <c r="F717" s="7" t="s">
        <v>709</v>
      </c>
      <c r="G717" s="7" t="s">
        <v>13</v>
      </c>
      <c r="H717" s="8">
        <v>50</v>
      </c>
      <c r="I717" s="8" t="str">
        <f>IF(Table2[[#This Row],[Age]] &lt; 19, "Teenagers", IF(Table2[[#This Row],[Age]] &lt;= 34, "Young Adults", IF(Table2[[#This Row],[Age]] &lt;= 45, "Adults", IF(Table2[[#This Row],[Age]] &lt;= 55, "Seniors", "Elderly")) ))</f>
        <v>Seniors</v>
      </c>
      <c r="J717" s="7" t="s">
        <v>14</v>
      </c>
      <c r="K717" s="8">
        <v>4</v>
      </c>
      <c r="L717" s="8" t="str">
        <f>IF(Table2[[#This Row],[Quantity]]=1, "Single Order", IF(Table2[[#This Row],[Quantity]]=2, "Small Order", IF(Table2[[#This Row],[Quantity]]=3, "Medium Order", "Bulk Order")))</f>
        <v>Bulk Order</v>
      </c>
      <c r="M717" s="10">
        <v>50</v>
      </c>
      <c r="N717" s="10">
        <v>200</v>
      </c>
    </row>
    <row r="718" spans="1:14" x14ac:dyDescent="0.2">
      <c r="A718">
        <v>789</v>
      </c>
      <c r="B718" s="5">
        <v>45199</v>
      </c>
      <c r="C718" s="5" t="str">
        <f>TEXT(Table2[[#This Row],[Date]], "MMM")</f>
        <v>Sep</v>
      </c>
      <c r="D718" s="8">
        <f>MONTH(Table2[[#This Row],[Date]])</f>
        <v>9</v>
      </c>
      <c r="E718" s="8">
        <f>YEAR(Table2[[#This Row],[Date]])</f>
        <v>2023</v>
      </c>
      <c r="F718" s="7" t="s">
        <v>802</v>
      </c>
      <c r="G718" s="7" t="s">
        <v>13</v>
      </c>
      <c r="H718" s="8">
        <v>61</v>
      </c>
      <c r="I718" s="8" t="str">
        <f>IF(Table2[[#This Row],[Age]] &lt; 19, "Teenagers", IF(Table2[[#This Row],[Age]] &lt;= 34, "Young Adults", IF(Table2[[#This Row],[Age]] &lt;= 45, "Adults", IF(Table2[[#This Row],[Age]] &lt;= 55, "Seniors", "Elderly")) ))</f>
        <v>Elderly</v>
      </c>
      <c r="J718" s="7" t="s">
        <v>14</v>
      </c>
      <c r="K718" s="8">
        <v>4</v>
      </c>
      <c r="L718" s="8" t="str">
        <f>IF(Table2[[#This Row],[Quantity]]=1, "Single Order", IF(Table2[[#This Row],[Quantity]]=2, "Small Order", IF(Table2[[#This Row],[Quantity]]=3, "Medium Order", "Bulk Order")))</f>
        <v>Bulk Order</v>
      </c>
      <c r="M718" s="10">
        <v>500</v>
      </c>
      <c r="N718" s="10">
        <v>2000</v>
      </c>
    </row>
    <row r="719" spans="1:14" x14ac:dyDescent="0.2">
      <c r="A719">
        <v>794</v>
      </c>
      <c r="B719" s="5">
        <v>45186</v>
      </c>
      <c r="C719" s="5" t="str">
        <f>TEXT(Table2[[#This Row],[Date]], "MMM")</f>
        <v>Sep</v>
      </c>
      <c r="D719" s="8">
        <f>MONTH(Table2[[#This Row],[Date]])</f>
        <v>9</v>
      </c>
      <c r="E719" s="8">
        <f>YEAR(Table2[[#This Row],[Date]])</f>
        <v>2023</v>
      </c>
      <c r="F719" s="7" t="s">
        <v>807</v>
      </c>
      <c r="G719" s="7" t="s">
        <v>13</v>
      </c>
      <c r="H719" s="8">
        <v>60</v>
      </c>
      <c r="I719" s="8" t="str">
        <f>IF(Table2[[#This Row],[Age]] &lt; 19, "Teenagers", IF(Table2[[#This Row],[Age]] &lt;= 34, "Young Adults", IF(Table2[[#This Row],[Age]] &lt;= 45, "Adults", IF(Table2[[#This Row],[Age]] &lt;= 55, "Seniors", "Elderly")) ))</f>
        <v>Elderly</v>
      </c>
      <c r="J719" s="7" t="s">
        <v>11</v>
      </c>
      <c r="K719" s="8">
        <v>1</v>
      </c>
      <c r="L719" s="8" t="str">
        <f>IF(Table2[[#This Row],[Quantity]]=1, "Single Order", IF(Table2[[#This Row],[Quantity]]=2, "Small Order", IF(Table2[[#This Row],[Quantity]]=3, "Medium Order", "Bulk Order")))</f>
        <v>Single Order</v>
      </c>
      <c r="M719" s="10">
        <v>300</v>
      </c>
      <c r="N719" s="10">
        <v>300</v>
      </c>
    </row>
    <row r="720" spans="1:14" x14ac:dyDescent="0.2">
      <c r="A720">
        <v>799</v>
      </c>
      <c r="B720" s="5">
        <v>45177</v>
      </c>
      <c r="C720" s="5" t="str">
        <f>TEXT(Table2[[#This Row],[Date]], "MMM")</f>
        <v>Sep</v>
      </c>
      <c r="D720" s="8">
        <f>MONTH(Table2[[#This Row],[Date]])</f>
        <v>9</v>
      </c>
      <c r="E720" s="8">
        <f>YEAR(Table2[[#This Row],[Date]])</f>
        <v>2023</v>
      </c>
      <c r="F720" s="7" t="s">
        <v>812</v>
      </c>
      <c r="G720" s="7" t="s">
        <v>10</v>
      </c>
      <c r="H720" s="8">
        <v>56</v>
      </c>
      <c r="I720" s="8" t="str">
        <f>IF(Table2[[#This Row],[Age]] &lt; 19, "Teenagers", IF(Table2[[#This Row],[Age]] &lt;= 34, "Young Adults", IF(Table2[[#This Row],[Age]] &lt;= 45, "Adults", IF(Table2[[#This Row],[Age]] &lt;= 55, "Seniors", "Elderly")) ))</f>
        <v>Elderly</v>
      </c>
      <c r="J720" s="7" t="s">
        <v>16</v>
      </c>
      <c r="K720" s="8">
        <v>2</v>
      </c>
      <c r="L720" s="8" t="str">
        <f>IF(Table2[[#This Row],[Quantity]]=1, "Single Order", IF(Table2[[#This Row],[Quantity]]=2, "Small Order", IF(Table2[[#This Row],[Quantity]]=3, "Medium Order", "Bulk Order")))</f>
        <v>Small Order</v>
      </c>
      <c r="M720" s="10">
        <v>50</v>
      </c>
      <c r="N720" s="10">
        <v>100</v>
      </c>
    </row>
    <row r="721" spans="1:14" x14ac:dyDescent="0.2">
      <c r="A721">
        <v>809</v>
      </c>
      <c r="B721" s="5">
        <v>45194</v>
      </c>
      <c r="C721" s="5" t="str">
        <f>TEXT(Table2[[#This Row],[Date]], "MMM")</f>
        <v>Sep</v>
      </c>
      <c r="D721" s="8">
        <f>MONTH(Table2[[#This Row],[Date]])</f>
        <v>9</v>
      </c>
      <c r="E721" s="8">
        <f>YEAR(Table2[[#This Row],[Date]])</f>
        <v>2023</v>
      </c>
      <c r="F721" s="7" t="s">
        <v>822</v>
      </c>
      <c r="G721" s="7" t="s">
        <v>13</v>
      </c>
      <c r="H721" s="8">
        <v>62</v>
      </c>
      <c r="I721" s="8" t="str">
        <f>IF(Table2[[#This Row],[Age]] &lt; 19, "Teenagers", IF(Table2[[#This Row],[Age]] &lt;= 34, "Young Adults", IF(Table2[[#This Row],[Age]] &lt;= 45, "Adults", IF(Table2[[#This Row],[Age]] &lt;= 55, "Seniors", "Elderly")) ))</f>
        <v>Elderly</v>
      </c>
      <c r="J721" s="7" t="s">
        <v>11</v>
      </c>
      <c r="K721" s="8">
        <v>2</v>
      </c>
      <c r="L721" s="8" t="str">
        <f>IF(Table2[[#This Row],[Quantity]]=1, "Single Order", IF(Table2[[#This Row],[Quantity]]=2, "Small Order", IF(Table2[[#This Row],[Quantity]]=3, "Medium Order", "Bulk Order")))</f>
        <v>Small Order</v>
      </c>
      <c r="M721" s="10">
        <v>50</v>
      </c>
      <c r="N721" s="10">
        <v>100</v>
      </c>
    </row>
    <row r="722" spans="1:14" x14ac:dyDescent="0.2">
      <c r="A722">
        <v>814</v>
      </c>
      <c r="B722" s="5">
        <v>45174</v>
      </c>
      <c r="C722" s="5" t="str">
        <f>TEXT(Table2[[#This Row],[Date]], "MMM")</f>
        <v>Sep</v>
      </c>
      <c r="D722" s="8">
        <f>MONTH(Table2[[#This Row],[Date]])</f>
        <v>9</v>
      </c>
      <c r="E722" s="8">
        <f>YEAR(Table2[[#This Row],[Date]])</f>
        <v>2023</v>
      </c>
      <c r="F722" s="7" t="s">
        <v>827</v>
      </c>
      <c r="G722" s="7" t="s">
        <v>13</v>
      </c>
      <c r="H722" s="8">
        <v>59</v>
      </c>
      <c r="I722" s="8" t="str">
        <f>IF(Table2[[#This Row],[Age]] &lt; 19, "Teenagers", IF(Table2[[#This Row],[Age]] &lt;= 34, "Young Adults", IF(Table2[[#This Row],[Age]] &lt;= 45, "Adults", IF(Table2[[#This Row],[Age]] &lt;= 55, "Seniors", "Elderly")) ))</f>
        <v>Elderly</v>
      </c>
      <c r="J722" s="7" t="s">
        <v>14</v>
      </c>
      <c r="K722" s="8">
        <v>1</v>
      </c>
      <c r="L722" s="8" t="str">
        <f>IF(Table2[[#This Row],[Quantity]]=1, "Single Order", IF(Table2[[#This Row],[Quantity]]=2, "Small Order", IF(Table2[[#This Row],[Quantity]]=3, "Medium Order", "Bulk Order")))</f>
        <v>Single Order</v>
      </c>
      <c r="M722" s="10">
        <v>500</v>
      </c>
      <c r="N722" s="10">
        <v>500</v>
      </c>
    </row>
    <row r="723" spans="1:14" x14ac:dyDescent="0.2">
      <c r="A723">
        <v>832</v>
      </c>
      <c r="B723" s="5">
        <v>45180</v>
      </c>
      <c r="C723" s="5" t="str">
        <f>TEXT(Table2[[#This Row],[Date]], "MMM")</f>
        <v>Sep</v>
      </c>
      <c r="D723" s="8">
        <f>MONTH(Table2[[#This Row],[Date]])</f>
        <v>9</v>
      </c>
      <c r="E723" s="8">
        <f>YEAR(Table2[[#This Row],[Date]])</f>
        <v>2023</v>
      </c>
      <c r="F723" s="7" t="s">
        <v>845</v>
      </c>
      <c r="G723" s="7" t="s">
        <v>10</v>
      </c>
      <c r="H723" s="8">
        <v>47</v>
      </c>
      <c r="I723" s="8" t="str">
        <f>IF(Table2[[#This Row],[Age]] &lt; 19, "Teenagers", IF(Table2[[#This Row],[Age]] &lt;= 34, "Young Adults", IF(Table2[[#This Row],[Age]] &lt;= 45, "Adults", IF(Table2[[#This Row],[Age]] &lt;= 55, "Seniors", "Elderly")) ))</f>
        <v>Seniors</v>
      </c>
      <c r="J723" s="7" t="s">
        <v>11</v>
      </c>
      <c r="K723" s="8">
        <v>4</v>
      </c>
      <c r="L723" s="8" t="str">
        <f>IF(Table2[[#This Row],[Quantity]]=1, "Single Order", IF(Table2[[#This Row],[Quantity]]=2, "Small Order", IF(Table2[[#This Row],[Quantity]]=3, "Medium Order", "Bulk Order")))</f>
        <v>Bulk Order</v>
      </c>
      <c r="M723" s="10">
        <v>500</v>
      </c>
      <c r="N723" s="10">
        <v>2000</v>
      </c>
    </row>
    <row r="724" spans="1:14" x14ac:dyDescent="0.2">
      <c r="A724">
        <v>835</v>
      </c>
      <c r="B724" s="5">
        <v>45176</v>
      </c>
      <c r="C724" s="5" t="str">
        <f>TEXT(Table2[[#This Row],[Date]], "MMM")</f>
        <v>Sep</v>
      </c>
      <c r="D724" s="8">
        <f>MONTH(Table2[[#This Row],[Date]])</f>
        <v>9</v>
      </c>
      <c r="E724" s="8">
        <f>YEAR(Table2[[#This Row],[Date]])</f>
        <v>2023</v>
      </c>
      <c r="F724" s="7" t="s">
        <v>848</v>
      </c>
      <c r="G724" s="7" t="s">
        <v>10</v>
      </c>
      <c r="H724" s="8">
        <v>37</v>
      </c>
      <c r="I724" s="8" t="str">
        <f>IF(Table2[[#This Row],[Age]] &lt; 19, "Teenagers", IF(Table2[[#This Row],[Age]] &lt;= 34, "Young Adults", IF(Table2[[#This Row],[Age]] &lt;= 45, "Adults", IF(Table2[[#This Row],[Age]] &lt;= 55, "Seniors", "Elderly")) ))</f>
        <v>Adults</v>
      </c>
      <c r="J724" s="7" t="s">
        <v>14</v>
      </c>
      <c r="K724" s="8">
        <v>4</v>
      </c>
      <c r="L724" s="8" t="str">
        <f>IF(Table2[[#This Row],[Quantity]]=1, "Single Order", IF(Table2[[#This Row],[Quantity]]=2, "Small Order", IF(Table2[[#This Row],[Quantity]]=3, "Medium Order", "Bulk Order")))</f>
        <v>Bulk Order</v>
      </c>
      <c r="M724" s="10">
        <v>50</v>
      </c>
      <c r="N724" s="10">
        <v>200</v>
      </c>
    </row>
    <row r="725" spans="1:14" x14ac:dyDescent="0.2">
      <c r="A725">
        <v>846</v>
      </c>
      <c r="B725" s="5">
        <v>45191</v>
      </c>
      <c r="C725" s="5" t="str">
        <f>TEXT(Table2[[#This Row],[Date]], "MMM")</f>
        <v>Sep</v>
      </c>
      <c r="D725" s="8">
        <f>MONTH(Table2[[#This Row],[Date]])</f>
        <v>9</v>
      </c>
      <c r="E725" s="8">
        <f>YEAR(Table2[[#This Row],[Date]])</f>
        <v>2023</v>
      </c>
      <c r="F725" s="7" t="s">
        <v>859</v>
      </c>
      <c r="G725" s="7" t="s">
        <v>10</v>
      </c>
      <c r="H725" s="8">
        <v>42</v>
      </c>
      <c r="I725" s="8" t="str">
        <f>IF(Table2[[#This Row],[Age]] &lt; 19, "Teenagers", IF(Table2[[#This Row],[Age]] &lt;= 34, "Young Adults", IF(Table2[[#This Row],[Age]] &lt;= 45, "Adults", IF(Table2[[#This Row],[Age]] &lt;= 55, "Seniors", "Elderly")) ))</f>
        <v>Adults</v>
      </c>
      <c r="J725" s="7" t="s">
        <v>11</v>
      </c>
      <c r="K725" s="8">
        <v>1</v>
      </c>
      <c r="L725" s="8" t="str">
        <f>IF(Table2[[#This Row],[Quantity]]=1, "Single Order", IF(Table2[[#This Row],[Quantity]]=2, "Small Order", IF(Table2[[#This Row],[Quantity]]=3, "Medium Order", "Bulk Order")))</f>
        <v>Single Order</v>
      </c>
      <c r="M725" s="10">
        <v>50</v>
      </c>
      <c r="N725" s="10">
        <v>50</v>
      </c>
    </row>
    <row r="726" spans="1:14" x14ac:dyDescent="0.2">
      <c r="A726">
        <v>851</v>
      </c>
      <c r="B726" s="5">
        <v>45177</v>
      </c>
      <c r="C726" s="5" t="str">
        <f>TEXT(Table2[[#This Row],[Date]], "MMM")</f>
        <v>Sep</v>
      </c>
      <c r="D726" s="8">
        <f>MONTH(Table2[[#This Row],[Date]])</f>
        <v>9</v>
      </c>
      <c r="E726" s="8">
        <f>YEAR(Table2[[#This Row],[Date]])</f>
        <v>2023</v>
      </c>
      <c r="F726" s="7" t="s">
        <v>864</v>
      </c>
      <c r="G726" s="7" t="s">
        <v>10</v>
      </c>
      <c r="H726" s="8">
        <v>32</v>
      </c>
      <c r="I726" s="8" t="str">
        <f>IF(Table2[[#This Row],[Age]] &lt; 19, "Teenagers", IF(Table2[[#This Row],[Age]] &lt;= 34, "Young Adults", IF(Table2[[#This Row],[Age]] &lt;= 45, "Adults", IF(Table2[[#This Row],[Age]] &lt;= 55, "Seniors", "Elderly")) ))</f>
        <v>Young Adults</v>
      </c>
      <c r="J726" s="7" t="s">
        <v>16</v>
      </c>
      <c r="K726" s="8">
        <v>2</v>
      </c>
      <c r="L726" s="8" t="str">
        <f>IF(Table2[[#This Row],[Quantity]]=1, "Single Order", IF(Table2[[#This Row],[Quantity]]=2, "Small Order", IF(Table2[[#This Row],[Quantity]]=3, "Medium Order", "Bulk Order")))</f>
        <v>Small Order</v>
      </c>
      <c r="M726" s="10">
        <v>25</v>
      </c>
      <c r="N726" s="10">
        <v>50</v>
      </c>
    </row>
    <row r="727" spans="1:14" x14ac:dyDescent="0.2">
      <c r="A727">
        <v>855</v>
      </c>
      <c r="B727" s="5">
        <v>45170</v>
      </c>
      <c r="C727" s="5" t="str">
        <f>TEXT(Table2[[#This Row],[Date]], "MMM")</f>
        <v>Sep</v>
      </c>
      <c r="D727" s="8">
        <f>MONTH(Table2[[#This Row],[Date]])</f>
        <v>9</v>
      </c>
      <c r="E727" s="8">
        <f>YEAR(Table2[[#This Row],[Date]])</f>
        <v>2023</v>
      </c>
      <c r="F727" s="7" t="s">
        <v>868</v>
      </c>
      <c r="G727" s="7" t="s">
        <v>10</v>
      </c>
      <c r="H727" s="8">
        <v>54</v>
      </c>
      <c r="I727" s="8" t="str">
        <f>IF(Table2[[#This Row],[Age]] &lt; 19, "Teenagers", IF(Table2[[#This Row],[Age]] &lt;= 34, "Young Adults", IF(Table2[[#This Row],[Age]] &lt;= 45, "Adults", IF(Table2[[#This Row],[Age]] &lt;= 55, "Seniors", "Elderly")) ))</f>
        <v>Seniors</v>
      </c>
      <c r="J727" s="7" t="s">
        <v>11</v>
      </c>
      <c r="K727" s="8">
        <v>1</v>
      </c>
      <c r="L727" s="8" t="str">
        <f>IF(Table2[[#This Row],[Quantity]]=1, "Single Order", IF(Table2[[#This Row],[Quantity]]=2, "Small Order", IF(Table2[[#This Row],[Quantity]]=3, "Medium Order", "Bulk Order")))</f>
        <v>Single Order</v>
      </c>
      <c r="M727" s="10">
        <v>25</v>
      </c>
      <c r="N727" s="10">
        <v>25</v>
      </c>
    </row>
    <row r="728" spans="1:14" x14ac:dyDescent="0.2">
      <c r="A728">
        <v>858</v>
      </c>
      <c r="B728" s="5">
        <v>45178</v>
      </c>
      <c r="C728" s="5" t="str">
        <f>TEXT(Table2[[#This Row],[Date]], "MMM")</f>
        <v>Sep</v>
      </c>
      <c r="D728" s="8">
        <f>MONTH(Table2[[#This Row],[Date]])</f>
        <v>9</v>
      </c>
      <c r="E728" s="8">
        <f>YEAR(Table2[[#This Row],[Date]])</f>
        <v>2023</v>
      </c>
      <c r="F728" s="7" t="s">
        <v>871</v>
      </c>
      <c r="G728" s="7" t="s">
        <v>10</v>
      </c>
      <c r="H728" s="8">
        <v>23</v>
      </c>
      <c r="I728" s="8" t="str">
        <f>IF(Table2[[#This Row],[Age]] &lt; 19, "Teenagers", IF(Table2[[#This Row],[Age]] &lt;= 34, "Young Adults", IF(Table2[[#This Row],[Age]] &lt;= 45, "Adults", IF(Table2[[#This Row],[Age]] &lt;= 55, "Seniors", "Elderly")) ))</f>
        <v>Young Adults</v>
      </c>
      <c r="J728" s="7" t="s">
        <v>16</v>
      </c>
      <c r="K728" s="8">
        <v>2</v>
      </c>
      <c r="L728" s="8" t="str">
        <f>IF(Table2[[#This Row],[Quantity]]=1, "Single Order", IF(Table2[[#This Row],[Quantity]]=2, "Small Order", IF(Table2[[#This Row],[Quantity]]=3, "Medium Order", "Bulk Order")))</f>
        <v>Small Order</v>
      </c>
      <c r="M728" s="10">
        <v>50</v>
      </c>
      <c r="N728" s="10">
        <v>100</v>
      </c>
    </row>
    <row r="729" spans="1:14" x14ac:dyDescent="0.2">
      <c r="A729">
        <v>873</v>
      </c>
      <c r="B729" s="5">
        <v>45198</v>
      </c>
      <c r="C729" s="5" t="str">
        <f>TEXT(Table2[[#This Row],[Date]], "MMM")</f>
        <v>Sep</v>
      </c>
      <c r="D729" s="8">
        <f>MONTH(Table2[[#This Row],[Date]])</f>
        <v>9</v>
      </c>
      <c r="E729" s="8">
        <f>YEAR(Table2[[#This Row],[Date]])</f>
        <v>2023</v>
      </c>
      <c r="F729" s="7" t="s">
        <v>886</v>
      </c>
      <c r="G729" s="7" t="s">
        <v>13</v>
      </c>
      <c r="H729" s="8">
        <v>27</v>
      </c>
      <c r="I729" s="8" t="str">
        <f>IF(Table2[[#This Row],[Age]] &lt; 19, "Teenagers", IF(Table2[[#This Row],[Age]] &lt;= 34, "Young Adults", IF(Table2[[#This Row],[Age]] &lt;= 45, "Adults", IF(Table2[[#This Row],[Age]] &lt;= 55, "Seniors", "Elderly")) ))</f>
        <v>Young Adults</v>
      </c>
      <c r="J729" s="7" t="s">
        <v>16</v>
      </c>
      <c r="K729" s="8">
        <v>4</v>
      </c>
      <c r="L729" s="8" t="str">
        <f>IF(Table2[[#This Row],[Quantity]]=1, "Single Order", IF(Table2[[#This Row],[Quantity]]=2, "Small Order", IF(Table2[[#This Row],[Quantity]]=3, "Medium Order", "Bulk Order")))</f>
        <v>Bulk Order</v>
      </c>
      <c r="M729" s="10">
        <v>25</v>
      </c>
      <c r="N729" s="10">
        <v>100</v>
      </c>
    </row>
    <row r="730" spans="1:14" x14ac:dyDescent="0.2">
      <c r="A730">
        <v>894</v>
      </c>
      <c r="B730" s="5">
        <v>45174</v>
      </c>
      <c r="C730" s="5" t="str">
        <f>TEXT(Table2[[#This Row],[Date]], "MMM")</f>
        <v>Sep</v>
      </c>
      <c r="D730" s="8">
        <f>MONTH(Table2[[#This Row],[Date]])</f>
        <v>9</v>
      </c>
      <c r="E730" s="8">
        <f>YEAR(Table2[[#This Row],[Date]])</f>
        <v>2023</v>
      </c>
      <c r="F730" s="7" t="s">
        <v>907</v>
      </c>
      <c r="G730" s="7" t="s">
        <v>10</v>
      </c>
      <c r="H730" s="8">
        <v>52</v>
      </c>
      <c r="I730" s="8" t="str">
        <f>IF(Table2[[#This Row],[Age]] &lt; 19, "Teenagers", IF(Table2[[#This Row],[Age]] &lt;= 34, "Young Adults", IF(Table2[[#This Row],[Age]] &lt;= 45, "Adults", IF(Table2[[#This Row],[Age]] &lt;= 55, "Seniors", "Elderly")) ))</f>
        <v>Seniors</v>
      </c>
      <c r="J730" s="7" t="s">
        <v>16</v>
      </c>
      <c r="K730" s="8">
        <v>1</v>
      </c>
      <c r="L730" s="8" t="str">
        <f>IF(Table2[[#This Row],[Quantity]]=1, "Single Order", IF(Table2[[#This Row],[Quantity]]=2, "Small Order", IF(Table2[[#This Row],[Quantity]]=3, "Medium Order", "Bulk Order")))</f>
        <v>Single Order</v>
      </c>
      <c r="M730" s="10">
        <v>30</v>
      </c>
      <c r="N730" s="10">
        <v>30</v>
      </c>
    </row>
    <row r="731" spans="1:14" x14ac:dyDescent="0.2">
      <c r="A731">
        <v>897</v>
      </c>
      <c r="B731" s="5">
        <v>45195</v>
      </c>
      <c r="C731" s="5" t="str">
        <f>TEXT(Table2[[#This Row],[Date]], "MMM")</f>
        <v>Sep</v>
      </c>
      <c r="D731" s="8">
        <f>MONTH(Table2[[#This Row],[Date]])</f>
        <v>9</v>
      </c>
      <c r="E731" s="8">
        <f>YEAR(Table2[[#This Row],[Date]])</f>
        <v>2023</v>
      </c>
      <c r="F731" s="7" t="s">
        <v>910</v>
      </c>
      <c r="G731" s="7" t="s">
        <v>13</v>
      </c>
      <c r="H731" s="8">
        <v>64</v>
      </c>
      <c r="I731" s="8" t="str">
        <f>IF(Table2[[#This Row],[Age]] &lt; 19, "Teenagers", IF(Table2[[#This Row],[Age]] &lt;= 34, "Young Adults", IF(Table2[[#This Row],[Age]] &lt;= 45, "Adults", IF(Table2[[#This Row],[Age]] &lt;= 55, "Seniors", "Elderly")) ))</f>
        <v>Elderly</v>
      </c>
      <c r="J731" s="7" t="s">
        <v>16</v>
      </c>
      <c r="K731" s="8">
        <v>2</v>
      </c>
      <c r="L731" s="8" t="str">
        <f>IF(Table2[[#This Row],[Quantity]]=1, "Single Order", IF(Table2[[#This Row],[Quantity]]=2, "Small Order", IF(Table2[[#This Row],[Quantity]]=3, "Medium Order", "Bulk Order")))</f>
        <v>Small Order</v>
      </c>
      <c r="M731" s="10">
        <v>50</v>
      </c>
      <c r="N731" s="10">
        <v>100</v>
      </c>
    </row>
    <row r="732" spans="1:14" x14ac:dyDescent="0.2">
      <c r="A732">
        <v>919</v>
      </c>
      <c r="B732" s="5">
        <v>45178</v>
      </c>
      <c r="C732" s="5" t="str">
        <f>TEXT(Table2[[#This Row],[Date]], "MMM")</f>
        <v>Sep</v>
      </c>
      <c r="D732" s="8">
        <f>MONTH(Table2[[#This Row],[Date]])</f>
        <v>9</v>
      </c>
      <c r="E732" s="8">
        <f>YEAR(Table2[[#This Row],[Date]])</f>
        <v>2023</v>
      </c>
      <c r="F732" s="7" t="s">
        <v>932</v>
      </c>
      <c r="G732" s="7" t="s">
        <v>13</v>
      </c>
      <c r="H732" s="8">
        <v>22</v>
      </c>
      <c r="I732" s="8" t="str">
        <f>IF(Table2[[#This Row],[Age]] &lt; 19, "Teenagers", IF(Table2[[#This Row],[Age]] &lt;= 34, "Young Adults", IF(Table2[[#This Row],[Age]] &lt;= 45, "Adults", IF(Table2[[#This Row],[Age]] &lt;= 55, "Seniors", "Elderly")) ))</f>
        <v>Young Adults</v>
      </c>
      <c r="J732" s="7" t="s">
        <v>11</v>
      </c>
      <c r="K732" s="8">
        <v>2</v>
      </c>
      <c r="L732" s="8" t="str">
        <f>IF(Table2[[#This Row],[Quantity]]=1, "Single Order", IF(Table2[[#This Row],[Quantity]]=2, "Small Order", IF(Table2[[#This Row],[Quantity]]=3, "Medium Order", "Bulk Order")))</f>
        <v>Small Order</v>
      </c>
      <c r="M732" s="10">
        <v>25</v>
      </c>
      <c r="N732" s="10">
        <v>50</v>
      </c>
    </row>
    <row r="733" spans="1:14" x14ac:dyDescent="0.2">
      <c r="A733">
        <v>925</v>
      </c>
      <c r="B733" s="5">
        <v>45172</v>
      </c>
      <c r="C733" s="5" t="str">
        <f>TEXT(Table2[[#This Row],[Date]], "MMM")</f>
        <v>Sep</v>
      </c>
      <c r="D733" s="8">
        <f>MONTH(Table2[[#This Row],[Date]])</f>
        <v>9</v>
      </c>
      <c r="E733" s="8">
        <f>YEAR(Table2[[#This Row],[Date]])</f>
        <v>2023</v>
      </c>
      <c r="F733" s="7" t="s">
        <v>938</v>
      </c>
      <c r="G733" s="7" t="s">
        <v>10</v>
      </c>
      <c r="H733" s="8">
        <v>25</v>
      </c>
      <c r="I733" s="8" t="str">
        <f>IF(Table2[[#This Row],[Age]] &lt; 19, "Teenagers", IF(Table2[[#This Row],[Age]] &lt;= 34, "Young Adults", IF(Table2[[#This Row],[Age]] &lt;= 45, "Adults", IF(Table2[[#This Row],[Age]] &lt;= 55, "Seniors", "Elderly")) ))</f>
        <v>Young Adults</v>
      </c>
      <c r="J733" s="7" t="s">
        <v>16</v>
      </c>
      <c r="K733" s="8">
        <v>1</v>
      </c>
      <c r="L733" s="8" t="str">
        <f>IF(Table2[[#This Row],[Quantity]]=1, "Single Order", IF(Table2[[#This Row],[Quantity]]=2, "Small Order", IF(Table2[[#This Row],[Quantity]]=3, "Medium Order", "Bulk Order")))</f>
        <v>Single Order</v>
      </c>
      <c r="M733" s="10">
        <v>300</v>
      </c>
      <c r="N733" s="10">
        <v>300</v>
      </c>
    </row>
    <row r="734" spans="1:14" x14ac:dyDescent="0.2">
      <c r="A734">
        <v>931</v>
      </c>
      <c r="B734" s="5">
        <v>45171</v>
      </c>
      <c r="C734" s="5" t="str">
        <f>TEXT(Table2[[#This Row],[Date]], "MMM")</f>
        <v>Sep</v>
      </c>
      <c r="D734" s="8">
        <f>MONTH(Table2[[#This Row],[Date]])</f>
        <v>9</v>
      </c>
      <c r="E734" s="8">
        <f>YEAR(Table2[[#This Row],[Date]])</f>
        <v>2023</v>
      </c>
      <c r="F734" s="7" t="s">
        <v>944</v>
      </c>
      <c r="G734" s="7" t="s">
        <v>10</v>
      </c>
      <c r="H734" s="8">
        <v>30</v>
      </c>
      <c r="I734" s="8" t="str">
        <f>IF(Table2[[#This Row],[Age]] &lt; 19, "Teenagers", IF(Table2[[#This Row],[Age]] &lt;= 34, "Young Adults", IF(Table2[[#This Row],[Age]] &lt;= 45, "Adults", IF(Table2[[#This Row],[Age]] &lt;= 55, "Seniors", "Elderly")) ))</f>
        <v>Young Adults</v>
      </c>
      <c r="J734" s="7" t="s">
        <v>11</v>
      </c>
      <c r="K734" s="8">
        <v>4</v>
      </c>
      <c r="L734" s="8" t="str">
        <f>IF(Table2[[#This Row],[Quantity]]=1, "Single Order", IF(Table2[[#This Row],[Quantity]]=2, "Small Order", IF(Table2[[#This Row],[Quantity]]=3, "Medium Order", "Bulk Order")))</f>
        <v>Bulk Order</v>
      </c>
      <c r="M734" s="10">
        <v>30</v>
      </c>
      <c r="N734" s="10">
        <v>120</v>
      </c>
    </row>
    <row r="735" spans="1:14" x14ac:dyDescent="0.2">
      <c r="A735">
        <v>935</v>
      </c>
      <c r="B735" s="5">
        <v>45178</v>
      </c>
      <c r="C735" s="5" t="str">
        <f>TEXT(Table2[[#This Row],[Date]], "MMM")</f>
        <v>Sep</v>
      </c>
      <c r="D735" s="8">
        <f>MONTH(Table2[[#This Row],[Date]])</f>
        <v>9</v>
      </c>
      <c r="E735" s="8">
        <f>YEAR(Table2[[#This Row],[Date]])</f>
        <v>2023</v>
      </c>
      <c r="F735" s="7" t="s">
        <v>948</v>
      </c>
      <c r="G735" s="7" t="s">
        <v>13</v>
      </c>
      <c r="H735" s="8">
        <v>34</v>
      </c>
      <c r="I735" s="8" t="str">
        <f>IF(Table2[[#This Row],[Age]] &lt; 19, "Teenagers", IF(Table2[[#This Row],[Age]] &lt;= 34, "Young Adults", IF(Table2[[#This Row],[Age]] &lt;= 45, "Adults", IF(Table2[[#This Row],[Age]] &lt;= 55, "Seniors", "Elderly")) ))</f>
        <v>Young Adults</v>
      </c>
      <c r="J735" s="7" t="s">
        <v>11</v>
      </c>
      <c r="K735" s="8">
        <v>1</v>
      </c>
      <c r="L735" s="8" t="str">
        <f>IF(Table2[[#This Row],[Quantity]]=1, "Single Order", IF(Table2[[#This Row],[Quantity]]=2, "Small Order", IF(Table2[[#This Row],[Quantity]]=3, "Medium Order", "Bulk Order")))</f>
        <v>Single Order</v>
      </c>
      <c r="M735" s="10">
        <v>50</v>
      </c>
      <c r="N735" s="10">
        <v>50</v>
      </c>
    </row>
    <row r="736" spans="1:14" x14ac:dyDescent="0.2">
      <c r="A736">
        <v>954</v>
      </c>
      <c r="B736" s="5">
        <v>45194</v>
      </c>
      <c r="C736" s="5" t="str">
        <f>TEXT(Table2[[#This Row],[Date]], "MMM")</f>
        <v>Sep</v>
      </c>
      <c r="D736" s="8">
        <f>MONTH(Table2[[#This Row],[Date]])</f>
        <v>9</v>
      </c>
      <c r="E736" s="8">
        <f>YEAR(Table2[[#This Row],[Date]])</f>
        <v>2023</v>
      </c>
      <c r="F736" s="7" t="s">
        <v>967</v>
      </c>
      <c r="G736" s="7" t="s">
        <v>13</v>
      </c>
      <c r="H736" s="8">
        <v>50</v>
      </c>
      <c r="I736" s="8" t="str">
        <f>IF(Table2[[#This Row],[Age]] &lt; 19, "Teenagers", IF(Table2[[#This Row],[Age]] &lt;= 34, "Young Adults", IF(Table2[[#This Row],[Age]] &lt;= 45, "Adults", IF(Table2[[#This Row],[Age]] &lt;= 55, "Seniors", "Elderly")) ))</f>
        <v>Seniors</v>
      </c>
      <c r="J736" s="7" t="s">
        <v>16</v>
      </c>
      <c r="K736" s="8">
        <v>3</v>
      </c>
      <c r="L736" s="8" t="str">
        <f>IF(Table2[[#This Row],[Quantity]]=1, "Single Order", IF(Table2[[#This Row],[Quantity]]=2, "Small Order", IF(Table2[[#This Row],[Quantity]]=3, "Medium Order", "Bulk Order")))</f>
        <v>Medium Order</v>
      </c>
      <c r="M736" s="10">
        <v>300</v>
      </c>
      <c r="N736" s="10">
        <v>900</v>
      </c>
    </row>
    <row r="737" spans="1:14" x14ac:dyDescent="0.2">
      <c r="A737">
        <v>10</v>
      </c>
      <c r="B737" s="5">
        <v>45206</v>
      </c>
      <c r="C737" s="5" t="str">
        <f>TEXT(Table2[[#This Row],[Date]], "MMM")</f>
        <v>Oct</v>
      </c>
      <c r="D737" s="8">
        <f>MONTH(Table2[[#This Row],[Date]])</f>
        <v>10</v>
      </c>
      <c r="E737" s="8">
        <f>YEAR(Table2[[#This Row],[Date]])</f>
        <v>2023</v>
      </c>
      <c r="F737" s="7" t="s">
        <v>23</v>
      </c>
      <c r="G737" s="7" t="s">
        <v>13</v>
      </c>
      <c r="H737" s="8">
        <v>52</v>
      </c>
      <c r="I737" s="8" t="str">
        <f>IF(Table2[[#This Row],[Age]] &lt; 19, "Teenagers", IF(Table2[[#This Row],[Age]] &lt;= 34, "Young Adults", IF(Table2[[#This Row],[Age]] &lt;= 45, "Adults", IF(Table2[[#This Row],[Age]] &lt;= 55, "Seniors", "Elderly")) ))</f>
        <v>Seniors</v>
      </c>
      <c r="J737" s="7" t="s">
        <v>14</v>
      </c>
      <c r="K737" s="8">
        <v>4</v>
      </c>
      <c r="L737" s="8" t="str">
        <f>IF(Table2[[#This Row],[Quantity]]=1, "Single Order", IF(Table2[[#This Row],[Quantity]]=2, "Small Order", IF(Table2[[#This Row],[Quantity]]=3, "Medium Order", "Bulk Order")))</f>
        <v>Bulk Order</v>
      </c>
      <c r="M737" s="10">
        <v>50</v>
      </c>
      <c r="N737" s="10">
        <v>200</v>
      </c>
    </row>
    <row r="738" spans="1:14" x14ac:dyDescent="0.2">
      <c r="A738">
        <v>12</v>
      </c>
      <c r="B738" s="5">
        <v>45229</v>
      </c>
      <c r="C738" s="5" t="str">
        <f>TEXT(Table2[[#This Row],[Date]], "MMM")</f>
        <v>Oct</v>
      </c>
      <c r="D738" s="8">
        <f>MONTH(Table2[[#This Row],[Date]])</f>
        <v>10</v>
      </c>
      <c r="E738" s="8">
        <f>YEAR(Table2[[#This Row],[Date]])</f>
        <v>2023</v>
      </c>
      <c r="F738" s="7" t="s">
        <v>25</v>
      </c>
      <c r="G738" s="7" t="s">
        <v>10</v>
      </c>
      <c r="H738" s="8">
        <v>35</v>
      </c>
      <c r="I738" s="8" t="str">
        <f>IF(Table2[[#This Row],[Age]] &lt; 19, "Teenagers", IF(Table2[[#This Row],[Age]] &lt;= 34, "Young Adults", IF(Table2[[#This Row],[Age]] &lt;= 45, "Adults", IF(Table2[[#This Row],[Age]] &lt;= 55, "Seniors", "Elderly")) ))</f>
        <v>Adults</v>
      </c>
      <c r="J738" s="7" t="s">
        <v>11</v>
      </c>
      <c r="K738" s="8">
        <v>3</v>
      </c>
      <c r="L738" s="8" t="str">
        <f>IF(Table2[[#This Row],[Quantity]]=1, "Single Order", IF(Table2[[#This Row],[Quantity]]=2, "Small Order", IF(Table2[[#This Row],[Quantity]]=3, "Medium Order", "Bulk Order")))</f>
        <v>Medium Order</v>
      </c>
      <c r="M738" s="10">
        <v>25</v>
      </c>
      <c r="N738" s="10">
        <v>75</v>
      </c>
    </row>
    <row r="739" spans="1:14" x14ac:dyDescent="0.2">
      <c r="A739">
        <v>22</v>
      </c>
      <c r="B739" s="5">
        <v>45214</v>
      </c>
      <c r="C739" s="5" t="str">
        <f>TEXT(Table2[[#This Row],[Date]], "MMM")</f>
        <v>Oct</v>
      </c>
      <c r="D739" s="8">
        <f>MONTH(Table2[[#This Row],[Date]])</f>
        <v>10</v>
      </c>
      <c r="E739" s="8">
        <f>YEAR(Table2[[#This Row],[Date]])</f>
        <v>2023</v>
      </c>
      <c r="F739" s="7" t="s">
        <v>35</v>
      </c>
      <c r="G739" s="7" t="s">
        <v>10</v>
      </c>
      <c r="H739" s="8">
        <v>18</v>
      </c>
      <c r="I739" s="8" t="str">
        <f>IF(Table2[[#This Row],[Age]] &lt; 19, "Teenagers", IF(Table2[[#This Row],[Age]] &lt;= 34, "Young Adults", IF(Table2[[#This Row],[Age]] &lt;= 45, "Adults", IF(Table2[[#This Row],[Age]] &lt;= 55, "Seniors", "Elderly")) ))</f>
        <v>Teenagers</v>
      </c>
      <c r="J739" s="7" t="s">
        <v>14</v>
      </c>
      <c r="K739" s="8">
        <v>2</v>
      </c>
      <c r="L739" s="8" t="str">
        <f>IF(Table2[[#This Row],[Quantity]]=1, "Single Order", IF(Table2[[#This Row],[Quantity]]=2, "Small Order", IF(Table2[[#This Row],[Quantity]]=3, "Medium Order", "Bulk Order")))</f>
        <v>Small Order</v>
      </c>
      <c r="M739" s="10">
        <v>50</v>
      </c>
      <c r="N739" s="10">
        <v>100</v>
      </c>
    </row>
    <row r="740" spans="1:14" x14ac:dyDescent="0.2">
      <c r="A740">
        <v>26</v>
      </c>
      <c r="B740" s="5">
        <v>45206</v>
      </c>
      <c r="C740" s="5" t="str">
        <f>TEXT(Table2[[#This Row],[Date]], "MMM")</f>
        <v>Oct</v>
      </c>
      <c r="D740" s="8">
        <f>MONTH(Table2[[#This Row],[Date]])</f>
        <v>10</v>
      </c>
      <c r="E740" s="8">
        <f>YEAR(Table2[[#This Row],[Date]])</f>
        <v>2023</v>
      </c>
      <c r="F740" s="7" t="s">
        <v>39</v>
      </c>
      <c r="G740" s="7" t="s">
        <v>13</v>
      </c>
      <c r="H740" s="8">
        <v>28</v>
      </c>
      <c r="I740" s="8" t="str">
        <f>IF(Table2[[#This Row],[Age]] &lt; 19, "Teenagers", IF(Table2[[#This Row],[Age]] &lt;= 34, "Young Adults", IF(Table2[[#This Row],[Age]] &lt;= 45, "Adults", IF(Table2[[#This Row],[Age]] &lt;= 55, "Seniors", "Elderly")) ))</f>
        <v>Young Adults</v>
      </c>
      <c r="J740" s="7" t="s">
        <v>16</v>
      </c>
      <c r="K740" s="8">
        <v>2</v>
      </c>
      <c r="L740" s="8" t="str">
        <f>IF(Table2[[#This Row],[Quantity]]=1, "Single Order", IF(Table2[[#This Row],[Quantity]]=2, "Small Order", IF(Table2[[#This Row],[Quantity]]=3, "Medium Order", "Bulk Order")))</f>
        <v>Small Order</v>
      </c>
      <c r="M740" s="10">
        <v>500</v>
      </c>
      <c r="N740" s="10">
        <v>1000</v>
      </c>
    </row>
    <row r="741" spans="1:14" x14ac:dyDescent="0.2">
      <c r="A741">
        <v>30</v>
      </c>
      <c r="B741" s="5">
        <v>45228</v>
      </c>
      <c r="C741" s="5" t="str">
        <f>TEXT(Table2[[#This Row],[Date]], "MMM")</f>
        <v>Oct</v>
      </c>
      <c r="D741" s="8">
        <f>MONTH(Table2[[#This Row],[Date]])</f>
        <v>10</v>
      </c>
      <c r="E741" s="8">
        <f>YEAR(Table2[[#This Row],[Date]])</f>
        <v>2023</v>
      </c>
      <c r="F741" s="7" t="s">
        <v>43</v>
      </c>
      <c r="G741" s="7" t="s">
        <v>13</v>
      </c>
      <c r="H741" s="8">
        <v>39</v>
      </c>
      <c r="I741" s="8" t="str">
        <f>IF(Table2[[#This Row],[Age]] &lt; 19, "Teenagers", IF(Table2[[#This Row],[Age]] &lt;= 34, "Young Adults", IF(Table2[[#This Row],[Age]] &lt;= 45, "Adults", IF(Table2[[#This Row],[Age]] &lt;= 55, "Seniors", "Elderly")) ))</f>
        <v>Adults</v>
      </c>
      <c r="J741" s="7" t="s">
        <v>11</v>
      </c>
      <c r="K741" s="8">
        <v>3</v>
      </c>
      <c r="L741" s="8" t="str">
        <f>IF(Table2[[#This Row],[Quantity]]=1, "Single Order", IF(Table2[[#This Row],[Quantity]]=2, "Small Order", IF(Table2[[#This Row],[Quantity]]=3, "Medium Order", "Bulk Order")))</f>
        <v>Medium Order</v>
      </c>
      <c r="M741" s="10">
        <v>300</v>
      </c>
      <c r="N741" s="10">
        <v>900</v>
      </c>
    </row>
    <row r="742" spans="1:14" x14ac:dyDescent="0.2">
      <c r="A742">
        <v>51</v>
      </c>
      <c r="B742" s="5">
        <v>45201</v>
      </c>
      <c r="C742" s="5" t="str">
        <f>TEXT(Table2[[#This Row],[Date]], "MMM")</f>
        <v>Oct</v>
      </c>
      <c r="D742" s="8">
        <f>MONTH(Table2[[#This Row],[Date]])</f>
        <v>10</v>
      </c>
      <c r="E742" s="8">
        <f>YEAR(Table2[[#This Row],[Date]])</f>
        <v>2023</v>
      </c>
      <c r="F742" s="7" t="s">
        <v>64</v>
      </c>
      <c r="G742" s="7" t="s">
        <v>10</v>
      </c>
      <c r="H742" s="8">
        <v>27</v>
      </c>
      <c r="I742" s="8" t="str">
        <f>IF(Table2[[#This Row],[Age]] &lt; 19, "Teenagers", IF(Table2[[#This Row],[Age]] &lt;= 34, "Young Adults", IF(Table2[[#This Row],[Age]] &lt;= 45, "Adults", IF(Table2[[#This Row],[Age]] &lt;= 55, "Seniors", "Elderly")) ))</f>
        <v>Young Adults</v>
      </c>
      <c r="J742" s="7" t="s">
        <v>11</v>
      </c>
      <c r="K742" s="8">
        <v>3</v>
      </c>
      <c r="L742" s="8" t="str">
        <f>IF(Table2[[#This Row],[Quantity]]=1, "Single Order", IF(Table2[[#This Row],[Quantity]]=2, "Small Order", IF(Table2[[#This Row],[Quantity]]=3, "Medium Order", "Bulk Order")))</f>
        <v>Medium Order</v>
      </c>
      <c r="M742" s="10">
        <v>25</v>
      </c>
      <c r="N742" s="10">
        <v>75</v>
      </c>
    </row>
    <row r="743" spans="1:14" x14ac:dyDescent="0.2">
      <c r="A743">
        <v>55</v>
      </c>
      <c r="B743" s="5">
        <v>45209</v>
      </c>
      <c r="C743" s="5" t="str">
        <f>TEXT(Table2[[#This Row],[Date]], "MMM")</f>
        <v>Oct</v>
      </c>
      <c r="D743" s="8">
        <f>MONTH(Table2[[#This Row],[Date]])</f>
        <v>10</v>
      </c>
      <c r="E743" s="8">
        <f>YEAR(Table2[[#This Row],[Date]])</f>
        <v>2023</v>
      </c>
      <c r="F743" s="7" t="s">
        <v>68</v>
      </c>
      <c r="G743" s="7" t="s">
        <v>10</v>
      </c>
      <c r="H743" s="8">
        <v>31</v>
      </c>
      <c r="I743" s="8" t="str">
        <f>IF(Table2[[#This Row],[Age]] &lt; 19, "Teenagers", IF(Table2[[#This Row],[Age]] &lt;= 34, "Young Adults", IF(Table2[[#This Row],[Age]] &lt;= 45, "Adults", IF(Table2[[#This Row],[Age]] &lt;= 55, "Seniors", "Elderly")) ))</f>
        <v>Young Adults</v>
      </c>
      <c r="J743" s="7" t="s">
        <v>11</v>
      </c>
      <c r="K743" s="8">
        <v>4</v>
      </c>
      <c r="L743" s="8" t="str">
        <f>IF(Table2[[#This Row],[Quantity]]=1, "Single Order", IF(Table2[[#This Row],[Quantity]]=2, "Small Order", IF(Table2[[#This Row],[Quantity]]=3, "Medium Order", "Bulk Order")))</f>
        <v>Bulk Order</v>
      </c>
      <c r="M743" s="10">
        <v>30</v>
      </c>
      <c r="N743" s="10">
        <v>120</v>
      </c>
    </row>
    <row r="744" spans="1:14" x14ac:dyDescent="0.2">
      <c r="A744">
        <v>60</v>
      </c>
      <c r="B744" s="5">
        <v>45222</v>
      </c>
      <c r="C744" s="5" t="str">
        <f>TEXT(Table2[[#This Row],[Date]], "MMM")</f>
        <v>Oct</v>
      </c>
      <c r="D744" s="8">
        <f>MONTH(Table2[[#This Row],[Date]])</f>
        <v>10</v>
      </c>
      <c r="E744" s="8">
        <f>YEAR(Table2[[#This Row],[Date]])</f>
        <v>2023</v>
      </c>
      <c r="F744" s="7" t="s">
        <v>73</v>
      </c>
      <c r="G744" s="7" t="s">
        <v>10</v>
      </c>
      <c r="H744" s="8">
        <v>30</v>
      </c>
      <c r="I744" s="8" t="str">
        <f>IF(Table2[[#This Row],[Age]] &lt; 19, "Teenagers", IF(Table2[[#This Row],[Age]] &lt;= 34, "Young Adults", IF(Table2[[#This Row],[Age]] &lt;= 45, "Adults", IF(Table2[[#This Row],[Age]] &lt;= 55, "Seniors", "Elderly")) ))</f>
        <v>Young Adults</v>
      </c>
      <c r="J744" s="7" t="s">
        <v>11</v>
      </c>
      <c r="K744" s="8">
        <v>3</v>
      </c>
      <c r="L744" s="8" t="str">
        <f>IF(Table2[[#This Row],[Quantity]]=1, "Single Order", IF(Table2[[#This Row],[Quantity]]=2, "Small Order", IF(Table2[[#This Row],[Quantity]]=3, "Medium Order", "Bulk Order")))</f>
        <v>Medium Order</v>
      </c>
      <c r="M744" s="10">
        <v>50</v>
      </c>
      <c r="N744" s="10">
        <v>150</v>
      </c>
    </row>
    <row r="745" spans="1:14" x14ac:dyDescent="0.2">
      <c r="A745">
        <v>89</v>
      </c>
      <c r="B745" s="5">
        <v>45200</v>
      </c>
      <c r="C745" s="5" t="str">
        <f>TEXT(Table2[[#This Row],[Date]], "MMM")</f>
        <v>Oct</v>
      </c>
      <c r="D745" s="8">
        <f>MONTH(Table2[[#This Row],[Date]])</f>
        <v>10</v>
      </c>
      <c r="E745" s="8">
        <f>YEAR(Table2[[#This Row],[Date]])</f>
        <v>2023</v>
      </c>
      <c r="F745" s="7" t="s">
        <v>102</v>
      </c>
      <c r="G745" s="7" t="s">
        <v>13</v>
      </c>
      <c r="H745" s="8">
        <v>55</v>
      </c>
      <c r="I745" s="8" t="str">
        <f>IF(Table2[[#This Row],[Age]] &lt; 19, "Teenagers", IF(Table2[[#This Row],[Age]] &lt;= 34, "Young Adults", IF(Table2[[#This Row],[Age]] &lt;= 45, "Adults", IF(Table2[[#This Row],[Age]] &lt;= 55, "Seniors", "Elderly")) ))</f>
        <v>Seniors</v>
      </c>
      <c r="J745" s="7" t="s">
        <v>16</v>
      </c>
      <c r="K745" s="8">
        <v>4</v>
      </c>
      <c r="L745" s="8" t="str">
        <f>IF(Table2[[#This Row],[Quantity]]=1, "Single Order", IF(Table2[[#This Row],[Quantity]]=2, "Small Order", IF(Table2[[#This Row],[Quantity]]=3, "Medium Order", "Bulk Order")))</f>
        <v>Bulk Order</v>
      </c>
      <c r="M745" s="10">
        <v>500</v>
      </c>
      <c r="N745" s="10">
        <v>2000</v>
      </c>
    </row>
    <row r="746" spans="1:14" x14ac:dyDescent="0.2">
      <c r="A746">
        <v>97</v>
      </c>
      <c r="B746" s="5">
        <v>45212</v>
      </c>
      <c r="C746" s="5" t="str">
        <f>TEXT(Table2[[#This Row],[Date]], "MMM")</f>
        <v>Oct</v>
      </c>
      <c r="D746" s="8">
        <f>MONTH(Table2[[#This Row],[Date]])</f>
        <v>10</v>
      </c>
      <c r="E746" s="8">
        <f>YEAR(Table2[[#This Row],[Date]])</f>
        <v>2023</v>
      </c>
      <c r="F746" s="7" t="s">
        <v>110</v>
      </c>
      <c r="G746" s="7" t="s">
        <v>13</v>
      </c>
      <c r="H746" s="8">
        <v>51</v>
      </c>
      <c r="I746" s="8" t="str">
        <f>IF(Table2[[#This Row],[Age]] &lt; 19, "Teenagers", IF(Table2[[#This Row],[Age]] &lt;= 34, "Young Adults", IF(Table2[[#This Row],[Age]] &lt;= 45, "Adults", IF(Table2[[#This Row],[Age]] &lt;= 55, "Seniors", "Elderly")) ))</f>
        <v>Seniors</v>
      </c>
      <c r="J746" s="7" t="s">
        <v>11</v>
      </c>
      <c r="K746" s="8">
        <v>2</v>
      </c>
      <c r="L746" s="8" t="str">
        <f>IF(Table2[[#This Row],[Quantity]]=1, "Single Order", IF(Table2[[#This Row],[Quantity]]=2, "Small Order", IF(Table2[[#This Row],[Quantity]]=3, "Medium Order", "Bulk Order")))</f>
        <v>Small Order</v>
      </c>
      <c r="M746" s="10">
        <v>500</v>
      </c>
      <c r="N746" s="10">
        <v>1000</v>
      </c>
    </row>
    <row r="747" spans="1:14" x14ac:dyDescent="0.2">
      <c r="A747">
        <v>109</v>
      </c>
      <c r="B747" s="5">
        <v>45217</v>
      </c>
      <c r="C747" s="5" t="str">
        <f>TEXT(Table2[[#This Row],[Date]], "MMM")</f>
        <v>Oct</v>
      </c>
      <c r="D747" s="8">
        <f>MONTH(Table2[[#This Row],[Date]])</f>
        <v>10</v>
      </c>
      <c r="E747" s="8">
        <f>YEAR(Table2[[#This Row],[Date]])</f>
        <v>2023</v>
      </c>
      <c r="F747" s="7" t="s">
        <v>122</v>
      </c>
      <c r="G747" s="7" t="s">
        <v>13</v>
      </c>
      <c r="H747" s="8">
        <v>34</v>
      </c>
      <c r="I747" s="8" t="str">
        <f>IF(Table2[[#This Row],[Age]] &lt; 19, "Teenagers", IF(Table2[[#This Row],[Age]] &lt;= 34, "Young Adults", IF(Table2[[#This Row],[Age]] &lt;= 45, "Adults", IF(Table2[[#This Row],[Age]] &lt;= 55, "Seniors", "Elderly")) ))</f>
        <v>Young Adults</v>
      </c>
      <c r="J747" s="7" t="s">
        <v>16</v>
      </c>
      <c r="K747" s="8">
        <v>4</v>
      </c>
      <c r="L747" s="8" t="str">
        <f>IF(Table2[[#This Row],[Quantity]]=1, "Single Order", IF(Table2[[#This Row],[Quantity]]=2, "Small Order", IF(Table2[[#This Row],[Quantity]]=3, "Medium Order", "Bulk Order")))</f>
        <v>Bulk Order</v>
      </c>
      <c r="M747" s="10">
        <v>500</v>
      </c>
      <c r="N747" s="10">
        <v>2000</v>
      </c>
    </row>
    <row r="748" spans="1:14" x14ac:dyDescent="0.2">
      <c r="A748">
        <v>121</v>
      </c>
      <c r="B748" s="5">
        <v>45214</v>
      </c>
      <c r="C748" s="5" t="str">
        <f>TEXT(Table2[[#This Row],[Date]], "MMM")</f>
        <v>Oct</v>
      </c>
      <c r="D748" s="8">
        <f>MONTH(Table2[[#This Row],[Date]])</f>
        <v>10</v>
      </c>
      <c r="E748" s="8">
        <f>YEAR(Table2[[#This Row],[Date]])</f>
        <v>2023</v>
      </c>
      <c r="F748" s="7" t="s">
        <v>134</v>
      </c>
      <c r="G748" s="7" t="s">
        <v>13</v>
      </c>
      <c r="H748" s="8">
        <v>28</v>
      </c>
      <c r="I748" s="8" t="str">
        <f>IF(Table2[[#This Row],[Age]] &lt; 19, "Teenagers", IF(Table2[[#This Row],[Age]] &lt;= 34, "Young Adults", IF(Table2[[#This Row],[Age]] &lt;= 45, "Adults", IF(Table2[[#This Row],[Age]] &lt;= 55, "Seniors", "Elderly")) ))</f>
        <v>Young Adults</v>
      </c>
      <c r="J748" s="7" t="s">
        <v>16</v>
      </c>
      <c r="K748" s="8">
        <v>4</v>
      </c>
      <c r="L748" s="8" t="str">
        <f>IF(Table2[[#This Row],[Quantity]]=1, "Single Order", IF(Table2[[#This Row],[Quantity]]=2, "Small Order", IF(Table2[[#This Row],[Quantity]]=3, "Medium Order", "Bulk Order")))</f>
        <v>Bulk Order</v>
      </c>
      <c r="M748" s="10">
        <v>50</v>
      </c>
      <c r="N748" s="10">
        <v>200</v>
      </c>
    </row>
    <row r="749" spans="1:14" x14ac:dyDescent="0.2">
      <c r="A749">
        <v>122</v>
      </c>
      <c r="B749" s="5">
        <v>45202</v>
      </c>
      <c r="C749" s="5" t="str">
        <f>TEXT(Table2[[#This Row],[Date]], "MMM")</f>
        <v>Oct</v>
      </c>
      <c r="D749" s="8">
        <f>MONTH(Table2[[#This Row],[Date]])</f>
        <v>10</v>
      </c>
      <c r="E749" s="8">
        <f>YEAR(Table2[[#This Row],[Date]])</f>
        <v>2023</v>
      </c>
      <c r="F749" s="7" t="s">
        <v>135</v>
      </c>
      <c r="G749" s="7" t="s">
        <v>10</v>
      </c>
      <c r="H749" s="8">
        <v>64</v>
      </c>
      <c r="I749" s="8" t="str">
        <f>IF(Table2[[#This Row],[Age]] &lt; 19, "Teenagers", IF(Table2[[#This Row],[Age]] &lt;= 34, "Young Adults", IF(Table2[[#This Row],[Age]] &lt;= 45, "Adults", IF(Table2[[#This Row],[Age]] &lt;= 55, "Seniors", "Elderly")) ))</f>
        <v>Elderly</v>
      </c>
      <c r="J749" s="7" t="s">
        <v>16</v>
      </c>
      <c r="K749" s="8">
        <v>4</v>
      </c>
      <c r="L749" s="8" t="str">
        <f>IF(Table2[[#This Row],[Quantity]]=1, "Single Order", IF(Table2[[#This Row],[Quantity]]=2, "Small Order", IF(Table2[[#This Row],[Quantity]]=3, "Medium Order", "Bulk Order")))</f>
        <v>Bulk Order</v>
      </c>
      <c r="M749" s="10">
        <v>30</v>
      </c>
      <c r="N749" s="10">
        <v>120</v>
      </c>
    </row>
    <row r="750" spans="1:14" x14ac:dyDescent="0.2">
      <c r="A750">
        <v>124</v>
      </c>
      <c r="B750" s="5">
        <v>45226</v>
      </c>
      <c r="C750" s="5" t="str">
        <f>TEXT(Table2[[#This Row],[Date]], "MMM")</f>
        <v>Oct</v>
      </c>
      <c r="D750" s="8">
        <f>MONTH(Table2[[#This Row],[Date]])</f>
        <v>10</v>
      </c>
      <c r="E750" s="8">
        <f>YEAR(Table2[[#This Row],[Date]])</f>
        <v>2023</v>
      </c>
      <c r="F750" s="7" t="s">
        <v>137</v>
      </c>
      <c r="G750" s="7" t="s">
        <v>10</v>
      </c>
      <c r="H750" s="8">
        <v>33</v>
      </c>
      <c r="I750" s="8" t="str">
        <f>IF(Table2[[#This Row],[Age]] &lt; 19, "Teenagers", IF(Table2[[#This Row],[Age]] &lt;= 34, "Young Adults", IF(Table2[[#This Row],[Age]] &lt;= 45, "Adults", IF(Table2[[#This Row],[Age]] &lt;= 55, "Seniors", "Elderly")) ))</f>
        <v>Young Adults</v>
      </c>
      <c r="J750" s="7" t="s">
        <v>14</v>
      </c>
      <c r="K750" s="8">
        <v>4</v>
      </c>
      <c r="L750" s="8" t="str">
        <f>IF(Table2[[#This Row],[Quantity]]=1, "Single Order", IF(Table2[[#This Row],[Quantity]]=2, "Small Order", IF(Table2[[#This Row],[Quantity]]=3, "Medium Order", "Bulk Order")))</f>
        <v>Bulk Order</v>
      </c>
      <c r="M750" s="10">
        <v>500</v>
      </c>
      <c r="N750" s="10">
        <v>2000</v>
      </c>
    </row>
    <row r="751" spans="1:14" x14ac:dyDescent="0.2">
      <c r="A751">
        <v>126</v>
      </c>
      <c r="B751" s="5">
        <v>45225</v>
      </c>
      <c r="C751" s="5" t="str">
        <f>TEXT(Table2[[#This Row],[Date]], "MMM")</f>
        <v>Oct</v>
      </c>
      <c r="D751" s="8">
        <f>MONTH(Table2[[#This Row],[Date]])</f>
        <v>10</v>
      </c>
      <c r="E751" s="8">
        <f>YEAR(Table2[[#This Row],[Date]])</f>
        <v>2023</v>
      </c>
      <c r="F751" s="7" t="s">
        <v>139</v>
      </c>
      <c r="G751" s="7" t="s">
        <v>13</v>
      </c>
      <c r="H751" s="8">
        <v>28</v>
      </c>
      <c r="I751" s="8" t="str">
        <f>IF(Table2[[#This Row],[Age]] &lt; 19, "Teenagers", IF(Table2[[#This Row],[Age]] &lt;= 34, "Young Adults", IF(Table2[[#This Row],[Age]] &lt;= 45, "Adults", IF(Table2[[#This Row],[Age]] &lt;= 55, "Seniors", "Elderly")) ))</f>
        <v>Young Adults</v>
      </c>
      <c r="J751" s="7" t="s">
        <v>14</v>
      </c>
      <c r="K751" s="8">
        <v>3</v>
      </c>
      <c r="L751" s="8" t="str">
        <f>IF(Table2[[#This Row],[Quantity]]=1, "Single Order", IF(Table2[[#This Row],[Quantity]]=2, "Small Order", IF(Table2[[#This Row],[Quantity]]=3, "Medium Order", "Bulk Order")))</f>
        <v>Medium Order</v>
      </c>
      <c r="M751" s="10">
        <v>30</v>
      </c>
      <c r="N751" s="10">
        <v>90</v>
      </c>
    </row>
    <row r="752" spans="1:14" x14ac:dyDescent="0.2">
      <c r="A752">
        <v>149</v>
      </c>
      <c r="B752" s="5">
        <v>45210</v>
      </c>
      <c r="C752" s="5" t="str">
        <f>TEXT(Table2[[#This Row],[Date]], "MMM")</f>
        <v>Oct</v>
      </c>
      <c r="D752" s="8">
        <f>MONTH(Table2[[#This Row],[Date]])</f>
        <v>10</v>
      </c>
      <c r="E752" s="8">
        <f>YEAR(Table2[[#This Row],[Date]])</f>
        <v>2023</v>
      </c>
      <c r="F752" s="7" t="s">
        <v>162</v>
      </c>
      <c r="G752" s="7" t="s">
        <v>10</v>
      </c>
      <c r="H752" s="8">
        <v>22</v>
      </c>
      <c r="I752" s="8" t="str">
        <f>IF(Table2[[#This Row],[Age]] &lt; 19, "Teenagers", IF(Table2[[#This Row],[Age]] &lt;= 34, "Young Adults", IF(Table2[[#This Row],[Age]] &lt;= 45, "Adults", IF(Table2[[#This Row],[Age]] &lt;= 55, "Seniors", "Elderly")) ))</f>
        <v>Young Adults</v>
      </c>
      <c r="J752" s="7" t="s">
        <v>14</v>
      </c>
      <c r="K752" s="8">
        <v>3</v>
      </c>
      <c r="L752" s="8" t="str">
        <f>IF(Table2[[#This Row],[Quantity]]=1, "Single Order", IF(Table2[[#This Row],[Quantity]]=2, "Small Order", IF(Table2[[#This Row],[Quantity]]=3, "Medium Order", "Bulk Order")))</f>
        <v>Medium Order</v>
      </c>
      <c r="M752" s="10">
        <v>25</v>
      </c>
      <c r="N752" s="10">
        <v>75</v>
      </c>
    </row>
    <row r="753" spans="1:14" x14ac:dyDescent="0.2">
      <c r="A753">
        <v>154</v>
      </c>
      <c r="B753" s="5">
        <v>45201</v>
      </c>
      <c r="C753" s="5" t="str">
        <f>TEXT(Table2[[#This Row],[Date]], "MMM")</f>
        <v>Oct</v>
      </c>
      <c r="D753" s="8">
        <f>MONTH(Table2[[#This Row],[Date]])</f>
        <v>10</v>
      </c>
      <c r="E753" s="8">
        <f>YEAR(Table2[[#This Row],[Date]])</f>
        <v>2023</v>
      </c>
      <c r="F753" s="7" t="s">
        <v>167</v>
      </c>
      <c r="G753" s="7" t="s">
        <v>10</v>
      </c>
      <c r="H753" s="8">
        <v>51</v>
      </c>
      <c r="I753" s="8" t="str">
        <f>IF(Table2[[#This Row],[Age]] &lt; 19, "Teenagers", IF(Table2[[#This Row],[Age]] &lt;= 34, "Young Adults", IF(Table2[[#This Row],[Age]] &lt;= 45, "Adults", IF(Table2[[#This Row],[Age]] &lt;= 55, "Seniors", "Elderly")) ))</f>
        <v>Seniors</v>
      </c>
      <c r="J753" s="7" t="s">
        <v>16</v>
      </c>
      <c r="K753" s="8">
        <v>3</v>
      </c>
      <c r="L753" s="8" t="str">
        <f>IF(Table2[[#This Row],[Quantity]]=1, "Single Order", IF(Table2[[#This Row],[Quantity]]=2, "Small Order", IF(Table2[[#This Row],[Quantity]]=3, "Medium Order", "Bulk Order")))</f>
        <v>Medium Order</v>
      </c>
      <c r="M753" s="10">
        <v>300</v>
      </c>
      <c r="N753" s="10">
        <v>900</v>
      </c>
    </row>
    <row r="754" spans="1:14" x14ac:dyDescent="0.2">
      <c r="A754">
        <v>178</v>
      </c>
      <c r="B754" s="5">
        <v>45203</v>
      </c>
      <c r="C754" s="5" t="str">
        <f>TEXT(Table2[[#This Row],[Date]], "MMM")</f>
        <v>Oct</v>
      </c>
      <c r="D754" s="8">
        <f>MONTH(Table2[[#This Row],[Date]])</f>
        <v>10</v>
      </c>
      <c r="E754" s="8">
        <f>YEAR(Table2[[#This Row],[Date]])</f>
        <v>2023</v>
      </c>
      <c r="F754" s="7" t="s">
        <v>191</v>
      </c>
      <c r="G754" s="7" t="s">
        <v>10</v>
      </c>
      <c r="H754" s="8">
        <v>40</v>
      </c>
      <c r="I754" s="8" t="str">
        <f>IF(Table2[[#This Row],[Age]] &lt; 19, "Teenagers", IF(Table2[[#This Row],[Age]] &lt;= 34, "Young Adults", IF(Table2[[#This Row],[Age]] &lt;= 45, "Adults", IF(Table2[[#This Row],[Age]] &lt;= 55, "Seniors", "Elderly")) ))</f>
        <v>Adults</v>
      </c>
      <c r="J754" s="7" t="s">
        <v>14</v>
      </c>
      <c r="K754" s="8">
        <v>2</v>
      </c>
      <c r="L754" s="8" t="str">
        <f>IF(Table2[[#This Row],[Quantity]]=1, "Single Order", IF(Table2[[#This Row],[Quantity]]=2, "Small Order", IF(Table2[[#This Row],[Quantity]]=3, "Medium Order", "Bulk Order")))</f>
        <v>Small Order</v>
      </c>
      <c r="M754" s="10">
        <v>30</v>
      </c>
      <c r="N754" s="10">
        <v>60</v>
      </c>
    </row>
    <row r="755" spans="1:14" x14ac:dyDescent="0.2">
      <c r="A755">
        <v>191</v>
      </c>
      <c r="B755" s="5">
        <v>45217</v>
      </c>
      <c r="C755" s="5" t="str">
        <f>TEXT(Table2[[#This Row],[Date]], "MMM")</f>
        <v>Oct</v>
      </c>
      <c r="D755" s="8">
        <f>MONTH(Table2[[#This Row],[Date]])</f>
        <v>10</v>
      </c>
      <c r="E755" s="8">
        <f>YEAR(Table2[[#This Row],[Date]])</f>
        <v>2023</v>
      </c>
      <c r="F755" s="7" t="s">
        <v>204</v>
      </c>
      <c r="G755" s="7" t="s">
        <v>10</v>
      </c>
      <c r="H755" s="8">
        <v>64</v>
      </c>
      <c r="I755" s="8" t="str">
        <f>IF(Table2[[#This Row],[Age]] &lt; 19, "Teenagers", IF(Table2[[#This Row],[Age]] &lt;= 34, "Young Adults", IF(Table2[[#This Row],[Age]] &lt;= 45, "Adults", IF(Table2[[#This Row],[Age]] &lt;= 55, "Seniors", "Elderly")) ))</f>
        <v>Elderly</v>
      </c>
      <c r="J755" s="7" t="s">
        <v>11</v>
      </c>
      <c r="K755" s="8">
        <v>1</v>
      </c>
      <c r="L755" s="8" t="str">
        <f>IF(Table2[[#This Row],[Quantity]]=1, "Single Order", IF(Table2[[#This Row],[Quantity]]=2, "Small Order", IF(Table2[[#This Row],[Quantity]]=3, "Medium Order", "Bulk Order")))</f>
        <v>Single Order</v>
      </c>
      <c r="M755" s="10">
        <v>25</v>
      </c>
      <c r="N755" s="10">
        <v>25</v>
      </c>
    </row>
    <row r="756" spans="1:14" x14ac:dyDescent="0.2">
      <c r="A756">
        <v>201</v>
      </c>
      <c r="B756" s="5">
        <v>45208</v>
      </c>
      <c r="C756" s="5" t="str">
        <f>TEXT(Table2[[#This Row],[Date]], "MMM")</f>
        <v>Oct</v>
      </c>
      <c r="D756" s="8">
        <f>MONTH(Table2[[#This Row],[Date]])</f>
        <v>10</v>
      </c>
      <c r="E756" s="8">
        <f>YEAR(Table2[[#This Row],[Date]])</f>
        <v>2023</v>
      </c>
      <c r="F756" s="7" t="s">
        <v>214</v>
      </c>
      <c r="G756" s="7" t="s">
        <v>10</v>
      </c>
      <c r="H756" s="8">
        <v>56</v>
      </c>
      <c r="I756" s="8" t="str">
        <f>IF(Table2[[#This Row],[Age]] &lt; 19, "Teenagers", IF(Table2[[#This Row],[Age]] &lt;= 34, "Young Adults", IF(Table2[[#This Row],[Age]] &lt;= 45, "Adults", IF(Table2[[#This Row],[Age]] &lt;= 55, "Seniors", "Elderly")) ))</f>
        <v>Elderly</v>
      </c>
      <c r="J756" s="7" t="s">
        <v>16</v>
      </c>
      <c r="K756" s="8">
        <v>1</v>
      </c>
      <c r="L756" s="8" t="str">
        <f>IF(Table2[[#This Row],[Quantity]]=1, "Single Order", IF(Table2[[#This Row],[Quantity]]=2, "Small Order", IF(Table2[[#This Row],[Quantity]]=3, "Medium Order", "Bulk Order")))</f>
        <v>Single Order</v>
      </c>
      <c r="M756" s="10">
        <v>25</v>
      </c>
      <c r="N756" s="10">
        <v>25</v>
      </c>
    </row>
    <row r="757" spans="1:14" x14ac:dyDescent="0.2">
      <c r="A757">
        <v>208</v>
      </c>
      <c r="B757" s="5">
        <v>45203</v>
      </c>
      <c r="C757" s="5" t="str">
        <f>TEXT(Table2[[#This Row],[Date]], "MMM")</f>
        <v>Oct</v>
      </c>
      <c r="D757" s="8">
        <f>MONTH(Table2[[#This Row],[Date]])</f>
        <v>10</v>
      </c>
      <c r="E757" s="8">
        <f>YEAR(Table2[[#This Row],[Date]])</f>
        <v>2023</v>
      </c>
      <c r="F757" s="7" t="s">
        <v>221</v>
      </c>
      <c r="G757" s="7" t="s">
        <v>13</v>
      </c>
      <c r="H757" s="8">
        <v>34</v>
      </c>
      <c r="I757" s="8" t="str">
        <f>IF(Table2[[#This Row],[Age]] &lt; 19, "Teenagers", IF(Table2[[#This Row],[Age]] &lt;= 34, "Young Adults", IF(Table2[[#This Row],[Age]] &lt;= 45, "Adults", IF(Table2[[#This Row],[Age]] &lt;= 55, "Seniors", "Elderly")) ))</f>
        <v>Young Adults</v>
      </c>
      <c r="J757" s="7" t="s">
        <v>16</v>
      </c>
      <c r="K757" s="8">
        <v>4</v>
      </c>
      <c r="L757" s="8" t="str">
        <f>IF(Table2[[#This Row],[Quantity]]=1, "Single Order", IF(Table2[[#This Row],[Quantity]]=2, "Small Order", IF(Table2[[#This Row],[Quantity]]=3, "Medium Order", "Bulk Order")))</f>
        <v>Bulk Order</v>
      </c>
      <c r="M757" s="10">
        <v>50</v>
      </c>
      <c r="N757" s="10">
        <v>200</v>
      </c>
    </row>
    <row r="758" spans="1:14" x14ac:dyDescent="0.2">
      <c r="A758">
        <v>226</v>
      </c>
      <c r="B758" s="5">
        <v>45228</v>
      </c>
      <c r="C758" s="5" t="str">
        <f>TEXT(Table2[[#This Row],[Date]], "MMM")</f>
        <v>Oct</v>
      </c>
      <c r="D758" s="8">
        <f>MONTH(Table2[[#This Row],[Date]])</f>
        <v>10</v>
      </c>
      <c r="E758" s="8">
        <f>YEAR(Table2[[#This Row],[Date]])</f>
        <v>2023</v>
      </c>
      <c r="F758" s="7" t="s">
        <v>239</v>
      </c>
      <c r="G758" s="7" t="s">
        <v>13</v>
      </c>
      <c r="H758" s="8">
        <v>61</v>
      </c>
      <c r="I758" s="8" t="str">
        <f>IF(Table2[[#This Row],[Age]] &lt; 19, "Teenagers", IF(Table2[[#This Row],[Age]] &lt;= 34, "Young Adults", IF(Table2[[#This Row],[Age]] &lt;= 45, "Adults", IF(Table2[[#This Row],[Age]] &lt;= 55, "Seniors", "Elderly")) ))</f>
        <v>Elderly</v>
      </c>
      <c r="J758" s="7" t="s">
        <v>14</v>
      </c>
      <c r="K758" s="8">
        <v>1</v>
      </c>
      <c r="L758" s="8" t="str">
        <f>IF(Table2[[#This Row],[Quantity]]=1, "Single Order", IF(Table2[[#This Row],[Quantity]]=2, "Small Order", IF(Table2[[#This Row],[Quantity]]=3, "Medium Order", "Bulk Order")))</f>
        <v>Single Order</v>
      </c>
      <c r="M758" s="10">
        <v>50</v>
      </c>
      <c r="N758" s="10">
        <v>50</v>
      </c>
    </row>
    <row r="759" spans="1:14" x14ac:dyDescent="0.2">
      <c r="A759">
        <v>227</v>
      </c>
      <c r="B759" s="5">
        <v>45210</v>
      </c>
      <c r="C759" s="5" t="str">
        <f>TEXT(Table2[[#This Row],[Date]], "MMM")</f>
        <v>Oct</v>
      </c>
      <c r="D759" s="8">
        <f>MONTH(Table2[[#This Row],[Date]])</f>
        <v>10</v>
      </c>
      <c r="E759" s="8">
        <f>YEAR(Table2[[#This Row],[Date]])</f>
        <v>2023</v>
      </c>
      <c r="F759" s="7" t="s">
        <v>240</v>
      </c>
      <c r="G759" s="7" t="s">
        <v>10</v>
      </c>
      <c r="H759" s="8">
        <v>36</v>
      </c>
      <c r="I759" s="8" t="str">
        <f>IF(Table2[[#This Row],[Age]] &lt; 19, "Teenagers", IF(Table2[[#This Row],[Age]] &lt;= 34, "Young Adults", IF(Table2[[#This Row],[Age]] &lt;= 45, "Adults", IF(Table2[[#This Row],[Age]] &lt;= 55, "Seniors", "Elderly")) ))</f>
        <v>Adults</v>
      </c>
      <c r="J759" s="7" t="s">
        <v>16</v>
      </c>
      <c r="K759" s="8">
        <v>2</v>
      </c>
      <c r="L759" s="8" t="str">
        <f>IF(Table2[[#This Row],[Quantity]]=1, "Single Order", IF(Table2[[#This Row],[Quantity]]=2, "Small Order", IF(Table2[[#This Row],[Quantity]]=3, "Medium Order", "Bulk Order")))</f>
        <v>Small Order</v>
      </c>
      <c r="M759" s="10">
        <v>50</v>
      </c>
      <c r="N759" s="10">
        <v>100</v>
      </c>
    </row>
    <row r="760" spans="1:14" x14ac:dyDescent="0.2">
      <c r="A760">
        <v>229</v>
      </c>
      <c r="B760" s="5">
        <v>45228</v>
      </c>
      <c r="C760" s="5" t="str">
        <f>TEXT(Table2[[#This Row],[Date]], "MMM")</f>
        <v>Oct</v>
      </c>
      <c r="D760" s="8">
        <f>MONTH(Table2[[#This Row],[Date]])</f>
        <v>10</v>
      </c>
      <c r="E760" s="8">
        <f>YEAR(Table2[[#This Row],[Date]])</f>
        <v>2023</v>
      </c>
      <c r="F760" s="7" t="s">
        <v>242</v>
      </c>
      <c r="G760" s="7" t="s">
        <v>10</v>
      </c>
      <c r="H760" s="8">
        <v>58</v>
      </c>
      <c r="I760" s="8" t="str">
        <f>IF(Table2[[#This Row],[Age]] &lt; 19, "Teenagers", IF(Table2[[#This Row],[Age]] &lt;= 34, "Young Adults", IF(Table2[[#This Row],[Age]] &lt;= 45, "Adults", IF(Table2[[#This Row],[Age]] &lt;= 55, "Seniors", "Elderly")) ))</f>
        <v>Elderly</v>
      </c>
      <c r="J760" s="7" t="s">
        <v>11</v>
      </c>
      <c r="K760" s="8">
        <v>3</v>
      </c>
      <c r="L760" s="8" t="str">
        <f>IF(Table2[[#This Row],[Quantity]]=1, "Single Order", IF(Table2[[#This Row],[Quantity]]=2, "Small Order", IF(Table2[[#This Row],[Quantity]]=3, "Medium Order", "Bulk Order")))</f>
        <v>Medium Order</v>
      </c>
      <c r="M760" s="10">
        <v>30</v>
      </c>
      <c r="N760" s="10">
        <v>90</v>
      </c>
    </row>
    <row r="761" spans="1:14" x14ac:dyDescent="0.2">
      <c r="A761">
        <v>247</v>
      </c>
      <c r="B761" s="5">
        <v>45203</v>
      </c>
      <c r="C761" s="5" t="str">
        <f>TEXT(Table2[[#This Row],[Date]], "MMM")</f>
        <v>Oct</v>
      </c>
      <c r="D761" s="8">
        <f>MONTH(Table2[[#This Row],[Date]])</f>
        <v>10</v>
      </c>
      <c r="E761" s="8">
        <f>YEAR(Table2[[#This Row],[Date]])</f>
        <v>2023</v>
      </c>
      <c r="F761" s="7" t="s">
        <v>260</v>
      </c>
      <c r="G761" s="7" t="s">
        <v>10</v>
      </c>
      <c r="H761" s="8">
        <v>41</v>
      </c>
      <c r="I761" s="8" t="str">
        <f>IF(Table2[[#This Row],[Age]] &lt; 19, "Teenagers", IF(Table2[[#This Row],[Age]] &lt;= 34, "Young Adults", IF(Table2[[#This Row],[Age]] &lt;= 45, "Adults", IF(Table2[[#This Row],[Age]] &lt;= 55, "Seniors", "Elderly")) ))</f>
        <v>Adults</v>
      </c>
      <c r="J761" s="7" t="s">
        <v>16</v>
      </c>
      <c r="K761" s="8">
        <v>2</v>
      </c>
      <c r="L761" s="8" t="str">
        <f>IF(Table2[[#This Row],[Quantity]]=1, "Single Order", IF(Table2[[#This Row],[Quantity]]=2, "Small Order", IF(Table2[[#This Row],[Quantity]]=3, "Medium Order", "Bulk Order")))</f>
        <v>Small Order</v>
      </c>
      <c r="M761" s="10">
        <v>30</v>
      </c>
      <c r="N761" s="10">
        <v>60</v>
      </c>
    </row>
    <row r="762" spans="1:14" x14ac:dyDescent="0.2">
      <c r="A762">
        <v>249</v>
      </c>
      <c r="B762" s="5">
        <v>45219</v>
      </c>
      <c r="C762" s="5" t="str">
        <f>TEXT(Table2[[#This Row],[Date]], "MMM")</f>
        <v>Oct</v>
      </c>
      <c r="D762" s="8">
        <f>MONTH(Table2[[#This Row],[Date]])</f>
        <v>10</v>
      </c>
      <c r="E762" s="8">
        <f>YEAR(Table2[[#This Row],[Date]])</f>
        <v>2023</v>
      </c>
      <c r="F762" s="7" t="s">
        <v>262</v>
      </c>
      <c r="G762" s="7" t="s">
        <v>10</v>
      </c>
      <c r="H762" s="8">
        <v>20</v>
      </c>
      <c r="I762" s="8" t="str">
        <f>IF(Table2[[#This Row],[Age]] &lt; 19, "Teenagers", IF(Table2[[#This Row],[Age]] &lt;= 34, "Young Adults", IF(Table2[[#This Row],[Age]] &lt;= 45, "Adults", IF(Table2[[#This Row],[Age]] &lt;= 55, "Seniors", "Elderly")) ))</f>
        <v>Young Adults</v>
      </c>
      <c r="J762" s="7" t="s">
        <v>14</v>
      </c>
      <c r="K762" s="8">
        <v>1</v>
      </c>
      <c r="L762" s="8" t="str">
        <f>IF(Table2[[#This Row],[Quantity]]=1, "Single Order", IF(Table2[[#This Row],[Quantity]]=2, "Small Order", IF(Table2[[#This Row],[Quantity]]=3, "Medium Order", "Bulk Order")))</f>
        <v>Single Order</v>
      </c>
      <c r="M762" s="10">
        <v>50</v>
      </c>
      <c r="N762" s="10">
        <v>50</v>
      </c>
    </row>
    <row r="763" spans="1:14" x14ac:dyDescent="0.2">
      <c r="A763">
        <v>250</v>
      </c>
      <c r="B763" s="5">
        <v>45222</v>
      </c>
      <c r="C763" s="5" t="str">
        <f>TEXT(Table2[[#This Row],[Date]], "MMM")</f>
        <v>Oct</v>
      </c>
      <c r="D763" s="8">
        <f>MONTH(Table2[[#This Row],[Date]])</f>
        <v>10</v>
      </c>
      <c r="E763" s="8">
        <f>YEAR(Table2[[#This Row],[Date]])</f>
        <v>2023</v>
      </c>
      <c r="F763" s="7" t="s">
        <v>263</v>
      </c>
      <c r="G763" s="7" t="s">
        <v>10</v>
      </c>
      <c r="H763" s="8">
        <v>48</v>
      </c>
      <c r="I763" s="8" t="str">
        <f>IF(Table2[[#This Row],[Age]] &lt; 19, "Teenagers", IF(Table2[[#This Row],[Age]] &lt;= 34, "Young Adults", IF(Table2[[#This Row],[Age]] &lt;= 45, "Adults", IF(Table2[[#This Row],[Age]] &lt;= 55, "Seniors", "Elderly")) ))</f>
        <v>Seniors</v>
      </c>
      <c r="J763" s="7" t="s">
        <v>16</v>
      </c>
      <c r="K763" s="8">
        <v>1</v>
      </c>
      <c r="L763" s="8" t="str">
        <f>IF(Table2[[#This Row],[Quantity]]=1, "Single Order", IF(Table2[[#This Row],[Quantity]]=2, "Small Order", IF(Table2[[#This Row],[Quantity]]=3, "Medium Order", "Bulk Order")))</f>
        <v>Single Order</v>
      </c>
      <c r="M763" s="10">
        <v>50</v>
      </c>
      <c r="N763" s="10">
        <v>50</v>
      </c>
    </row>
    <row r="764" spans="1:14" x14ac:dyDescent="0.2">
      <c r="A764">
        <v>276</v>
      </c>
      <c r="B764" s="5">
        <v>45201</v>
      </c>
      <c r="C764" s="5" t="str">
        <f>TEXT(Table2[[#This Row],[Date]], "MMM")</f>
        <v>Oct</v>
      </c>
      <c r="D764" s="8">
        <f>MONTH(Table2[[#This Row],[Date]])</f>
        <v>10</v>
      </c>
      <c r="E764" s="8">
        <f>YEAR(Table2[[#This Row],[Date]])</f>
        <v>2023</v>
      </c>
      <c r="F764" s="7" t="s">
        <v>289</v>
      </c>
      <c r="G764" s="7" t="s">
        <v>13</v>
      </c>
      <c r="H764" s="8">
        <v>21</v>
      </c>
      <c r="I764" s="8" t="str">
        <f>IF(Table2[[#This Row],[Age]] &lt; 19, "Teenagers", IF(Table2[[#This Row],[Age]] &lt;= 34, "Young Adults", IF(Table2[[#This Row],[Age]] &lt;= 45, "Adults", IF(Table2[[#This Row],[Age]] &lt;= 55, "Seniors", "Elderly")) ))</f>
        <v>Young Adults</v>
      </c>
      <c r="J764" s="7" t="s">
        <v>11</v>
      </c>
      <c r="K764" s="8">
        <v>4</v>
      </c>
      <c r="L764" s="8" t="str">
        <f>IF(Table2[[#This Row],[Quantity]]=1, "Single Order", IF(Table2[[#This Row],[Quantity]]=2, "Small Order", IF(Table2[[#This Row],[Quantity]]=3, "Medium Order", "Bulk Order")))</f>
        <v>Bulk Order</v>
      </c>
      <c r="M764" s="10">
        <v>25</v>
      </c>
      <c r="N764" s="10">
        <v>100</v>
      </c>
    </row>
    <row r="765" spans="1:14" x14ac:dyDescent="0.2">
      <c r="A765">
        <v>286</v>
      </c>
      <c r="B765" s="5">
        <v>45208</v>
      </c>
      <c r="C765" s="5" t="str">
        <f>TEXT(Table2[[#This Row],[Date]], "MMM")</f>
        <v>Oct</v>
      </c>
      <c r="D765" s="8">
        <f>MONTH(Table2[[#This Row],[Date]])</f>
        <v>10</v>
      </c>
      <c r="E765" s="8">
        <f>YEAR(Table2[[#This Row],[Date]])</f>
        <v>2023</v>
      </c>
      <c r="F765" s="7" t="s">
        <v>299</v>
      </c>
      <c r="G765" s="7" t="s">
        <v>10</v>
      </c>
      <c r="H765" s="8">
        <v>55</v>
      </c>
      <c r="I765" s="8" t="str">
        <f>IF(Table2[[#This Row],[Age]] &lt; 19, "Teenagers", IF(Table2[[#This Row],[Age]] &lt;= 34, "Young Adults", IF(Table2[[#This Row],[Age]] &lt;= 45, "Adults", IF(Table2[[#This Row],[Age]] &lt;= 55, "Seniors", "Elderly")) ))</f>
        <v>Seniors</v>
      </c>
      <c r="J765" s="7" t="s">
        <v>16</v>
      </c>
      <c r="K765" s="8">
        <v>2</v>
      </c>
      <c r="L765" s="8" t="str">
        <f>IF(Table2[[#This Row],[Quantity]]=1, "Single Order", IF(Table2[[#This Row],[Quantity]]=2, "Small Order", IF(Table2[[#This Row],[Quantity]]=3, "Medium Order", "Bulk Order")))</f>
        <v>Small Order</v>
      </c>
      <c r="M765" s="10">
        <v>25</v>
      </c>
      <c r="N765" s="10">
        <v>50</v>
      </c>
    </row>
    <row r="766" spans="1:14" x14ac:dyDescent="0.2">
      <c r="A766">
        <v>290</v>
      </c>
      <c r="B766" s="5">
        <v>45203</v>
      </c>
      <c r="C766" s="5" t="str">
        <f>TEXT(Table2[[#This Row],[Date]], "MMM")</f>
        <v>Oct</v>
      </c>
      <c r="D766" s="8">
        <f>MONTH(Table2[[#This Row],[Date]])</f>
        <v>10</v>
      </c>
      <c r="E766" s="8">
        <f>YEAR(Table2[[#This Row],[Date]])</f>
        <v>2023</v>
      </c>
      <c r="F766" s="7" t="s">
        <v>303</v>
      </c>
      <c r="G766" s="7" t="s">
        <v>13</v>
      </c>
      <c r="H766" s="8">
        <v>30</v>
      </c>
      <c r="I766" s="8" t="str">
        <f>IF(Table2[[#This Row],[Age]] &lt; 19, "Teenagers", IF(Table2[[#This Row],[Age]] &lt;= 34, "Young Adults", IF(Table2[[#This Row],[Age]] &lt;= 45, "Adults", IF(Table2[[#This Row],[Age]] &lt;= 55, "Seniors", "Elderly")) ))</f>
        <v>Young Adults</v>
      </c>
      <c r="J766" s="7" t="s">
        <v>11</v>
      </c>
      <c r="K766" s="8">
        <v>2</v>
      </c>
      <c r="L766" s="8" t="str">
        <f>IF(Table2[[#This Row],[Quantity]]=1, "Single Order", IF(Table2[[#This Row],[Quantity]]=2, "Small Order", IF(Table2[[#This Row],[Quantity]]=3, "Medium Order", "Bulk Order")))</f>
        <v>Small Order</v>
      </c>
      <c r="M766" s="10">
        <v>300</v>
      </c>
      <c r="N766" s="10">
        <v>600</v>
      </c>
    </row>
    <row r="767" spans="1:14" x14ac:dyDescent="0.2">
      <c r="A767">
        <v>310</v>
      </c>
      <c r="B767" s="5">
        <v>45211</v>
      </c>
      <c r="C767" s="5" t="str">
        <f>TEXT(Table2[[#This Row],[Date]], "MMM")</f>
        <v>Oct</v>
      </c>
      <c r="D767" s="8">
        <f>MONTH(Table2[[#This Row],[Date]])</f>
        <v>10</v>
      </c>
      <c r="E767" s="8">
        <f>YEAR(Table2[[#This Row],[Date]])</f>
        <v>2023</v>
      </c>
      <c r="F767" s="7" t="s">
        <v>323</v>
      </c>
      <c r="G767" s="7" t="s">
        <v>13</v>
      </c>
      <c r="H767" s="8">
        <v>28</v>
      </c>
      <c r="I767" s="8" t="str">
        <f>IF(Table2[[#This Row],[Age]] &lt; 19, "Teenagers", IF(Table2[[#This Row],[Age]] &lt;= 34, "Young Adults", IF(Table2[[#This Row],[Age]] &lt;= 45, "Adults", IF(Table2[[#This Row],[Age]] &lt;= 55, "Seniors", "Elderly")) ))</f>
        <v>Young Adults</v>
      </c>
      <c r="J767" s="7" t="s">
        <v>11</v>
      </c>
      <c r="K767" s="8">
        <v>1</v>
      </c>
      <c r="L767" s="8" t="str">
        <f>IF(Table2[[#This Row],[Quantity]]=1, "Single Order", IF(Table2[[#This Row],[Quantity]]=2, "Small Order", IF(Table2[[#This Row],[Quantity]]=3, "Medium Order", "Bulk Order")))</f>
        <v>Single Order</v>
      </c>
      <c r="M767" s="10">
        <v>25</v>
      </c>
      <c r="N767" s="10">
        <v>25</v>
      </c>
    </row>
    <row r="768" spans="1:14" x14ac:dyDescent="0.2">
      <c r="A768">
        <v>318</v>
      </c>
      <c r="B768" s="5">
        <v>45223</v>
      </c>
      <c r="C768" s="5" t="str">
        <f>TEXT(Table2[[#This Row],[Date]], "MMM")</f>
        <v>Oct</v>
      </c>
      <c r="D768" s="8">
        <f>MONTH(Table2[[#This Row],[Date]])</f>
        <v>10</v>
      </c>
      <c r="E768" s="8">
        <f>YEAR(Table2[[#This Row],[Date]])</f>
        <v>2023</v>
      </c>
      <c r="F768" s="7" t="s">
        <v>331</v>
      </c>
      <c r="G768" s="7" t="s">
        <v>10</v>
      </c>
      <c r="H768" s="8">
        <v>61</v>
      </c>
      <c r="I768" s="8" t="str">
        <f>IF(Table2[[#This Row],[Age]] &lt; 19, "Teenagers", IF(Table2[[#This Row],[Age]] &lt;= 34, "Young Adults", IF(Table2[[#This Row],[Age]] &lt;= 45, "Adults", IF(Table2[[#This Row],[Age]] &lt;= 55, "Seniors", "Elderly")) ))</f>
        <v>Elderly</v>
      </c>
      <c r="J768" s="7" t="s">
        <v>14</v>
      </c>
      <c r="K768" s="8">
        <v>1</v>
      </c>
      <c r="L768" s="8" t="str">
        <f>IF(Table2[[#This Row],[Quantity]]=1, "Single Order", IF(Table2[[#This Row],[Quantity]]=2, "Small Order", IF(Table2[[#This Row],[Quantity]]=3, "Medium Order", "Bulk Order")))</f>
        <v>Single Order</v>
      </c>
      <c r="M768" s="10">
        <v>25</v>
      </c>
      <c r="N768" s="10">
        <v>25</v>
      </c>
    </row>
    <row r="769" spans="1:14" x14ac:dyDescent="0.2">
      <c r="A769">
        <v>319</v>
      </c>
      <c r="B769" s="5">
        <v>45204</v>
      </c>
      <c r="C769" s="5" t="str">
        <f>TEXT(Table2[[#This Row],[Date]], "MMM")</f>
        <v>Oct</v>
      </c>
      <c r="D769" s="8">
        <f>MONTH(Table2[[#This Row],[Date]])</f>
        <v>10</v>
      </c>
      <c r="E769" s="8">
        <f>YEAR(Table2[[#This Row],[Date]])</f>
        <v>2023</v>
      </c>
      <c r="F769" s="7" t="s">
        <v>332</v>
      </c>
      <c r="G769" s="7" t="s">
        <v>10</v>
      </c>
      <c r="H769" s="8">
        <v>31</v>
      </c>
      <c r="I769" s="8" t="str">
        <f>IF(Table2[[#This Row],[Age]] &lt; 19, "Teenagers", IF(Table2[[#This Row],[Age]] &lt;= 34, "Young Adults", IF(Table2[[#This Row],[Age]] &lt;= 45, "Adults", IF(Table2[[#This Row],[Age]] &lt;= 55, "Seniors", "Elderly")) ))</f>
        <v>Young Adults</v>
      </c>
      <c r="J769" s="7" t="s">
        <v>14</v>
      </c>
      <c r="K769" s="8">
        <v>1</v>
      </c>
      <c r="L769" s="8" t="str">
        <f>IF(Table2[[#This Row],[Quantity]]=1, "Single Order", IF(Table2[[#This Row],[Quantity]]=2, "Small Order", IF(Table2[[#This Row],[Quantity]]=3, "Medium Order", "Bulk Order")))</f>
        <v>Single Order</v>
      </c>
      <c r="M769" s="10">
        <v>500</v>
      </c>
      <c r="N769" s="10">
        <v>500</v>
      </c>
    </row>
    <row r="770" spans="1:14" x14ac:dyDescent="0.2">
      <c r="A770">
        <v>324</v>
      </c>
      <c r="B770" s="5">
        <v>45226</v>
      </c>
      <c r="C770" s="5" t="str">
        <f>TEXT(Table2[[#This Row],[Date]], "MMM")</f>
        <v>Oct</v>
      </c>
      <c r="D770" s="8">
        <f>MONTH(Table2[[#This Row],[Date]])</f>
        <v>10</v>
      </c>
      <c r="E770" s="8">
        <f>YEAR(Table2[[#This Row],[Date]])</f>
        <v>2023</v>
      </c>
      <c r="F770" s="7" t="s">
        <v>337</v>
      </c>
      <c r="G770" s="7" t="s">
        <v>13</v>
      </c>
      <c r="H770" s="8">
        <v>52</v>
      </c>
      <c r="I770" s="8" t="str">
        <f>IF(Table2[[#This Row],[Age]] &lt; 19, "Teenagers", IF(Table2[[#This Row],[Age]] &lt;= 34, "Young Adults", IF(Table2[[#This Row],[Age]] &lt;= 45, "Adults", IF(Table2[[#This Row],[Age]] &lt;= 55, "Seniors", "Elderly")) ))</f>
        <v>Seniors</v>
      </c>
      <c r="J770" s="7" t="s">
        <v>16</v>
      </c>
      <c r="K770" s="8">
        <v>3</v>
      </c>
      <c r="L770" s="8" t="str">
        <f>IF(Table2[[#This Row],[Quantity]]=1, "Single Order", IF(Table2[[#This Row],[Quantity]]=2, "Small Order", IF(Table2[[#This Row],[Quantity]]=3, "Medium Order", "Bulk Order")))</f>
        <v>Medium Order</v>
      </c>
      <c r="M770" s="10">
        <v>50</v>
      </c>
      <c r="N770" s="10">
        <v>150</v>
      </c>
    </row>
    <row r="771" spans="1:14" x14ac:dyDescent="0.2">
      <c r="A771">
        <v>340</v>
      </c>
      <c r="B771" s="5">
        <v>45218</v>
      </c>
      <c r="C771" s="5" t="str">
        <f>TEXT(Table2[[#This Row],[Date]], "MMM")</f>
        <v>Oct</v>
      </c>
      <c r="D771" s="8">
        <f>MONTH(Table2[[#This Row],[Date]])</f>
        <v>10</v>
      </c>
      <c r="E771" s="8">
        <f>YEAR(Table2[[#This Row],[Date]])</f>
        <v>2023</v>
      </c>
      <c r="F771" s="7" t="s">
        <v>353</v>
      </c>
      <c r="G771" s="7" t="s">
        <v>13</v>
      </c>
      <c r="H771" s="8">
        <v>36</v>
      </c>
      <c r="I771" s="8" t="str">
        <f>IF(Table2[[#This Row],[Age]] &lt; 19, "Teenagers", IF(Table2[[#This Row],[Age]] &lt;= 34, "Young Adults", IF(Table2[[#This Row],[Age]] &lt;= 45, "Adults", IF(Table2[[#This Row],[Age]] &lt;= 55, "Seniors", "Elderly")) ))</f>
        <v>Adults</v>
      </c>
      <c r="J771" s="7" t="s">
        <v>14</v>
      </c>
      <c r="K771" s="8">
        <v>4</v>
      </c>
      <c r="L771" s="8" t="str">
        <f>IF(Table2[[#This Row],[Quantity]]=1, "Single Order", IF(Table2[[#This Row],[Quantity]]=2, "Small Order", IF(Table2[[#This Row],[Quantity]]=3, "Medium Order", "Bulk Order")))</f>
        <v>Bulk Order</v>
      </c>
      <c r="M771" s="10">
        <v>300</v>
      </c>
      <c r="N771" s="10">
        <v>1200</v>
      </c>
    </row>
    <row r="772" spans="1:14" x14ac:dyDescent="0.2">
      <c r="A772">
        <v>342</v>
      </c>
      <c r="B772" s="5">
        <v>45223</v>
      </c>
      <c r="C772" s="5" t="str">
        <f>TEXT(Table2[[#This Row],[Date]], "MMM")</f>
        <v>Oct</v>
      </c>
      <c r="D772" s="8">
        <f>MONTH(Table2[[#This Row],[Date]])</f>
        <v>10</v>
      </c>
      <c r="E772" s="8">
        <f>YEAR(Table2[[#This Row],[Date]])</f>
        <v>2023</v>
      </c>
      <c r="F772" s="7" t="s">
        <v>355</v>
      </c>
      <c r="G772" s="7" t="s">
        <v>13</v>
      </c>
      <c r="H772" s="8">
        <v>43</v>
      </c>
      <c r="I772" s="8" t="str">
        <f>IF(Table2[[#This Row],[Age]] &lt; 19, "Teenagers", IF(Table2[[#This Row],[Age]] &lt;= 34, "Young Adults", IF(Table2[[#This Row],[Age]] &lt;= 45, "Adults", IF(Table2[[#This Row],[Age]] &lt;= 55, "Seniors", "Elderly")) ))</f>
        <v>Adults</v>
      </c>
      <c r="J772" s="7" t="s">
        <v>14</v>
      </c>
      <c r="K772" s="8">
        <v>4</v>
      </c>
      <c r="L772" s="8" t="str">
        <f>IF(Table2[[#This Row],[Quantity]]=1, "Single Order", IF(Table2[[#This Row],[Quantity]]=2, "Small Order", IF(Table2[[#This Row],[Quantity]]=3, "Medium Order", "Bulk Order")))</f>
        <v>Bulk Order</v>
      </c>
      <c r="M772" s="10">
        <v>500</v>
      </c>
      <c r="N772" s="10">
        <v>2000</v>
      </c>
    </row>
    <row r="773" spans="1:14" x14ac:dyDescent="0.2">
      <c r="A773">
        <v>349</v>
      </c>
      <c r="B773" s="5">
        <v>45225</v>
      </c>
      <c r="C773" s="5" t="str">
        <f>TEXT(Table2[[#This Row],[Date]], "MMM")</f>
        <v>Oct</v>
      </c>
      <c r="D773" s="8">
        <f>MONTH(Table2[[#This Row],[Date]])</f>
        <v>10</v>
      </c>
      <c r="E773" s="8">
        <f>YEAR(Table2[[#This Row],[Date]])</f>
        <v>2023</v>
      </c>
      <c r="F773" s="7" t="s">
        <v>362</v>
      </c>
      <c r="G773" s="7" t="s">
        <v>13</v>
      </c>
      <c r="H773" s="8">
        <v>57</v>
      </c>
      <c r="I773" s="8" t="str">
        <f>IF(Table2[[#This Row],[Age]] &lt; 19, "Teenagers", IF(Table2[[#This Row],[Age]] &lt;= 34, "Young Adults", IF(Table2[[#This Row],[Age]] &lt;= 45, "Adults", IF(Table2[[#This Row],[Age]] &lt;= 55, "Seniors", "Elderly")) ))</f>
        <v>Elderly</v>
      </c>
      <c r="J773" s="7" t="s">
        <v>11</v>
      </c>
      <c r="K773" s="8">
        <v>1</v>
      </c>
      <c r="L773" s="8" t="str">
        <f>IF(Table2[[#This Row],[Quantity]]=1, "Single Order", IF(Table2[[#This Row],[Quantity]]=2, "Small Order", IF(Table2[[#This Row],[Quantity]]=3, "Medium Order", "Bulk Order")))</f>
        <v>Single Order</v>
      </c>
      <c r="M773" s="10">
        <v>50</v>
      </c>
      <c r="N773" s="10">
        <v>50</v>
      </c>
    </row>
    <row r="774" spans="1:14" x14ac:dyDescent="0.2">
      <c r="A774">
        <v>350</v>
      </c>
      <c r="B774" s="5">
        <v>45216</v>
      </c>
      <c r="C774" s="5" t="str">
        <f>TEXT(Table2[[#This Row],[Date]], "MMM")</f>
        <v>Oct</v>
      </c>
      <c r="D774" s="8">
        <f>MONTH(Table2[[#This Row],[Date]])</f>
        <v>10</v>
      </c>
      <c r="E774" s="8">
        <f>YEAR(Table2[[#This Row],[Date]])</f>
        <v>2023</v>
      </c>
      <c r="F774" s="7" t="s">
        <v>363</v>
      </c>
      <c r="G774" s="7" t="s">
        <v>10</v>
      </c>
      <c r="H774" s="8">
        <v>25</v>
      </c>
      <c r="I774" s="8" t="str">
        <f>IF(Table2[[#This Row],[Age]] &lt; 19, "Teenagers", IF(Table2[[#This Row],[Age]] &lt;= 34, "Young Adults", IF(Table2[[#This Row],[Age]] &lt;= 45, "Adults", IF(Table2[[#This Row],[Age]] &lt;= 55, "Seniors", "Elderly")) ))</f>
        <v>Young Adults</v>
      </c>
      <c r="J774" s="7" t="s">
        <v>11</v>
      </c>
      <c r="K774" s="8">
        <v>3</v>
      </c>
      <c r="L774" s="8" t="str">
        <f>IF(Table2[[#This Row],[Quantity]]=1, "Single Order", IF(Table2[[#This Row],[Quantity]]=2, "Small Order", IF(Table2[[#This Row],[Quantity]]=3, "Medium Order", "Bulk Order")))</f>
        <v>Medium Order</v>
      </c>
      <c r="M774" s="10">
        <v>25</v>
      </c>
      <c r="N774" s="10">
        <v>75</v>
      </c>
    </row>
    <row r="775" spans="1:14" x14ac:dyDescent="0.2">
      <c r="A775">
        <v>370</v>
      </c>
      <c r="B775" s="5">
        <v>45215</v>
      </c>
      <c r="C775" s="5" t="str">
        <f>TEXT(Table2[[#This Row],[Date]], "MMM")</f>
        <v>Oct</v>
      </c>
      <c r="D775" s="8">
        <f>MONTH(Table2[[#This Row],[Date]])</f>
        <v>10</v>
      </c>
      <c r="E775" s="8">
        <f>YEAR(Table2[[#This Row],[Date]])</f>
        <v>2023</v>
      </c>
      <c r="F775" s="7" t="s">
        <v>383</v>
      </c>
      <c r="G775" s="7" t="s">
        <v>10</v>
      </c>
      <c r="H775" s="8">
        <v>23</v>
      </c>
      <c r="I775" s="8" t="str">
        <f>IF(Table2[[#This Row],[Age]] &lt; 19, "Teenagers", IF(Table2[[#This Row],[Age]] &lt;= 34, "Young Adults", IF(Table2[[#This Row],[Age]] &lt;= 45, "Adults", IF(Table2[[#This Row],[Age]] &lt;= 55, "Seniors", "Elderly")) ))</f>
        <v>Young Adults</v>
      </c>
      <c r="J775" s="7" t="s">
        <v>16</v>
      </c>
      <c r="K775" s="8">
        <v>2</v>
      </c>
      <c r="L775" s="8" t="str">
        <f>IF(Table2[[#This Row],[Quantity]]=1, "Single Order", IF(Table2[[#This Row],[Quantity]]=2, "Small Order", IF(Table2[[#This Row],[Quantity]]=3, "Medium Order", "Bulk Order")))</f>
        <v>Small Order</v>
      </c>
      <c r="M775" s="10">
        <v>30</v>
      </c>
      <c r="N775" s="10">
        <v>60</v>
      </c>
    </row>
    <row r="776" spans="1:14" x14ac:dyDescent="0.2">
      <c r="A776">
        <v>373</v>
      </c>
      <c r="B776" s="5">
        <v>45202</v>
      </c>
      <c r="C776" s="5" t="str">
        <f>TEXT(Table2[[#This Row],[Date]], "MMM")</f>
        <v>Oct</v>
      </c>
      <c r="D776" s="8">
        <f>MONTH(Table2[[#This Row],[Date]])</f>
        <v>10</v>
      </c>
      <c r="E776" s="8">
        <f>YEAR(Table2[[#This Row],[Date]])</f>
        <v>2023</v>
      </c>
      <c r="F776" s="7" t="s">
        <v>386</v>
      </c>
      <c r="G776" s="7" t="s">
        <v>13</v>
      </c>
      <c r="H776" s="8">
        <v>25</v>
      </c>
      <c r="I776" s="8" t="str">
        <f>IF(Table2[[#This Row],[Age]] &lt; 19, "Teenagers", IF(Table2[[#This Row],[Age]] &lt;= 34, "Young Adults", IF(Table2[[#This Row],[Age]] &lt;= 45, "Adults", IF(Table2[[#This Row],[Age]] &lt;= 55, "Seniors", "Elderly")) ))</f>
        <v>Young Adults</v>
      </c>
      <c r="J776" s="7" t="s">
        <v>11</v>
      </c>
      <c r="K776" s="8">
        <v>2</v>
      </c>
      <c r="L776" s="8" t="str">
        <f>IF(Table2[[#This Row],[Quantity]]=1, "Single Order", IF(Table2[[#This Row],[Quantity]]=2, "Small Order", IF(Table2[[#This Row],[Quantity]]=3, "Medium Order", "Bulk Order")))</f>
        <v>Small Order</v>
      </c>
      <c r="M776" s="10">
        <v>300</v>
      </c>
      <c r="N776" s="10">
        <v>600</v>
      </c>
    </row>
    <row r="777" spans="1:14" x14ac:dyDescent="0.2">
      <c r="A777">
        <v>385</v>
      </c>
      <c r="B777" s="5">
        <v>45205</v>
      </c>
      <c r="C777" s="5" t="str">
        <f>TEXT(Table2[[#This Row],[Date]], "MMM")</f>
        <v>Oct</v>
      </c>
      <c r="D777" s="8">
        <f>MONTH(Table2[[#This Row],[Date]])</f>
        <v>10</v>
      </c>
      <c r="E777" s="8">
        <f>YEAR(Table2[[#This Row],[Date]])</f>
        <v>2023</v>
      </c>
      <c r="F777" s="7" t="s">
        <v>398</v>
      </c>
      <c r="G777" s="7" t="s">
        <v>10</v>
      </c>
      <c r="H777" s="8">
        <v>50</v>
      </c>
      <c r="I777" s="8" t="str">
        <f>IF(Table2[[#This Row],[Age]] &lt; 19, "Teenagers", IF(Table2[[#This Row],[Age]] &lt;= 34, "Young Adults", IF(Table2[[#This Row],[Age]] &lt;= 45, "Adults", IF(Table2[[#This Row],[Age]] &lt;= 55, "Seniors", "Elderly")) ))</f>
        <v>Seniors</v>
      </c>
      <c r="J777" s="7" t="s">
        <v>16</v>
      </c>
      <c r="K777" s="8">
        <v>3</v>
      </c>
      <c r="L777" s="8" t="str">
        <f>IF(Table2[[#This Row],[Quantity]]=1, "Single Order", IF(Table2[[#This Row],[Quantity]]=2, "Small Order", IF(Table2[[#This Row],[Quantity]]=3, "Medium Order", "Bulk Order")))</f>
        <v>Medium Order</v>
      </c>
      <c r="M777" s="10">
        <v>500</v>
      </c>
      <c r="N777" s="10">
        <v>1500</v>
      </c>
    </row>
    <row r="778" spans="1:14" x14ac:dyDescent="0.2">
      <c r="A778">
        <v>393</v>
      </c>
      <c r="B778" s="5">
        <v>45210</v>
      </c>
      <c r="C778" s="5" t="str">
        <f>TEXT(Table2[[#This Row],[Date]], "MMM")</f>
        <v>Oct</v>
      </c>
      <c r="D778" s="8">
        <f>MONTH(Table2[[#This Row],[Date]])</f>
        <v>10</v>
      </c>
      <c r="E778" s="8">
        <f>YEAR(Table2[[#This Row],[Date]])</f>
        <v>2023</v>
      </c>
      <c r="F778" s="7" t="s">
        <v>406</v>
      </c>
      <c r="G778" s="7" t="s">
        <v>13</v>
      </c>
      <c r="H778" s="8">
        <v>22</v>
      </c>
      <c r="I778" s="8" t="str">
        <f>IF(Table2[[#This Row],[Age]] &lt; 19, "Teenagers", IF(Table2[[#This Row],[Age]] &lt;= 34, "Young Adults", IF(Table2[[#This Row],[Age]] &lt;= 45, "Adults", IF(Table2[[#This Row],[Age]] &lt;= 55, "Seniors", "Elderly")) ))</f>
        <v>Young Adults</v>
      </c>
      <c r="J778" s="7" t="s">
        <v>11</v>
      </c>
      <c r="K778" s="8">
        <v>2</v>
      </c>
      <c r="L778" s="8" t="str">
        <f>IF(Table2[[#This Row],[Quantity]]=1, "Single Order", IF(Table2[[#This Row],[Quantity]]=2, "Small Order", IF(Table2[[#This Row],[Quantity]]=3, "Medium Order", "Bulk Order")))</f>
        <v>Small Order</v>
      </c>
      <c r="M778" s="10">
        <v>500</v>
      </c>
      <c r="N778" s="10">
        <v>1000</v>
      </c>
    </row>
    <row r="779" spans="1:14" x14ac:dyDescent="0.2">
      <c r="A779">
        <v>401</v>
      </c>
      <c r="B779" s="5">
        <v>45210</v>
      </c>
      <c r="C779" s="5" t="str">
        <f>TEXT(Table2[[#This Row],[Date]], "MMM")</f>
        <v>Oct</v>
      </c>
      <c r="D779" s="8">
        <f>MONTH(Table2[[#This Row],[Date]])</f>
        <v>10</v>
      </c>
      <c r="E779" s="8">
        <f>YEAR(Table2[[#This Row],[Date]])</f>
        <v>2023</v>
      </c>
      <c r="F779" s="7" t="s">
        <v>414</v>
      </c>
      <c r="G779" s="7" t="s">
        <v>13</v>
      </c>
      <c r="H779" s="8">
        <v>62</v>
      </c>
      <c r="I779" s="8" t="str">
        <f>IF(Table2[[#This Row],[Age]] &lt; 19, "Teenagers", IF(Table2[[#This Row],[Age]] &lt;= 34, "Young Adults", IF(Table2[[#This Row],[Age]] &lt;= 45, "Adults", IF(Table2[[#This Row],[Age]] &lt;= 55, "Seniors", "Elderly")) ))</f>
        <v>Elderly</v>
      </c>
      <c r="J779" s="7" t="s">
        <v>14</v>
      </c>
      <c r="K779" s="8">
        <v>1</v>
      </c>
      <c r="L779" s="8" t="str">
        <f>IF(Table2[[#This Row],[Quantity]]=1, "Single Order", IF(Table2[[#This Row],[Quantity]]=2, "Small Order", IF(Table2[[#This Row],[Quantity]]=3, "Medium Order", "Bulk Order")))</f>
        <v>Single Order</v>
      </c>
      <c r="M779" s="10">
        <v>300</v>
      </c>
      <c r="N779" s="10">
        <v>300</v>
      </c>
    </row>
    <row r="780" spans="1:14" x14ac:dyDescent="0.2">
      <c r="A780">
        <v>428</v>
      </c>
      <c r="B780" s="5">
        <v>45209</v>
      </c>
      <c r="C780" s="5" t="str">
        <f>TEXT(Table2[[#This Row],[Date]], "MMM")</f>
        <v>Oct</v>
      </c>
      <c r="D780" s="8">
        <f>MONTH(Table2[[#This Row],[Date]])</f>
        <v>10</v>
      </c>
      <c r="E780" s="8">
        <f>YEAR(Table2[[#This Row],[Date]])</f>
        <v>2023</v>
      </c>
      <c r="F780" s="7" t="s">
        <v>441</v>
      </c>
      <c r="G780" s="7" t="s">
        <v>13</v>
      </c>
      <c r="H780" s="8">
        <v>40</v>
      </c>
      <c r="I780" s="8" t="str">
        <f>IF(Table2[[#This Row],[Age]] &lt; 19, "Teenagers", IF(Table2[[#This Row],[Age]] &lt;= 34, "Young Adults", IF(Table2[[#This Row],[Age]] &lt;= 45, "Adults", IF(Table2[[#This Row],[Age]] &lt;= 55, "Seniors", "Elderly")) ))</f>
        <v>Adults</v>
      </c>
      <c r="J780" s="7" t="s">
        <v>16</v>
      </c>
      <c r="K780" s="8">
        <v>4</v>
      </c>
      <c r="L780" s="8" t="str">
        <f>IF(Table2[[#This Row],[Quantity]]=1, "Single Order", IF(Table2[[#This Row],[Quantity]]=2, "Small Order", IF(Table2[[#This Row],[Quantity]]=3, "Medium Order", "Bulk Order")))</f>
        <v>Bulk Order</v>
      </c>
      <c r="M780" s="10">
        <v>50</v>
      </c>
      <c r="N780" s="10">
        <v>200</v>
      </c>
    </row>
    <row r="781" spans="1:14" x14ac:dyDescent="0.2">
      <c r="A781">
        <v>431</v>
      </c>
      <c r="B781" s="5">
        <v>45214</v>
      </c>
      <c r="C781" s="5" t="str">
        <f>TEXT(Table2[[#This Row],[Date]], "MMM")</f>
        <v>Oct</v>
      </c>
      <c r="D781" s="8">
        <f>MONTH(Table2[[#This Row],[Date]])</f>
        <v>10</v>
      </c>
      <c r="E781" s="8">
        <f>YEAR(Table2[[#This Row],[Date]])</f>
        <v>2023</v>
      </c>
      <c r="F781" s="7" t="s">
        <v>444</v>
      </c>
      <c r="G781" s="7" t="s">
        <v>10</v>
      </c>
      <c r="H781" s="8">
        <v>63</v>
      </c>
      <c r="I781" s="8" t="str">
        <f>IF(Table2[[#This Row],[Age]] &lt; 19, "Teenagers", IF(Table2[[#This Row],[Age]] &lt;= 34, "Young Adults", IF(Table2[[#This Row],[Age]] &lt;= 45, "Adults", IF(Table2[[#This Row],[Age]] &lt;= 55, "Seniors", "Elderly")) ))</f>
        <v>Elderly</v>
      </c>
      <c r="J781" s="7" t="s">
        <v>16</v>
      </c>
      <c r="K781" s="8">
        <v>4</v>
      </c>
      <c r="L781" s="8" t="str">
        <f>IF(Table2[[#This Row],[Quantity]]=1, "Single Order", IF(Table2[[#This Row],[Quantity]]=2, "Small Order", IF(Table2[[#This Row],[Quantity]]=3, "Medium Order", "Bulk Order")))</f>
        <v>Bulk Order</v>
      </c>
      <c r="M781" s="10">
        <v>300</v>
      </c>
      <c r="N781" s="10">
        <v>1200</v>
      </c>
    </row>
    <row r="782" spans="1:14" x14ac:dyDescent="0.2">
      <c r="A782">
        <v>437</v>
      </c>
      <c r="B782" s="5">
        <v>45206</v>
      </c>
      <c r="C782" s="5" t="str">
        <f>TEXT(Table2[[#This Row],[Date]], "MMM")</f>
        <v>Oct</v>
      </c>
      <c r="D782" s="8">
        <f>MONTH(Table2[[#This Row],[Date]])</f>
        <v>10</v>
      </c>
      <c r="E782" s="8">
        <f>YEAR(Table2[[#This Row],[Date]])</f>
        <v>2023</v>
      </c>
      <c r="F782" s="7" t="s">
        <v>450</v>
      </c>
      <c r="G782" s="7" t="s">
        <v>13</v>
      </c>
      <c r="H782" s="8">
        <v>35</v>
      </c>
      <c r="I782" s="8" t="str">
        <f>IF(Table2[[#This Row],[Age]] &lt; 19, "Teenagers", IF(Table2[[#This Row],[Age]] &lt;= 34, "Young Adults", IF(Table2[[#This Row],[Age]] &lt;= 45, "Adults", IF(Table2[[#This Row],[Age]] &lt;= 55, "Seniors", "Elderly")) ))</f>
        <v>Adults</v>
      </c>
      <c r="J782" s="7" t="s">
        <v>16</v>
      </c>
      <c r="K782" s="8">
        <v>4</v>
      </c>
      <c r="L782" s="8" t="str">
        <f>IF(Table2[[#This Row],[Quantity]]=1, "Single Order", IF(Table2[[#This Row],[Quantity]]=2, "Small Order", IF(Table2[[#This Row],[Quantity]]=3, "Medium Order", "Bulk Order")))</f>
        <v>Bulk Order</v>
      </c>
      <c r="M782" s="10">
        <v>300</v>
      </c>
      <c r="N782" s="10">
        <v>1200</v>
      </c>
    </row>
    <row r="783" spans="1:14" x14ac:dyDescent="0.2">
      <c r="A783">
        <v>440</v>
      </c>
      <c r="B783" s="5">
        <v>45225</v>
      </c>
      <c r="C783" s="5" t="str">
        <f>TEXT(Table2[[#This Row],[Date]], "MMM")</f>
        <v>Oct</v>
      </c>
      <c r="D783" s="8">
        <f>MONTH(Table2[[#This Row],[Date]])</f>
        <v>10</v>
      </c>
      <c r="E783" s="8">
        <f>YEAR(Table2[[#This Row],[Date]])</f>
        <v>2023</v>
      </c>
      <c r="F783" s="7" t="s">
        <v>453</v>
      </c>
      <c r="G783" s="7" t="s">
        <v>10</v>
      </c>
      <c r="H783" s="8">
        <v>64</v>
      </c>
      <c r="I783" s="8" t="str">
        <f>IF(Table2[[#This Row],[Age]] &lt; 19, "Teenagers", IF(Table2[[#This Row],[Age]] &lt;= 34, "Young Adults", IF(Table2[[#This Row],[Age]] &lt;= 45, "Adults", IF(Table2[[#This Row],[Age]] &lt;= 55, "Seniors", "Elderly")) ))</f>
        <v>Elderly</v>
      </c>
      <c r="J783" s="7" t="s">
        <v>14</v>
      </c>
      <c r="K783" s="8">
        <v>2</v>
      </c>
      <c r="L783" s="8" t="str">
        <f>IF(Table2[[#This Row],[Quantity]]=1, "Single Order", IF(Table2[[#This Row],[Quantity]]=2, "Small Order", IF(Table2[[#This Row],[Quantity]]=3, "Medium Order", "Bulk Order")))</f>
        <v>Small Order</v>
      </c>
      <c r="M783" s="10">
        <v>300</v>
      </c>
      <c r="N783" s="10">
        <v>600</v>
      </c>
    </row>
    <row r="784" spans="1:14" x14ac:dyDescent="0.2">
      <c r="A784">
        <v>441</v>
      </c>
      <c r="B784" s="5">
        <v>45209</v>
      </c>
      <c r="C784" s="5" t="str">
        <f>TEXT(Table2[[#This Row],[Date]], "MMM")</f>
        <v>Oct</v>
      </c>
      <c r="D784" s="8">
        <f>MONTH(Table2[[#This Row],[Date]])</f>
        <v>10</v>
      </c>
      <c r="E784" s="8">
        <f>YEAR(Table2[[#This Row],[Date]])</f>
        <v>2023</v>
      </c>
      <c r="F784" s="7" t="s">
        <v>454</v>
      </c>
      <c r="G784" s="7" t="s">
        <v>10</v>
      </c>
      <c r="H784" s="8">
        <v>57</v>
      </c>
      <c r="I784" s="8" t="str">
        <f>IF(Table2[[#This Row],[Age]] &lt; 19, "Teenagers", IF(Table2[[#This Row],[Age]] &lt;= 34, "Young Adults", IF(Table2[[#This Row],[Age]] &lt;= 45, "Adults", IF(Table2[[#This Row],[Age]] &lt;= 55, "Seniors", "Elderly")) ))</f>
        <v>Elderly</v>
      </c>
      <c r="J784" s="7" t="s">
        <v>11</v>
      </c>
      <c r="K784" s="8">
        <v>4</v>
      </c>
      <c r="L784" s="8" t="str">
        <f>IF(Table2[[#This Row],[Quantity]]=1, "Single Order", IF(Table2[[#This Row],[Quantity]]=2, "Small Order", IF(Table2[[#This Row],[Quantity]]=3, "Medium Order", "Bulk Order")))</f>
        <v>Bulk Order</v>
      </c>
      <c r="M784" s="10">
        <v>300</v>
      </c>
      <c r="N784" s="10">
        <v>1200</v>
      </c>
    </row>
    <row r="785" spans="1:14" x14ac:dyDescent="0.2">
      <c r="A785">
        <v>456</v>
      </c>
      <c r="B785" s="5">
        <v>45213</v>
      </c>
      <c r="C785" s="5" t="str">
        <f>TEXT(Table2[[#This Row],[Date]], "MMM")</f>
        <v>Oct</v>
      </c>
      <c r="D785" s="8">
        <f>MONTH(Table2[[#This Row],[Date]])</f>
        <v>10</v>
      </c>
      <c r="E785" s="8">
        <f>YEAR(Table2[[#This Row],[Date]])</f>
        <v>2023</v>
      </c>
      <c r="F785" s="7" t="s">
        <v>469</v>
      </c>
      <c r="G785" s="7" t="s">
        <v>10</v>
      </c>
      <c r="H785" s="8">
        <v>57</v>
      </c>
      <c r="I785" s="8" t="str">
        <f>IF(Table2[[#This Row],[Age]] &lt; 19, "Teenagers", IF(Table2[[#This Row],[Age]] &lt;= 34, "Young Adults", IF(Table2[[#This Row],[Age]] &lt;= 45, "Adults", IF(Table2[[#This Row],[Age]] &lt;= 55, "Seniors", "Elderly")) ))</f>
        <v>Elderly</v>
      </c>
      <c r="J785" s="7" t="s">
        <v>16</v>
      </c>
      <c r="K785" s="8">
        <v>2</v>
      </c>
      <c r="L785" s="8" t="str">
        <f>IF(Table2[[#This Row],[Quantity]]=1, "Single Order", IF(Table2[[#This Row],[Quantity]]=2, "Small Order", IF(Table2[[#This Row],[Quantity]]=3, "Medium Order", "Bulk Order")))</f>
        <v>Small Order</v>
      </c>
      <c r="M785" s="10">
        <v>30</v>
      </c>
      <c r="N785" s="10">
        <v>60</v>
      </c>
    </row>
    <row r="786" spans="1:14" x14ac:dyDescent="0.2">
      <c r="A786">
        <v>497</v>
      </c>
      <c r="B786" s="5">
        <v>45201</v>
      </c>
      <c r="C786" s="5" t="str">
        <f>TEXT(Table2[[#This Row],[Date]], "MMM")</f>
        <v>Oct</v>
      </c>
      <c r="D786" s="8">
        <f>MONTH(Table2[[#This Row],[Date]])</f>
        <v>10</v>
      </c>
      <c r="E786" s="8">
        <f>YEAR(Table2[[#This Row],[Date]])</f>
        <v>2023</v>
      </c>
      <c r="F786" s="7" t="s">
        <v>510</v>
      </c>
      <c r="G786" s="7" t="s">
        <v>10</v>
      </c>
      <c r="H786" s="8">
        <v>41</v>
      </c>
      <c r="I786" s="8" t="str">
        <f>IF(Table2[[#This Row],[Age]] &lt; 19, "Teenagers", IF(Table2[[#This Row],[Age]] &lt;= 34, "Young Adults", IF(Table2[[#This Row],[Age]] &lt;= 45, "Adults", IF(Table2[[#This Row],[Age]] &lt;= 55, "Seniors", "Elderly")) ))</f>
        <v>Adults</v>
      </c>
      <c r="J786" s="7" t="s">
        <v>14</v>
      </c>
      <c r="K786" s="8">
        <v>4</v>
      </c>
      <c r="L786" s="8" t="str">
        <f>IF(Table2[[#This Row],[Quantity]]=1, "Single Order", IF(Table2[[#This Row],[Quantity]]=2, "Small Order", IF(Table2[[#This Row],[Quantity]]=3, "Medium Order", "Bulk Order")))</f>
        <v>Bulk Order</v>
      </c>
      <c r="M786" s="10">
        <v>30</v>
      </c>
      <c r="N786" s="10">
        <v>120</v>
      </c>
    </row>
    <row r="787" spans="1:14" x14ac:dyDescent="0.2">
      <c r="A787">
        <v>503</v>
      </c>
      <c r="B787" s="5">
        <v>45224</v>
      </c>
      <c r="C787" s="5" t="str">
        <f>TEXT(Table2[[#This Row],[Date]], "MMM")</f>
        <v>Oct</v>
      </c>
      <c r="D787" s="8">
        <f>MONTH(Table2[[#This Row],[Date]])</f>
        <v>10</v>
      </c>
      <c r="E787" s="8">
        <f>YEAR(Table2[[#This Row],[Date]])</f>
        <v>2023</v>
      </c>
      <c r="F787" s="7" t="s">
        <v>516</v>
      </c>
      <c r="G787" s="7" t="s">
        <v>10</v>
      </c>
      <c r="H787" s="8">
        <v>45</v>
      </c>
      <c r="I787" s="8" t="str">
        <f>IF(Table2[[#This Row],[Age]] &lt; 19, "Teenagers", IF(Table2[[#This Row],[Age]] &lt;= 34, "Young Adults", IF(Table2[[#This Row],[Age]] &lt;= 45, "Adults", IF(Table2[[#This Row],[Age]] &lt;= 55, "Seniors", "Elderly")) ))</f>
        <v>Adults</v>
      </c>
      <c r="J787" s="7" t="s">
        <v>11</v>
      </c>
      <c r="K787" s="8">
        <v>4</v>
      </c>
      <c r="L787" s="8" t="str">
        <f>IF(Table2[[#This Row],[Quantity]]=1, "Single Order", IF(Table2[[#This Row],[Quantity]]=2, "Small Order", IF(Table2[[#This Row],[Quantity]]=3, "Medium Order", "Bulk Order")))</f>
        <v>Bulk Order</v>
      </c>
      <c r="M787" s="10">
        <v>500</v>
      </c>
      <c r="N787" s="10">
        <v>2000</v>
      </c>
    </row>
    <row r="788" spans="1:14" x14ac:dyDescent="0.2">
      <c r="A788">
        <v>516</v>
      </c>
      <c r="B788" s="5">
        <v>45222</v>
      </c>
      <c r="C788" s="5" t="str">
        <f>TEXT(Table2[[#This Row],[Date]], "MMM")</f>
        <v>Oct</v>
      </c>
      <c r="D788" s="8">
        <f>MONTH(Table2[[#This Row],[Date]])</f>
        <v>10</v>
      </c>
      <c r="E788" s="8">
        <f>YEAR(Table2[[#This Row],[Date]])</f>
        <v>2023</v>
      </c>
      <c r="F788" s="7" t="s">
        <v>529</v>
      </c>
      <c r="G788" s="7" t="s">
        <v>10</v>
      </c>
      <c r="H788" s="8">
        <v>30</v>
      </c>
      <c r="I788" s="8" t="str">
        <f>IF(Table2[[#This Row],[Age]] &lt; 19, "Teenagers", IF(Table2[[#This Row],[Age]] &lt;= 34, "Young Adults", IF(Table2[[#This Row],[Age]] &lt;= 45, "Adults", IF(Table2[[#This Row],[Age]] &lt;= 55, "Seniors", "Elderly")) ))</f>
        <v>Young Adults</v>
      </c>
      <c r="J788" s="7" t="s">
        <v>11</v>
      </c>
      <c r="K788" s="8">
        <v>4</v>
      </c>
      <c r="L788" s="8" t="str">
        <f>IF(Table2[[#This Row],[Quantity]]=1, "Single Order", IF(Table2[[#This Row],[Quantity]]=2, "Small Order", IF(Table2[[#This Row],[Quantity]]=3, "Medium Order", "Bulk Order")))</f>
        <v>Bulk Order</v>
      </c>
      <c r="M788" s="10">
        <v>25</v>
      </c>
      <c r="N788" s="10">
        <v>100</v>
      </c>
    </row>
    <row r="789" spans="1:14" x14ac:dyDescent="0.2">
      <c r="A789">
        <v>524</v>
      </c>
      <c r="B789" s="5">
        <v>45202</v>
      </c>
      <c r="C789" s="5" t="str">
        <f>TEXT(Table2[[#This Row],[Date]], "MMM")</f>
        <v>Oct</v>
      </c>
      <c r="D789" s="8">
        <f>MONTH(Table2[[#This Row],[Date]])</f>
        <v>10</v>
      </c>
      <c r="E789" s="8">
        <f>YEAR(Table2[[#This Row],[Date]])</f>
        <v>2023</v>
      </c>
      <c r="F789" s="7" t="s">
        <v>537</v>
      </c>
      <c r="G789" s="7" t="s">
        <v>10</v>
      </c>
      <c r="H789" s="8">
        <v>46</v>
      </c>
      <c r="I789" s="8" t="str">
        <f>IF(Table2[[#This Row],[Age]] &lt; 19, "Teenagers", IF(Table2[[#This Row],[Age]] &lt;= 34, "Young Adults", IF(Table2[[#This Row],[Age]] &lt;= 45, "Adults", IF(Table2[[#This Row],[Age]] &lt;= 55, "Seniors", "Elderly")) ))</f>
        <v>Seniors</v>
      </c>
      <c r="J789" s="7" t="s">
        <v>11</v>
      </c>
      <c r="K789" s="8">
        <v>4</v>
      </c>
      <c r="L789" s="8" t="str">
        <f>IF(Table2[[#This Row],[Quantity]]=1, "Single Order", IF(Table2[[#This Row],[Quantity]]=2, "Small Order", IF(Table2[[#This Row],[Quantity]]=3, "Medium Order", "Bulk Order")))</f>
        <v>Bulk Order</v>
      </c>
      <c r="M789" s="10">
        <v>300</v>
      </c>
      <c r="N789" s="10">
        <v>1200</v>
      </c>
    </row>
    <row r="790" spans="1:14" x14ac:dyDescent="0.2">
      <c r="A790">
        <v>546</v>
      </c>
      <c r="B790" s="5">
        <v>45210</v>
      </c>
      <c r="C790" s="5" t="str">
        <f>TEXT(Table2[[#This Row],[Date]], "MMM")</f>
        <v>Oct</v>
      </c>
      <c r="D790" s="8">
        <f>MONTH(Table2[[#This Row],[Date]])</f>
        <v>10</v>
      </c>
      <c r="E790" s="8">
        <f>YEAR(Table2[[#This Row],[Date]])</f>
        <v>2023</v>
      </c>
      <c r="F790" s="7" t="s">
        <v>559</v>
      </c>
      <c r="G790" s="7" t="s">
        <v>13</v>
      </c>
      <c r="H790" s="8">
        <v>36</v>
      </c>
      <c r="I790" s="8" t="str">
        <f>IF(Table2[[#This Row],[Age]] &lt; 19, "Teenagers", IF(Table2[[#This Row],[Age]] &lt;= 34, "Young Adults", IF(Table2[[#This Row],[Age]] &lt;= 45, "Adults", IF(Table2[[#This Row],[Age]] &lt;= 55, "Seniors", "Elderly")) ))</f>
        <v>Adults</v>
      </c>
      <c r="J790" s="7" t="s">
        <v>16</v>
      </c>
      <c r="K790" s="8">
        <v>4</v>
      </c>
      <c r="L790" s="8" t="str">
        <f>IF(Table2[[#This Row],[Quantity]]=1, "Single Order", IF(Table2[[#This Row],[Quantity]]=2, "Small Order", IF(Table2[[#This Row],[Quantity]]=3, "Medium Order", "Bulk Order")))</f>
        <v>Bulk Order</v>
      </c>
      <c r="M790" s="10">
        <v>50</v>
      </c>
      <c r="N790" s="10">
        <v>200</v>
      </c>
    </row>
    <row r="791" spans="1:14" x14ac:dyDescent="0.2">
      <c r="A791">
        <v>555</v>
      </c>
      <c r="B791" s="5">
        <v>45218</v>
      </c>
      <c r="C791" s="5" t="str">
        <f>TEXT(Table2[[#This Row],[Date]], "MMM")</f>
        <v>Oct</v>
      </c>
      <c r="D791" s="8">
        <f>MONTH(Table2[[#This Row],[Date]])</f>
        <v>10</v>
      </c>
      <c r="E791" s="8">
        <f>YEAR(Table2[[#This Row],[Date]])</f>
        <v>2023</v>
      </c>
      <c r="F791" s="7" t="s">
        <v>568</v>
      </c>
      <c r="G791" s="7" t="s">
        <v>10</v>
      </c>
      <c r="H791" s="8">
        <v>25</v>
      </c>
      <c r="I791" s="8" t="str">
        <f>IF(Table2[[#This Row],[Age]] &lt; 19, "Teenagers", IF(Table2[[#This Row],[Age]] &lt;= 34, "Young Adults", IF(Table2[[#This Row],[Age]] &lt;= 45, "Adults", IF(Table2[[#This Row],[Age]] &lt;= 55, "Seniors", "Elderly")) ))</f>
        <v>Young Adults</v>
      </c>
      <c r="J791" s="7" t="s">
        <v>11</v>
      </c>
      <c r="K791" s="8">
        <v>1</v>
      </c>
      <c r="L791" s="8" t="str">
        <f>IF(Table2[[#This Row],[Quantity]]=1, "Single Order", IF(Table2[[#This Row],[Quantity]]=2, "Small Order", IF(Table2[[#This Row],[Quantity]]=3, "Medium Order", "Bulk Order")))</f>
        <v>Single Order</v>
      </c>
      <c r="M791" s="10">
        <v>300</v>
      </c>
      <c r="N791" s="10">
        <v>300</v>
      </c>
    </row>
    <row r="792" spans="1:14" x14ac:dyDescent="0.2">
      <c r="A792">
        <v>558</v>
      </c>
      <c r="B792" s="5">
        <v>45207</v>
      </c>
      <c r="C792" s="5" t="str">
        <f>TEXT(Table2[[#This Row],[Date]], "MMM")</f>
        <v>Oct</v>
      </c>
      <c r="D792" s="8">
        <f>MONTH(Table2[[#This Row],[Date]])</f>
        <v>10</v>
      </c>
      <c r="E792" s="8">
        <f>YEAR(Table2[[#This Row],[Date]])</f>
        <v>2023</v>
      </c>
      <c r="F792" s="7" t="s">
        <v>571</v>
      </c>
      <c r="G792" s="7" t="s">
        <v>13</v>
      </c>
      <c r="H792" s="8">
        <v>41</v>
      </c>
      <c r="I792" s="8" t="str">
        <f>IF(Table2[[#This Row],[Age]] &lt; 19, "Teenagers", IF(Table2[[#This Row],[Age]] &lt;= 34, "Young Adults", IF(Table2[[#This Row],[Age]] &lt;= 45, "Adults", IF(Table2[[#This Row],[Age]] &lt;= 55, "Seniors", "Elderly")) ))</f>
        <v>Adults</v>
      </c>
      <c r="J792" s="7" t="s">
        <v>14</v>
      </c>
      <c r="K792" s="8">
        <v>1</v>
      </c>
      <c r="L792" s="8" t="str">
        <f>IF(Table2[[#This Row],[Quantity]]=1, "Single Order", IF(Table2[[#This Row],[Quantity]]=2, "Small Order", IF(Table2[[#This Row],[Quantity]]=3, "Medium Order", "Bulk Order")))</f>
        <v>Single Order</v>
      </c>
      <c r="M792" s="10">
        <v>25</v>
      </c>
      <c r="N792" s="10">
        <v>25</v>
      </c>
    </row>
    <row r="793" spans="1:14" x14ac:dyDescent="0.2">
      <c r="A793">
        <v>564</v>
      </c>
      <c r="B793" s="5">
        <v>45223</v>
      </c>
      <c r="C793" s="5" t="str">
        <f>TEXT(Table2[[#This Row],[Date]], "MMM")</f>
        <v>Oct</v>
      </c>
      <c r="D793" s="8">
        <f>MONTH(Table2[[#This Row],[Date]])</f>
        <v>10</v>
      </c>
      <c r="E793" s="8">
        <f>YEAR(Table2[[#This Row],[Date]])</f>
        <v>2023</v>
      </c>
      <c r="F793" s="7" t="s">
        <v>577</v>
      </c>
      <c r="G793" s="7" t="s">
        <v>10</v>
      </c>
      <c r="H793" s="8">
        <v>50</v>
      </c>
      <c r="I793" s="8" t="str">
        <f>IF(Table2[[#This Row],[Age]] &lt; 19, "Teenagers", IF(Table2[[#This Row],[Age]] &lt;= 34, "Young Adults", IF(Table2[[#This Row],[Age]] &lt;= 45, "Adults", IF(Table2[[#This Row],[Age]] &lt;= 55, "Seniors", "Elderly")) ))</f>
        <v>Seniors</v>
      </c>
      <c r="J793" s="7" t="s">
        <v>16</v>
      </c>
      <c r="K793" s="8">
        <v>2</v>
      </c>
      <c r="L793" s="8" t="str">
        <f>IF(Table2[[#This Row],[Quantity]]=1, "Single Order", IF(Table2[[#This Row],[Quantity]]=2, "Small Order", IF(Table2[[#This Row],[Quantity]]=3, "Medium Order", "Bulk Order")))</f>
        <v>Small Order</v>
      </c>
      <c r="M793" s="10">
        <v>50</v>
      </c>
      <c r="N793" s="10">
        <v>100</v>
      </c>
    </row>
    <row r="794" spans="1:14" x14ac:dyDescent="0.2">
      <c r="A794">
        <v>600</v>
      </c>
      <c r="B794" s="5">
        <v>45221</v>
      </c>
      <c r="C794" s="5" t="str">
        <f>TEXT(Table2[[#This Row],[Date]], "MMM")</f>
        <v>Oct</v>
      </c>
      <c r="D794" s="8">
        <f>MONTH(Table2[[#This Row],[Date]])</f>
        <v>10</v>
      </c>
      <c r="E794" s="8">
        <f>YEAR(Table2[[#This Row],[Date]])</f>
        <v>2023</v>
      </c>
      <c r="F794" s="7" t="s">
        <v>613</v>
      </c>
      <c r="G794" s="7" t="s">
        <v>13</v>
      </c>
      <c r="H794" s="8">
        <v>59</v>
      </c>
      <c r="I794" s="8" t="str">
        <f>IF(Table2[[#This Row],[Age]] &lt; 19, "Teenagers", IF(Table2[[#This Row],[Age]] &lt;= 34, "Young Adults", IF(Table2[[#This Row],[Age]] &lt;= 45, "Adults", IF(Table2[[#This Row],[Age]] &lt;= 55, "Seniors", "Elderly")) ))</f>
        <v>Elderly</v>
      </c>
      <c r="J794" s="7" t="s">
        <v>11</v>
      </c>
      <c r="K794" s="8">
        <v>2</v>
      </c>
      <c r="L794" s="8" t="str">
        <f>IF(Table2[[#This Row],[Quantity]]=1, "Single Order", IF(Table2[[#This Row],[Quantity]]=2, "Small Order", IF(Table2[[#This Row],[Quantity]]=3, "Medium Order", "Bulk Order")))</f>
        <v>Small Order</v>
      </c>
      <c r="M794" s="10">
        <v>500</v>
      </c>
      <c r="N794" s="10">
        <v>1000</v>
      </c>
    </row>
    <row r="795" spans="1:14" x14ac:dyDescent="0.2">
      <c r="A795">
        <v>619</v>
      </c>
      <c r="B795" s="5">
        <v>45212</v>
      </c>
      <c r="C795" s="5" t="str">
        <f>TEXT(Table2[[#This Row],[Date]], "MMM")</f>
        <v>Oct</v>
      </c>
      <c r="D795" s="8">
        <f>MONTH(Table2[[#This Row],[Date]])</f>
        <v>10</v>
      </c>
      <c r="E795" s="8">
        <f>YEAR(Table2[[#This Row],[Date]])</f>
        <v>2023</v>
      </c>
      <c r="F795" s="7" t="s">
        <v>632</v>
      </c>
      <c r="G795" s="7" t="s">
        <v>10</v>
      </c>
      <c r="H795" s="8">
        <v>47</v>
      </c>
      <c r="I795" s="8" t="str">
        <f>IF(Table2[[#This Row],[Age]] &lt; 19, "Teenagers", IF(Table2[[#This Row],[Age]] &lt;= 34, "Young Adults", IF(Table2[[#This Row],[Age]] &lt;= 45, "Adults", IF(Table2[[#This Row],[Age]] &lt;= 55, "Seniors", "Elderly")) ))</f>
        <v>Seniors</v>
      </c>
      <c r="J795" s="7" t="s">
        <v>16</v>
      </c>
      <c r="K795" s="8">
        <v>4</v>
      </c>
      <c r="L795" s="8" t="str">
        <f>IF(Table2[[#This Row],[Quantity]]=1, "Single Order", IF(Table2[[#This Row],[Quantity]]=2, "Small Order", IF(Table2[[#This Row],[Quantity]]=3, "Medium Order", "Bulk Order")))</f>
        <v>Bulk Order</v>
      </c>
      <c r="M795" s="10">
        <v>25</v>
      </c>
      <c r="N795" s="10">
        <v>100</v>
      </c>
    </row>
    <row r="796" spans="1:14" x14ac:dyDescent="0.2">
      <c r="A796">
        <v>627</v>
      </c>
      <c r="B796" s="5">
        <v>45213</v>
      </c>
      <c r="C796" s="5" t="str">
        <f>TEXT(Table2[[#This Row],[Date]], "MMM")</f>
        <v>Oct</v>
      </c>
      <c r="D796" s="8">
        <f>MONTH(Table2[[#This Row],[Date]])</f>
        <v>10</v>
      </c>
      <c r="E796" s="8">
        <f>YEAR(Table2[[#This Row],[Date]])</f>
        <v>2023</v>
      </c>
      <c r="F796" s="7" t="s">
        <v>640</v>
      </c>
      <c r="G796" s="7" t="s">
        <v>10</v>
      </c>
      <c r="H796" s="8">
        <v>57</v>
      </c>
      <c r="I796" s="8" t="str">
        <f>IF(Table2[[#This Row],[Age]] &lt; 19, "Teenagers", IF(Table2[[#This Row],[Age]] &lt;= 34, "Young Adults", IF(Table2[[#This Row],[Age]] &lt;= 45, "Adults", IF(Table2[[#This Row],[Age]] &lt;= 55, "Seniors", "Elderly")) ))</f>
        <v>Elderly</v>
      </c>
      <c r="J796" s="7" t="s">
        <v>14</v>
      </c>
      <c r="K796" s="8">
        <v>1</v>
      </c>
      <c r="L796" s="8" t="str">
        <f>IF(Table2[[#This Row],[Quantity]]=1, "Single Order", IF(Table2[[#This Row],[Quantity]]=2, "Small Order", IF(Table2[[#This Row],[Quantity]]=3, "Medium Order", "Bulk Order")))</f>
        <v>Single Order</v>
      </c>
      <c r="M796" s="10">
        <v>50</v>
      </c>
      <c r="N796" s="10">
        <v>50</v>
      </c>
    </row>
    <row r="797" spans="1:14" x14ac:dyDescent="0.2">
      <c r="A797">
        <v>634</v>
      </c>
      <c r="B797" s="5">
        <v>45207</v>
      </c>
      <c r="C797" s="5" t="str">
        <f>TEXT(Table2[[#This Row],[Date]], "MMM")</f>
        <v>Oct</v>
      </c>
      <c r="D797" s="8">
        <f>MONTH(Table2[[#This Row],[Date]])</f>
        <v>10</v>
      </c>
      <c r="E797" s="8">
        <f>YEAR(Table2[[#This Row],[Date]])</f>
        <v>2023</v>
      </c>
      <c r="F797" s="7" t="s">
        <v>647</v>
      </c>
      <c r="G797" s="7" t="s">
        <v>10</v>
      </c>
      <c r="H797" s="8">
        <v>60</v>
      </c>
      <c r="I797" s="8" t="str">
        <f>IF(Table2[[#This Row],[Age]] &lt; 19, "Teenagers", IF(Table2[[#This Row],[Age]] &lt;= 34, "Young Adults", IF(Table2[[#This Row],[Age]] &lt;= 45, "Adults", IF(Table2[[#This Row],[Age]] &lt;= 55, "Seniors", "Elderly")) ))</f>
        <v>Elderly</v>
      </c>
      <c r="J797" s="7" t="s">
        <v>16</v>
      </c>
      <c r="K797" s="8">
        <v>4</v>
      </c>
      <c r="L797" s="8" t="str">
        <f>IF(Table2[[#This Row],[Quantity]]=1, "Single Order", IF(Table2[[#This Row],[Quantity]]=2, "Small Order", IF(Table2[[#This Row],[Quantity]]=3, "Medium Order", "Bulk Order")))</f>
        <v>Bulk Order</v>
      </c>
      <c r="M797" s="10">
        <v>500</v>
      </c>
      <c r="N797" s="10">
        <v>2000</v>
      </c>
    </row>
    <row r="798" spans="1:14" x14ac:dyDescent="0.2">
      <c r="A798">
        <v>656</v>
      </c>
      <c r="B798" s="5">
        <v>45203</v>
      </c>
      <c r="C798" s="5" t="str">
        <f>TEXT(Table2[[#This Row],[Date]], "MMM")</f>
        <v>Oct</v>
      </c>
      <c r="D798" s="8">
        <f>MONTH(Table2[[#This Row],[Date]])</f>
        <v>10</v>
      </c>
      <c r="E798" s="8">
        <f>YEAR(Table2[[#This Row],[Date]])</f>
        <v>2023</v>
      </c>
      <c r="F798" s="7" t="s">
        <v>669</v>
      </c>
      <c r="G798" s="7" t="s">
        <v>10</v>
      </c>
      <c r="H798" s="8">
        <v>29</v>
      </c>
      <c r="I798" s="8" t="str">
        <f>IF(Table2[[#This Row],[Age]] &lt; 19, "Teenagers", IF(Table2[[#This Row],[Age]] &lt;= 34, "Young Adults", IF(Table2[[#This Row],[Age]] &lt;= 45, "Adults", IF(Table2[[#This Row],[Age]] &lt;= 55, "Seniors", "Elderly")) ))</f>
        <v>Young Adults</v>
      </c>
      <c r="J798" s="7" t="s">
        <v>11</v>
      </c>
      <c r="K798" s="8">
        <v>3</v>
      </c>
      <c r="L798" s="8" t="str">
        <f>IF(Table2[[#This Row],[Quantity]]=1, "Single Order", IF(Table2[[#This Row],[Quantity]]=2, "Small Order", IF(Table2[[#This Row],[Quantity]]=3, "Medium Order", "Bulk Order")))</f>
        <v>Medium Order</v>
      </c>
      <c r="M798" s="10">
        <v>30</v>
      </c>
      <c r="N798" s="10">
        <v>90</v>
      </c>
    </row>
    <row r="799" spans="1:14" x14ac:dyDescent="0.2">
      <c r="A799">
        <v>670</v>
      </c>
      <c r="B799" s="5">
        <v>45204</v>
      </c>
      <c r="C799" s="5" t="str">
        <f>TEXT(Table2[[#This Row],[Date]], "MMM")</f>
        <v>Oct</v>
      </c>
      <c r="D799" s="8">
        <f>MONTH(Table2[[#This Row],[Date]])</f>
        <v>10</v>
      </c>
      <c r="E799" s="8">
        <f>YEAR(Table2[[#This Row],[Date]])</f>
        <v>2023</v>
      </c>
      <c r="F799" s="7" t="s">
        <v>683</v>
      </c>
      <c r="G799" s="7" t="s">
        <v>10</v>
      </c>
      <c r="H799" s="8">
        <v>27</v>
      </c>
      <c r="I799" s="8" t="str">
        <f>IF(Table2[[#This Row],[Age]] &lt; 19, "Teenagers", IF(Table2[[#This Row],[Age]] &lt;= 34, "Young Adults", IF(Table2[[#This Row],[Age]] &lt;= 45, "Adults", IF(Table2[[#This Row],[Age]] &lt;= 55, "Seniors", "Elderly")) ))</f>
        <v>Young Adults</v>
      </c>
      <c r="J799" s="7" t="s">
        <v>11</v>
      </c>
      <c r="K799" s="8">
        <v>1</v>
      </c>
      <c r="L799" s="8" t="str">
        <f>IF(Table2[[#This Row],[Quantity]]=1, "Single Order", IF(Table2[[#This Row],[Quantity]]=2, "Small Order", IF(Table2[[#This Row],[Quantity]]=3, "Medium Order", "Bulk Order")))</f>
        <v>Single Order</v>
      </c>
      <c r="M799" s="10">
        <v>30</v>
      </c>
      <c r="N799" s="10">
        <v>30</v>
      </c>
    </row>
    <row r="800" spans="1:14" x14ac:dyDescent="0.2">
      <c r="A800">
        <v>677</v>
      </c>
      <c r="B800" s="5">
        <v>45226</v>
      </c>
      <c r="C800" s="5" t="str">
        <f>TEXT(Table2[[#This Row],[Date]], "MMM")</f>
        <v>Oct</v>
      </c>
      <c r="D800" s="8">
        <f>MONTH(Table2[[#This Row],[Date]])</f>
        <v>10</v>
      </c>
      <c r="E800" s="8">
        <f>YEAR(Table2[[#This Row],[Date]])</f>
        <v>2023</v>
      </c>
      <c r="F800" s="7" t="s">
        <v>690</v>
      </c>
      <c r="G800" s="7" t="s">
        <v>13</v>
      </c>
      <c r="H800" s="8">
        <v>19</v>
      </c>
      <c r="I800" s="8" t="str">
        <f>IF(Table2[[#This Row],[Age]] &lt; 19, "Teenagers", IF(Table2[[#This Row],[Age]] &lt;= 34, "Young Adults", IF(Table2[[#This Row],[Age]] &lt;= 45, "Adults", IF(Table2[[#This Row],[Age]] &lt;= 55, "Seniors", "Elderly")) ))</f>
        <v>Young Adults</v>
      </c>
      <c r="J800" s="7" t="s">
        <v>11</v>
      </c>
      <c r="K800" s="8">
        <v>3</v>
      </c>
      <c r="L800" s="8" t="str">
        <f>IF(Table2[[#This Row],[Quantity]]=1, "Single Order", IF(Table2[[#This Row],[Quantity]]=2, "Small Order", IF(Table2[[#This Row],[Quantity]]=3, "Medium Order", "Bulk Order")))</f>
        <v>Medium Order</v>
      </c>
      <c r="M800" s="10">
        <v>500</v>
      </c>
      <c r="N800" s="10">
        <v>1500</v>
      </c>
    </row>
    <row r="801" spans="1:14" x14ac:dyDescent="0.2">
      <c r="A801">
        <v>680</v>
      </c>
      <c r="B801" s="5">
        <v>45221</v>
      </c>
      <c r="C801" s="5" t="str">
        <f>TEXT(Table2[[#This Row],[Date]], "MMM")</f>
        <v>Oct</v>
      </c>
      <c r="D801" s="8">
        <f>MONTH(Table2[[#This Row],[Date]])</f>
        <v>10</v>
      </c>
      <c r="E801" s="8">
        <f>YEAR(Table2[[#This Row],[Date]])</f>
        <v>2023</v>
      </c>
      <c r="F801" s="7" t="s">
        <v>693</v>
      </c>
      <c r="G801" s="7" t="s">
        <v>13</v>
      </c>
      <c r="H801" s="8">
        <v>53</v>
      </c>
      <c r="I801" s="8" t="str">
        <f>IF(Table2[[#This Row],[Age]] &lt; 19, "Teenagers", IF(Table2[[#This Row],[Age]] &lt;= 34, "Young Adults", IF(Table2[[#This Row],[Age]] &lt;= 45, "Adults", IF(Table2[[#This Row],[Age]] &lt;= 55, "Seniors", "Elderly")) ))</f>
        <v>Seniors</v>
      </c>
      <c r="J801" s="7" t="s">
        <v>14</v>
      </c>
      <c r="K801" s="8">
        <v>3</v>
      </c>
      <c r="L801" s="8" t="str">
        <f>IF(Table2[[#This Row],[Quantity]]=1, "Single Order", IF(Table2[[#This Row],[Quantity]]=2, "Small Order", IF(Table2[[#This Row],[Quantity]]=3, "Medium Order", "Bulk Order")))</f>
        <v>Medium Order</v>
      </c>
      <c r="M801" s="10">
        <v>300</v>
      </c>
      <c r="N801" s="10">
        <v>900</v>
      </c>
    </row>
    <row r="802" spans="1:14" x14ac:dyDescent="0.2">
      <c r="A802">
        <v>688</v>
      </c>
      <c r="B802" s="5">
        <v>45202</v>
      </c>
      <c r="C802" s="5" t="str">
        <f>TEXT(Table2[[#This Row],[Date]], "MMM")</f>
        <v>Oct</v>
      </c>
      <c r="D802" s="8">
        <f>MONTH(Table2[[#This Row],[Date]])</f>
        <v>10</v>
      </c>
      <c r="E802" s="8">
        <f>YEAR(Table2[[#This Row],[Date]])</f>
        <v>2023</v>
      </c>
      <c r="F802" s="7" t="s">
        <v>701</v>
      </c>
      <c r="G802" s="7" t="s">
        <v>10</v>
      </c>
      <c r="H802" s="8">
        <v>56</v>
      </c>
      <c r="I802" s="8" t="str">
        <f>IF(Table2[[#This Row],[Age]] &lt; 19, "Teenagers", IF(Table2[[#This Row],[Age]] &lt;= 34, "Young Adults", IF(Table2[[#This Row],[Age]] &lt;= 45, "Adults", IF(Table2[[#This Row],[Age]] &lt;= 55, "Seniors", "Elderly")) ))</f>
        <v>Elderly</v>
      </c>
      <c r="J802" s="7" t="s">
        <v>14</v>
      </c>
      <c r="K802" s="8">
        <v>4</v>
      </c>
      <c r="L802" s="8" t="str">
        <f>IF(Table2[[#This Row],[Quantity]]=1, "Single Order", IF(Table2[[#This Row],[Quantity]]=2, "Small Order", IF(Table2[[#This Row],[Quantity]]=3, "Medium Order", "Bulk Order")))</f>
        <v>Bulk Order</v>
      </c>
      <c r="M802" s="10">
        <v>25</v>
      </c>
      <c r="N802" s="10">
        <v>100</v>
      </c>
    </row>
    <row r="803" spans="1:14" x14ac:dyDescent="0.2">
      <c r="A803">
        <v>689</v>
      </c>
      <c r="B803" s="5">
        <v>45206</v>
      </c>
      <c r="C803" s="5" t="str">
        <f>TEXT(Table2[[#This Row],[Date]], "MMM")</f>
        <v>Oct</v>
      </c>
      <c r="D803" s="8">
        <f>MONTH(Table2[[#This Row],[Date]])</f>
        <v>10</v>
      </c>
      <c r="E803" s="8">
        <f>YEAR(Table2[[#This Row],[Date]])</f>
        <v>2023</v>
      </c>
      <c r="F803" s="7" t="s">
        <v>702</v>
      </c>
      <c r="G803" s="7" t="s">
        <v>10</v>
      </c>
      <c r="H803" s="8">
        <v>57</v>
      </c>
      <c r="I803" s="8" t="str">
        <f>IF(Table2[[#This Row],[Age]] &lt; 19, "Teenagers", IF(Table2[[#This Row],[Age]] &lt;= 34, "Young Adults", IF(Table2[[#This Row],[Age]] &lt;= 45, "Adults", IF(Table2[[#This Row],[Age]] &lt;= 55, "Seniors", "Elderly")) ))</f>
        <v>Elderly</v>
      </c>
      <c r="J803" s="7" t="s">
        <v>16</v>
      </c>
      <c r="K803" s="8">
        <v>2</v>
      </c>
      <c r="L803" s="8" t="str">
        <f>IF(Table2[[#This Row],[Quantity]]=1, "Single Order", IF(Table2[[#This Row],[Quantity]]=2, "Small Order", IF(Table2[[#This Row],[Quantity]]=3, "Medium Order", "Bulk Order")))</f>
        <v>Small Order</v>
      </c>
      <c r="M803" s="10">
        <v>50</v>
      </c>
      <c r="N803" s="10">
        <v>100</v>
      </c>
    </row>
    <row r="804" spans="1:14" x14ac:dyDescent="0.2">
      <c r="A804">
        <v>707</v>
      </c>
      <c r="B804" s="5">
        <v>45200</v>
      </c>
      <c r="C804" s="5" t="str">
        <f>TEXT(Table2[[#This Row],[Date]], "MMM")</f>
        <v>Oct</v>
      </c>
      <c r="D804" s="8">
        <f>MONTH(Table2[[#This Row],[Date]])</f>
        <v>10</v>
      </c>
      <c r="E804" s="8">
        <f>YEAR(Table2[[#This Row],[Date]])</f>
        <v>2023</v>
      </c>
      <c r="F804" s="7" t="s">
        <v>720</v>
      </c>
      <c r="G804" s="7" t="s">
        <v>13</v>
      </c>
      <c r="H804" s="8">
        <v>26</v>
      </c>
      <c r="I804" s="8" t="str">
        <f>IF(Table2[[#This Row],[Age]] &lt; 19, "Teenagers", IF(Table2[[#This Row],[Age]] &lt;= 34, "Young Adults", IF(Table2[[#This Row],[Age]] &lt;= 45, "Adults", IF(Table2[[#This Row],[Age]] &lt;= 55, "Seniors", "Elderly")) ))</f>
        <v>Young Adults</v>
      </c>
      <c r="J804" s="7" t="s">
        <v>14</v>
      </c>
      <c r="K804" s="8">
        <v>1</v>
      </c>
      <c r="L804" s="8" t="str">
        <f>IF(Table2[[#This Row],[Quantity]]=1, "Single Order", IF(Table2[[#This Row],[Quantity]]=2, "Small Order", IF(Table2[[#This Row],[Quantity]]=3, "Medium Order", "Bulk Order")))</f>
        <v>Single Order</v>
      </c>
      <c r="M804" s="10">
        <v>500</v>
      </c>
      <c r="N804" s="10">
        <v>500</v>
      </c>
    </row>
    <row r="805" spans="1:14" x14ac:dyDescent="0.2">
      <c r="A805">
        <v>710</v>
      </c>
      <c r="B805" s="5">
        <v>45230</v>
      </c>
      <c r="C805" s="5" t="str">
        <f>TEXT(Table2[[#This Row],[Date]], "MMM")</f>
        <v>Oct</v>
      </c>
      <c r="D805" s="8">
        <f>MONTH(Table2[[#This Row],[Date]])</f>
        <v>10</v>
      </c>
      <c r="E805" s="8">
        <f>YEAR(Table2[[#This Row],[Date]])</f>
        <v>2023</v>
      </c>
      <c r="F805" s="7" t="s">
        <v>723</v>
      </c>
      <c r="G805" s="7" t="s">
        <v>13</v>
      </c>
      <c r="H805" s="8">
        <v>26</v>
      </c>
      <c r="I805" s="8" t="str">
        <f>IF(Table2[[#This Row],[Age]] &lt; 19, "Teenagers", IF(Table2[[#This Row],[Age]] &lt;= 34, "Young Adults", IF(Table2[[#This Row],[Age]] &lt;= 45, "Adults", IF(Table2[[#This Row],[Age]] &lt;= 55, "Seniors", "Elderly")) ))</f>
        <v>Young Adults</v>
      </c>
      <c r="J805" s="7" t="s">
        <v>16</v>
      </c>
      <c r="K805" s="8">
        <v>3</v>
      </c>
      <c r="L805" s="8" t="str">
        <f>IF(Table2[[#This Row],[Quantity]]=1, "Single Order", IF(Table2[[#This Row],[Quantity]]=2, "Small Order", IF(Table2[[#This Row],[Quantity]]=3, "Medium Order", "Bulk Order")))</f>
        <v>Medium Order</v>
      </c>
      <c r="M805" s="10">
        <v>500</v>
      </c>
      <c r="N805" s="10">
        <v>1500</v>
      </c>
    </row>
    <row r="806" spans="1:14" x14ac:dyDescent="0.2">
      <c r="A806">
        <v>711</v>
      </c>
      <c r="B806" s="5">
        <v>45215</v>
      </c>
      <c r="C806" s="5" t="str">
        <f>TEXT(Table2[[#This Row],[Date]], "MMM")</f>
        <v>Oct</v>
      </c>
      <c r="D806" s="8">
        <f>MONTH(Table2[[#This Row],[Date]])</f>
        <v>10</v>
      </c>
      <c r="E806" s="8">
        <f>YEAR(Table2[[#This Row],[Date]])</f>
        <v>2023</v>
      </c>
      <c r="F806" s="7" t="s">
        <v>724</v>
      </c>
      <c r="G806" s="7" t="s">
        <v>10</v>
      </c>
      <c r="H806" s="8">
        <v>26</v>
      </c>
      <c r="I806" s="8" t="str">
        <f>IF(Table2[[#This Row],[Age]] &lt; 19, "Teenagers", IF(Table2[[#This Row],[Age]] &lt;= 34, "Young Adults", IF(Table2[[#This Row],[Age]] &lt;= 45, "Adults", IF(Table2[[#This Row],[Age]] &lt;= 55, "Seniors", "Elderly")) ))</f>
        <v>Young Adults</v>
      </c>
      <c r="J806" s="7" t="s">
        <v>16</v>
      </c>
      <c r="K806" s="8">
        <v>3</v>
      </c>
      <c r="L806" s="8" t="str">
        <f>IF(Table2[[#This Row],[Quantity]]=1, "Single Order", IF(Table2[[#This Row],[Quantity]]=2, "Small Order", IF(Table2[[#This Row],[Quantity]]=3, "Medium Order", "Bulk Order")))</f>
        <v>Medium Order</v>
      </c>
      <c r="M806" s="10">
        <v>500</v>
      </c>
      <c r="N806" s="10">
        <v>1500</v>
      </c>
    </row>
    <row r="807" spans="1:14" x14ac:dyDescent="0.2">
      <c r="A807">
        <v>735</v>
      </c>
      <c r="B807" s="5">
        <v>45203</v>
      </c>
      <c r="C807" s="5" t="str">
        <f>TEXT(Table2[[#This Row],[Date]], "MMM")</f>
        <v>Oct</v>
      </c>
      <c r="D807" s="8">
        <f>MONTH(Table2[[#This Row],[Date]])</f>
        <v>10</v>
      </c>
      <c r="E807" s="8">
        <f>YEAR(Table2[[#This Row],[Date]])</f>
        <v>2023</v>
      </c>
      <c r="F807" s="7" t="s">
        <v>748</v>
      </c>
      <c r="G807" s="7" t="s">
        <v>13</v>
      </c>
      <c r="H807" s="8">
        <v>64</v>
      </c>
      <c r="I807" s="8" t="str">
        <f>IF(Table2[[#This Row],[Age]] &lt; 19, "Teenagers", IF(Table2[[#This Row],[Age]] &lt;= 34, "Young Adults", IF(Table2[[#This Row],[Age]] &lt;= 45, "Adults", IF(Table2[[#This Row],[Age]] &lt;= 55, "Seniors", "Elderly")) ))</f>
        <v>Elderly</v>
      </c>
      <c r="J807" s="7" t="s">
        <v>14</v>
      </c>
      <c r="K807" s="8">
        <v>4</v>
      </c>
      <c r="L807" s="8" t="str">
        <f>IF(Table2[[#This Row],[Quantity]]=1, "Single Order", IF(Table2[[#This Row],[Quantity]]=2, "Small Order", IF(Table2[[#This Row],[Quantity]]=3, "Medium Order", "Bulk Order")))</f>
        <v>Bulk Order</v>
      </c>
      <c r="M807" s="10">
        <v>500</v>
      </c>
      <c r="N807" s="10">
        <v>2000</v>
      </c>
    </row>
    <row r="808" spans="1:14" x14ac:dyDescent="0.2">
      <c r="A808">
        <v>754</v>
      </c>
      <c r="B808" s="5">
        <v>45215</v>
      </c>
      <c r="C808" s="5" t="str">
        <f>TEXT(Table2[[#This Row],[Date]], "MMM")</f>
        <v>Oct</v>
      </c>
      <c r="D808" s="8">
        <f>MONTH(Table2[[#This Row],[Date]])</f>
        <v>10</v>
      </c>
      <c r="E808" s="8">
        <f>YEAR(Table2[[#This Row],[Date]])</f>
        <v>2023</v>
      </c>
      <c r="F808" s="7" t="s">
        <v>767</v>
      </c>
      <c r="G808" s="7" t="s">
        <v>13</v>
      </c>
      <c r="H808" s="8">
        <v>43</v>
      </c>
      <c r="I808" s="8" t="str">
        <f>IF(Table2[[#This Row],[Age]] &lt; 19, "Teenagers", IF(Table2[[#This Row],[Age]] &lt;= 34, "Young Adults", IF(Table2[[#This Row],[Age]] &lt;= 45, "Adults", IF(Table2[[#This Row],[Age]] &lt;= 55, "Seniors", "Elderly")) ))</f>
        <v>Adults</v>
      </c>
      <c r="J808" s="7" t="s">
        <v>16</v>
      </c>
      <c r="K808" s="8">
        <v>4</v>
      </c>
      <c r="L808" s="8" t="str">
        <f>IF(Table2[[#This Row],[Quantity]]=1, "Single Order", IF(Table2[[#This Row],[Quantity]]=2, "Small Order", IF(Table2[[#This Row],[Quantity]]=3, "Medium Order", "Bulk Order")))</f>
        <v>Bulk Order</v>
      </c>
      <c r="M808" s="10">
        <v>25</v>
      </c>
      <c r="N808" s="10">
        <v>100</v>
      </c>
    </row>
    <row r="809" spans="1:14" x14ac:dyDescent="0.2">
      <c r="A809">
        <v>767</v>
      </c>
      <c r="B809" s="5">
        <v>45223</v>
      </c>
      <c r="C809" s="5" t="str">
        <f>TEXT(Table2[[#This Row],[Date]], "MMM")</f>
        <v>Oct</v>
      </c>
      <c r="D809" s="8">
        <f>MONTH(Table2[[#This Row],[Date]])</f>
        <v>10</v>
      </c>
      <c r="E809" s="8">
        <f>YEAR(Table2[[#This Row],[Date]])</f>
        <v>2023</v>
      </c>
      <c r="F809" s="7" t="s">
        <v>780</v>
      </c>
      <c r="G809" s="7" t="s">
        <v>10</v>
      </c>
      <c r="H809" s="8">
        <v>39</v>
      </c>
      <c r="I809" s="8" t="str">
        <f>IF(Table2[[#This Row],[Age]] &lt; 19, "Teenagers", IF(Table2[[#This Row],[Age]] &lt;= 34, "Young Adults", IF(Table2[[#This Row],[Age]] &lt;= 45, "Adults", IF(Table2[[#This Row],[Age]] &lt;= 55, "Seniors", "Elderly")) ))</f>
        <v>Adults</v>
      </c>
      <c r="J809" s="7" t="s">
        <v>11</v>
      </c>
      <c r="K809" s="8">
        <v>3</v>
      </c>
      <c r="L809" s="8" t="str">
        <f>IF(Table2[[#This Row],[Quantity]]=1, "Single Order", IF(Table2[[#This Row],[Quantity]]=2, "Small Order", IF(Table2[[#This Row],[Quantity]]=3, "Medium Order", "Bulk Order")))</f>
        <v>Medium Order</v>
      </c>
      <c r="M809" s="10">
        <v>25</v>
      </c>
      <c r="N809" s="10">
        <v>75</v>
      </c>
    </row>
    <row r="810" spans="1:14" x14ac:dyDescent="0.2">
      <c r="A810">
        <v>770</v>
      </c>
      <c r="B810" s="5">
        <v>45221</v>
      </c>
      <c r="C810" s="5" t="str">
        <f>TEXT(Table2[[#This Row],[Date]], "MMM")</f>
        <v>Oct</v>
      </c>
      <c r="D810" s="8">
        <f>MONTH(Table2[[#This Row],[Date]])</f>
        <v>10</v>
      </c>
      <c r="E810" s="8">
        <f>YEAR(Table2[[#This Row],[Date]])</f>
        <v>2023</v>
      </c>
      <c r="F810" s="7" t="s">
        <v>783</v>
      </c>
      <c r="G810" s="7" t="s">
        <v>10</v>
      </c>
      <c r="H810" s="8">
        <v>32</v>
      </c>
      <c r="I810" s="8" t="str">
        <f>IF(Table2[[#This Row],[Age]] &lt; 19, "Teenagers", IF(Table2[[#This Row],[Age]] &lt;= 34, "Young Adults", IF(Table2[[#This Row],[Age]] &lt;= 45, "Adults", IF(Table2[[#This Row],[Age]] &lt;= 55, "Seniors", "Elderly")) ))</f>
        <v>Young Adults</v>
      </c>
      <c r="J810" s="7" t="s">
        <v>14</v>
      </c>
      <c r="K810" s="8">
        <v>1</v>
      </c>
      <c r="L810" s="8" t="str">
        <f>IF(Table2[[#This Row],[Quantity]]=1, "Single Order", IF(Table2[[#This Row],[Quantity]]=2, "Small Order", IF(Table2[[#This Row],[Quantity]]=3, "Medium Order", "Bulk Order")))</f>
        <v>Single Order</v>
      </c>
      <c r="M810" s="10">
        <v>50</v>
      </c>
      <c r="N810" s="10">
        <v>50</v>
      </c>
    </row>
    <row r="811" spans="1:14" x14ac:dyDescent="0.2">
      <c r="A811">
        <v>776</v>
      </c>
      <c r="B811" s="5">
        <v>45230</v>
      </c>
      <c r="C811" s="5" t="str">
        <f>TEXT(Table2[[#This Row],[Date]], "MMM")</f>
        <v>Oct</v>
      </c>
      <c r="D811" s="8">
        <f>MONTH(Table2[[#This Row],[Date]])</f>
        <v>10</v>
      </c>
      <c r="E811" s="8">
        <f>YEAR(Table2[[#This Row],[Date]])</f>
        <v>2023</v>
      </c>
      <c r="F811" s="7" t="s">
        <v>789</v>
      </c>
      <c r="G811" s="7" t="s">
        <v>10</v>
      </c>
      <c r="H811" s="8">
        <v>35</v>
      </c>
      <c r="I811" s="8" t="str">
        <f>IF(Table2[[#This Row],[Age]] &lt; 19, "Teenagers", IF(Table2[[#This Row],[Age]] &lt;= 34, "Young Adults", IF(Table2[[#This Row],[Age]] &lt;= 45, "Adults", IF(Table2[[#This Row],[Age]] &lt;= 55, "Seniors", "Elderly")) ))</f>
        <v>Adults</v>
      </c>
      <c r="J811" s="7" t="s">
        <v>14</v>
      </c>
      <c r="K811" s="8">
        <v>3</v>
      </c>
      <c r="L811" s="8" t="str">
        <f>IF(Table2[[#This Row],[Quantity]]=1, "Single Order", IF(Table2[[#This Row],[Quantity]]=2, "Small Order", IF(Table2[[#This Row],[Quantity]]=3, "Medium Order", "Bulk Order")))</f>
        <v>Medium Order</v>
      </c>
      <c r="M811" s="10">
        <v>30</v>
      </c>
      <c r="N811" s="10">
        <v>90</v>
      </c>
    </row>
    <row r="812" spans="1:14" x14ac:dyDescent="0.2">
      <c r="A812">
        <v>786</v>
      </c>
      <c r="B812" s="5">
        <v>45216</v>
      </c>
      <c r="C812" s="5" t="str">
        <f>TEXT(Table2[[#This Row],[Date]], "MMM")</f>
        <v>Oct</v>
      </c>
      <c r="D812" s="8">
        <f>MONTH(Table2[[#This Row],[Date]])</f>
        <v>10</v>
      </c>
      <c r="E812" s="8">
        <f>YEAR(Table2[[#This Row],[Date]])</f>
        <v>2023</v>
      </c>
      <c r="F812" s="7" t="s">
        <v>799</v>
      </c>
      <c r="G812" s="7" t="s">
        <v>10</v>
      </c>
      <c r="H812" s="8">
        <v>48</v>
      </c>
      <c r="I812" s="8" t="str">
        <f>IF(Table2[[#This Row],[Age]] &lt; 19, "Teenagers", IF(Table2[[#This Row],[Age]] &lt;= 34, "Young Adults", IF(Table2[[#This Row],[Age]] &lt;= 45, "Adults", IF(Table2[[#This Row],[Age]] &lt;= 55, "Seniors", "Elderly")) ))</f>
        <v>Seniors</v>
      </c>
      <c r="J812" s="7" t="s">
        <v>14</v>
      </c>
      <c r="K812" s="8">
        <v>4</v>
      </c>
      <c r="L812" s="8" t="str">
        <f>IF(Table2[[#This Row],[Quantity]]=1, "Single Order", IF(Table2[[#This Row],[Quantity]]=2, "Small Order", IF(Table2[[#This Row],[Quantity]]=3, "Medium Order", "Bulk Order")))</f>
        <v>Bulk Order</v>
      </c>
      <c r="M812" s="10">
        <v>25</v>
      </c>
      <c r="N812" s="10">
        <v>100</v>
      </c>
    </row>
    <row r="813" spans="1:14" x14ac:dyDescent="0.2">
      <c r="A813">
        <v>813</v>
      </c>
      <c r="B813" s="5">
        <v>45202</v>
      </c>
      <c r="C813" s="5" t="str">
        <f>TEXT(Table2[[#This Row],[Date]], "MMM")</f>
        <v>Oct</v>
      </c>
      <c r="D813" s="8">
        <f>MONTH(Table2[[#This Row],[Date]])</f>
        <v>10</v>
      </c>
      <c r="E813" s="8">
        <f>YEAR(Table2[[#This Row],[Date]])</f>
        <v>2023</v>
      </c>
      <c r="F813" s="7" t="s">
        <v>826</v>
      </c>
      <c r="G813" s="7" t="s">
        <v>10</v>
      </c>
      <c r="H813" s="8">
        <v>52</v>
      </c>
      <c r="I813" s="8" t="str">
        <f>IF(Table2[[#This Row],[Age]] &lt; 19, "Teenagers", IF(Table2[[#This Row],[Age]] &lt;= 34, "Young Adults", IF(Table2[[#This Row],[Age]] &lt;= 45, "Adults", IF(Table2[[#This Row],[Age]] &lt;= 55, "Seniors", "Elderly")) ))</f>
        <v>Seniors</v>
      </c>
      <c r="J813" s="7" t="s">
        <v>16</v>
      </c>
      <c r="K813" s="8">
        <v>3</v>
      </c>
      <c r="L813" s="8" t="str">
        <f>IF(Table2[[#This Row],[Quantity]]=1, "Single Order", IF(Table2[[#This Row],[Quantity]]=2, "Small Order", IF(Table2[[#This Row],[Quantity]]=3, "Medium Order", "Bulk Order")))</f>
        <v>Medium Order</v>
      </c>
      <c r="M813" s="10">
        <v>50</v>
      </c>
      <c r="N813" s="10">
        <v>150</v>
      </c>
    </row>
    <row r="814" spans="1:14" x14ac:dyDescent="0.2">
      <c r="A814">
        <v>817</v>
      </c>
      <c r="B814" s="5">
        <v>45230</v>
      </c>
      <c r="C814" s="5" t="str">
        <f>TEXT(Table2[[#This Row],[Date]], "MMM")</f>
        <v>Oct</v>
      </c>
      <c r="D814" s="8">
        <f>MONTH(Table2[[#This Row],[Date]])</f>
        <v>10</v>
      </c>
      <c r="E814" s="8">
        <f>YEAR(Table2[[#This Row],[Date]])</f>
        <v>2023</v>
      </c>
      <c r="F814" s="7" t="s">
        <v>830</v>
      </c>
      <c r="G814" s="7" t="s">
        <v>10</v>
      </c>
      <c r="H814" s="8">
        <v>30</v>
      </c>
      <c r="I814" s="8" t="str">
        <f>IF(Table2[[#This Row],[Age]] &lt; 19, "Teenagers", IF(Table2[[#This Row],[Age]] &lt;= 34, "Young Adults", IF(Table2[[#This Row],[Age]] &lt;= 45, "Adults", IF(Table2[[#This Row],[Age]] &lt;= 55, "Seniors", "Elderly")) ))</f>
        <v>Young Adults</v>
      </c>
      <c r="J814" s="7" t="s">
        <v>11</v>
      </c>
      <c r="K814" s="8">
        <v>4</v>
      </c>
      <c r="L814" s="8" t="str">
        <f>IF(Table2[[#This Row],[Quantity]]=1, "Single Order", IF(Table2[[#This Row],[Quantity]]=2, "Small Order", IF(Table2[[#This Row],[Quantity]]=3, "Medium Order", "Bulk Order")))</f>
        <v>Bulk Order</v>
      </c>
      <c r="M814" s="10">
        <v>50</v>
      </c>
      <c r="N814" s="10">
        <v>200</v>
      </c>
    </row>
    <row r="815" spans="1:14" x14ac:dyDescent="0.2">
      <c r="A815">
        <v>826</v>
      </c>
      <c r="B815" s="5">
        <v>45218</v>
      </c>
      <c r="C815" s="5" t="str">
        <f>TEXT(Table2[[#This Row],[Date]], "MMM")</f>
        <v>Oct</v>
      </c>
      <c r="D815" s="8">
        <f>MONTH(Table2[[#This Row],[Date]])</f>
        <v>10</v>
      </c>
      <c r="E815" s="8">
        <f>YEAR(Table2[[#This Row],[Date]])</f>
        <v>2023</v>
      </c>
      <c r="F815" s="7" t="s">
        <v>839</v>
      </c>
      <c r="G815" s="7" t="s">
        <v>13</v>
      </c>
      <c r="H815" s="8">
        <v>46</v>
      </c>
      <c r="I815" s="8" t="str">
        <f>IF(Table2[[#This Row],[Age]] &lt; 19, "Teenagers", IF(Table2[[#This Row],[Age]] &lt;= 34, "Young Adults", IF(Table2[[#This Row],[Age]] &lt;= 45, "Adults", IF(Table2[[#This Row],[Age]] &lt;= 55, "Seniors", "Elderly")) ))</f>
        <v>Seniors</v>
      </c>
      <c r="J815" s="7" t="s">
        <v>14</v>
      </c>
      <c r="K815" s="8">
        <v>1</v>
      </c>
      <c r="L815" s="8" t="str">
        <f>IF(Table2[[#This Row],[Quantity]]=1, "Single Order", IF(Table2[[#This Row],[Quantity]]=2, "Small Order", IF(Table2[[#This Row],[Quantity]]=3, "Medium Order", "Bulk Order")))</f>
        <v>Single Order</v>
      </c>
      <c r="M815" s="10">
        <v>300</v>
      </c>
      <c r="N815" s="10">
        <v>300</v>
      </c>
    </row>
    <row r="816" spans="1:14" x14ac:dyDescent="0.2">
      <c r="A816">
        <v>844</v>
      </c>
      <c r="B816" s="5">
        <v>45211</v>
      </c>
      <c r="C816" s="5" t="str">
        <f>TEXT(Table2[[#This Row],[Date]], "MMM")</f>
        <v>Oct</v>
      </c>
      <c r="D816" s="8">
        <f>MONTH(Table2[[#This Row],[Date]])</f>
        <v>10</v>
      </c>
      <c r="E816" s="8">
        <f>YEAR(Table2[[#This Row],[Date]])</f>
        <v>2023</v>
      </c>
      <c r="F816" s="7" t="s">
        <v>857</v>
      </c>
      <c r="G816" s="7" t="s">
        <v>10</v>
      </c>
      <c r="H816" s="8">
        <v>35</v>
      </c>
      <c r="I816" s="8" t="str">
        <f>IF(Table2[[#This Row],[Age]] &lt; 19, "Teenagers", IF(Table2[[#This Row],[Age]] &lt;= 34, "Young Adults", IF(Table2[[#This Row],[Age]] &lt;= 45, "Adults", IF(Table2[[#This Row],[Age]] &lt;= 55, "Seniors", "Elderly")) ))</f>
        <v>Adults</v>
      </c>
      <c r="J816" s="7" t="s">
        <v>14</v>
      </c>
      <c r="K816" s="8">
        <v>3</v>
      </c>
      <c r="L816" s="8" t="str">
        <f>IF(Table2[[#This Row],[Quantity]]=1, "Single Order", IF(Table2[[#This Row],[Quantity]]=2, "Small Order", IF(Table2[[#This Row],[Quantity]]=3, "Medium Order", "Bulk Order")))</f>
        <v>Medium Order</v>
      </c>
      <c r="M816" s="10">
        <v>50</v>
      </c>
      <c r="N816" s="10">
        <v>150</v>
      </c>
    </row>
    <row r="817" spans="1:14" x14ac:dyDescent="0.2">
      <c r="A817">
        <v>852</v>
      </c>
      <c r="B817" s="5">
        <v>45211</v>
      </c>
      <c r="C817" s="5" t="str">
        <f>TEXT(Table2[[#This Row],[Date]], "MMM")</f>
        <v>Oct</v>
      </c>
      <c r="D817" s="8">
        <f>MONTH(Table2[[#This Row],[Date]])</f>
        <v>10</v>
      </c>
      <c r="E817" s="8">
        <f>YEAR(Table2[[#This Row],[Date]])</f>
        <v>2023</v>
      </c>
      <c r="F817" s="7" t="s">
        <v>865</v>
      </c>
      <c r="G817" s="7" t="s">
        <v>13</v>
      </c>
      <c r="H817" s="8">
        <v>41</v>
      </c>
      <c r="I817" s="8" t="str">
        <f>IF(Table2[[#This Row],[Age]] &lt; 19, "Teenagers", IF(Table2[[#This Row],[Age]] &lt;= 34, "Young Adults", IF(Table2[[#This Row],[Age]] &lt;= 45, "Adults", IF(Table2[[#This Row],[Age]] &lt;= 55, "Seniors", "Elderly")) ))</f>
        <v>Adults</v>
      </c>
      <c r="J817" s="7" t="s">
        <v>14</v>
      </c>
      <c r="K817" s="8">
        <v>1</v>
      </c>
      <c r="L817" s="8" t="str">
        <f>IF(Table2[[#This Row],[Quantity]]=1, "Single Order", IF(Table2[[#This Row],[Quantity]]=2, "Small Order", IF(Table2[[#This Row],[Quantity]]=3, "Medium Order", "Bulk Order")))</f>
        <v>Single Order</v>
      </c>
      <c r="M817" s="10">
        <v>300</v>
      </c>
      <c r="N817" s="10">
        <v>300</v>
      </c>
    </row>
    <row r="818" spans="1:14" x14ac:dyDescent="0.2">
      <c r="A818">
        <v>869</v>
      </c>
      <c r="B818" s="5">
        <v>45224</v>
      </c>
      <c r="C818" s="5" t="str">
        <f>TEXT(Table2[[#This Row],[Date]], "MMM")</f>
        <v>Oct</v>
      </c>
      <c r="D818" s="8">
        <f>MONTH(Table2[[#This Row],[Date]])</f>
        <v>10</v>
      </c>
      <c r="E818" s="8">
        <f>YEAR(Table2[[#This Row],[Date]])</f>
        <v>2023</v>
      </c>
      <c r="F818" s="7" t="s">
        <v>882</v>
      </c>
      <c r="G818" s="7" t="s">
        <v>10</v>
      </c>
      <c r="H818" s="8">
        <v>37</v>
      </c>
      <c r="I818" s="8" t="str">
        <f>IF(Table2[[#This Row],[Age]] &lt; 19, "Teenagers", IF(Table2[[#This Row],[Age]] &lt;= 34, "Young Adults", IF(Table2[[#This Row],[Age]] &lt;= 45, "Adults", IF(Table2[[#This Row],[Age]] &lt;= 55, "Seniors", "Elderly")) ))</f>
        <v>Adults</v>
      </c>
      <c r="J818" s="7" t="s">
        <v>11</v>
      </c>
      <c r="K818" s="8">
        <v>3</v>
      </c>
      <c r="L818" s="8" t="str">
        <f>IF(Table2[[#This Row],[Quantity]]=1, "Single Order", IF(Table2[[#This Row],[Quantity]]=2, "Small Order", IF(Table2[[#This Row],[Quantity]]=3, "Medium Order", "Bulk Order")))</f>
        <v>Medium Order</v>
      </c>
      <c r="M818" s="10">
        <v>500</v>
      </c>
      <c r="N818" s="10">
        <v>1500</v>
      </c>
    </row>
    <row r="819" spans="1:14" x14ac:dyDescent="0.2">
      <c r="A819">
        <v>872</v>
      </c>
      <c r="B819" s="5">
        <v>45210</v>
      </c>
      <c r="C819" s="5" t="str">
        <f>TEXT(Table2[[#This Row],[Date]], "MMM")</f>
        <v>Oct</v>
      </c>
      <c r="D819" s="8">
        <f>MONTH(Table2[[#This Row],[Date]])</f>
        <v>10</v>
      </c>
      <c r="E819" s="8">
        <f>YEAR(Table2[[#This Row],[Date]])</f>
        <v>2023</v>
      </c>
      <c r="F819" s="7" t="s">
        <v>885</v>
      </c>
      <c r="G819" s="7" t="s">
        <v>13</v>
      </c>
      <c r="H819" s="8">
        <v>63</v>
      </c>
      <c r="I819" s="8" t="str">
        <f>IF(Table2[[#This Row],[Age]] &lt; 19, "Teenagers", IF(Table2[[#This Row],[Age]] &lt;= 34, "Young Adults", IF(Table2[[#This Row],[Age]] &lt;= 45, "Adults", IF(Table2[[#This Row],[Age]] &lt;= 55, "Seniors", "Elderly")) ))</f>
        <v>Elderly</v>
      </c>
      <c r="J819" s="7" t="s">
        <v>11</v>
      </c>
      <c r="K819" s="8">
        <v>3</v>
      </c>
      <c r="L819" s="8" t="str">
        <f>IF(Table2[[#This Row],[Quantity]]=1, "Single Order", IF(Table2[[#This Row],[Quantity]]=2, "Small Order", IF(Table2[[#This Row],[Quantity]]=3, "Medium Order", "Bulk Order")))</f>
        <v>Medium Order</v>
      </c>
      <c r="M819" s="10">
        <v>25</v>
      </c>
      <c r="N819" s="10">
        <v>75</v>
      </c>
    </row>
    <row r="820" spans="1:14" x14ac:dyDescent="0.2">
      <c r="A820">
        <v>876</v>
      </c>
      <c r="B820" s="5">
        <v>45208</v>
      </c>
      <c r="C820" s="5" t="str">
        <f>TEXT(Table2[[#This Row],[Date]], "MMM")</f>
        <v>Oct</v>
      </c>
      <c r="D820" s="8">
        <f>MONTH(Table2[[#This Row],[Date]])</f>
        <v>10</v>
      </c>
      <c r="E820" s="8">
        <f>YEAR(Table2[[#This Row],[Date]])</f>
        <v>2023</v>
      </c>
      <c r="F820" s="7" t="s">
        <v>889</v>
      </c>
      <c r="G820" s="7" t="s">
        <v>10</v>
      </c>
      <c r="H820" s="8">
        <v>43</v>
      </c>
      <c r="I820" s="8" t="str">
        <f>IF(Table2[[#This Row],[Age]] &lt; 19, "Teenagers", IF(Table2[[#This Row],[Age]] &lt;= 34, "Young Adults", IF(Table2[[#This Row],[Age]] &lt;= 45, "Adults", IF(Table2[[#This Row],[Age]] &lt;= 55, "Seniors", "Elderly")) ))</f>
        <v>Adults</v>
      </c>
      <c r="J820" s="7" t="s">
        <v>14</v>
      </c>
      <c r="K820" s="8">
        <v>4</v>
      </c>
      <c r="L820" s="8" t="str">
        <f>IF(Table2[[#This Row],[Quantity]]=1, "Single Order", IF(Table2[[#This Row],[Quantity]]=2, "Small Order", IF(Table2[[#This Row],[Quantity]]=3, "Medium Order", "Bulk Order")))</f>
        <v>Bulk Order</v>
      </c>
      <c r="M820" s="10">
        <v>30</v>
      </c>
      <c r="N820" s="10">
        <v>120</v>
      </c>
    </row>
    <row r="821" spans="1:14" x14ac:dyDescent="0.2">
      <c r="A821">
        <v>889</v>
      </c>
      <c r="B821" s="5">
        <v>45201</v>
      </c>
      <c r="C821" s="5" t="str">
        <f>TEXT(Table2[[#This Row],[Date]], "MMM")</f>
        <v>Oct</v>
      </c>
      <c r="D821" s="8">
        <f>MONTH(Table2[[#This Row],[Date]])</f>
        <v>10</v>
      </c>
      <c r="E821" s="8">
        <f>YEAR(Table2[[#This Row],[Date]])</f>
        <v>2023</v>
      </c>
      <c r="F821" s="7" t="s">
        <v>902</v>
      </c>
      <c r="G821" s="7" t="s">
        <v>13</v>
      </c>
      <c r="H821" s="8">
        <v>35</v>
      </c>
      <c r="I821" s="8" t="str">
        <f>IF(Table2[[#This Row],[Age]] &lt; 19, "Teenagers", IF(Table2[[#This Row],[Age]] &lt;= 34, "Young Adults", IF(Table2[[#This Row],[Age]] &lt;= 45, "Adults", IF(Table2[[#This Row],[Age]] &lt;= 55, "Seniors", "Elderly")) ))</f>
        <v>Adults</v>
      </c>
      <c r="J821" s="7" t="s">
        <v>16</v>
      </c>
      <c r="K821" s="8">
        <v>1</v>
      </c>
      <c r="L821" s="8" t="str">
        <f>IF(Table2[[#This Row],[Quantity]]=1, "Single Order", IF(Table2[[#This Row],[Quantity]]=2, "Small Order", IF(Table2[[#This Row],[Quantity]]=3, "Medium Order", "Bulk Order")))</f>
        <v>Single Order</v>
      </c>
      <c r="M821" s="10">
        <v>50</v>
      </c>
      <c r="N821" s="10">
        <v>50</v>
      </c>
    </row>
    <row r="822" spans="1:14" x14ac:dyDescent="0.2">
      <c r="A822">
        <v>896</v>
      </c>
      <c r="B822" s="5">
        <v>45228</v>
      </c>
      <c r="C822" s="5" t="str">
        <f>TEXT(Table2[[#This Row],[Date]], "MMM")</f>
        <v>Oct</v>
      </c>
      <c r="D822" s="8">
        <f>MONTH(Table2[[#This Row],[Date]])</f>
        <v>10</v>
      </c>
      <c r="E822" s="8">
        <f>YEAR(Table2[[#This Row],[Date]])</f>
        <v>2023</v>
      </c>
      <c r="F822" s="7" t="s">
        <v>909</v>
      </c>
      <c r="G822" s="7" t="s">
        <v>13</v>
      </c>
      <c r="H822" s="8">
        <v>30</v>
      </c>
      <c r="I822" s="8" t="str">
        <f>IF(Table2[[#This Row],[Age]] &lt; 19, "Teenagers", IF(Table2[[#This Row],[Age]] &lt;= 34, "Young Adults", IF(Table2[[#This Row],[Age]] &lt;= 45, "Adults", IF(Table2[[#This Row],[Age]] &lt;= 55, "Seniors", "Elderly")) ))</f>
        <v>Young Adults</v>
      </c>
      <c r="J822" s="7" t="s">
        <v>16</v>
      </c>
      <c r="K822" s="8">
        <v>2</v>
      </c>
      <c r="L822" s="8" t="str">
        <f>IF(Table2[[#This Row],[Quantity]]=1, "Single Order", IF(Table2[[#This Row],[Quantity]]=2, "Small Order", IF(Table2[[#This Row],[Quantity]]=3, "Medium Order", "Bulk Order")))</f>
        <v>Small Order</v>
      </c>
      <c r="M822" s="10">
        <v>25</v>
      </c>
      <c r="N822" s="10">
        <v>50</v>
      </c>
    </row>
    <row r="823" spans="1:14" x14ac:dyDescent="0.2">
      <c r="A823">
        <v>909</v>
      </c>
      <c r="B823" s="5">
        <v>45200</v>
      </c>
      <c r="C823" s="5" t="str">
        <f>TEXT(Table2[[#This Row],[Date]], "MMM")</f>
        <v>Oct</v>
      </c>
      <c r="D823" s="8">
        <f>MONTH(Table2[[#This Row],[Date]])</f>
        <v>10</v>
      </c>
      <c r="E823" s="8">
        <f>YEAR(Table2[[#This Row],[Date]])</f>
        <v>2023</v>
      </c>
      <c r="F823" s="7" t="s">
        <v>922</v>
      </c>
      <c r="G823" s="7" t="s">
        <v>10</v>
      </c>
      <c r="H823" s="8">
        <v>26</v>
      </c>
      <c r="I823" s="8" t="str">
        <f>IF(Table2[[#This Row],[Age]] &lt; 19, "Teenagers", IF(Table2[[#This Row],[Age]] &lt;= 34, "Young Adults", IF(Table2[[#This Row],[Age]] &lt;= 45, "Adults", IF(Table2[[#This Row],[Age]] &lt;= 55, "Seniors", "Elderly")) ))</f>
        <v>Young Adults</v>
      </c>
      <c r="J823" s="7" t="s">
        <v>16</v>
      </c>
      <c r="K823" s="8">
        <v>1</v>
      </c>
      <c r="L823" s="8" t="str">
        <f>IF(Table2[[#This Row],[Quantity]]=1, "Single Order", IF(Table2[[#This Row],[Quantity]]=2, "Small Order", IF(Table2[[#This Row],[Quantity]]=3, "Medium Order", "Bulk Order")))</f>
        <v>Single Order</v>
      </c>
      <c r="M823" s="10">
        <v>300</v>
      </c>
      <c r="N823" s="10">
        <v>300</v>
      </c>
    </row>
    <row r="824" spans="1:14" x14ac:dyDescent="0.2">
      <c r="A824">
        <v>914</v>
      </c>
      <c r="B824" s="5">
        <v>45210</v>
      </c>
      <c r="C824" s="5" t="str">
        <f>TEXT(Table2[[#This Row],[Date]], "MMM")</f>
        <v>Oct</v>
      </c>
      <c r="D824" s="8">
        <f>MONTH(Table2[[#This Row],[Date]])</f>
        <v>10</v>
      </c>
      <c r="E824" s="8">
        <f>YEAR(Table2[[#This Row],[Date]])</f>
        <v>2023</v>
      </c>
      <c r="F824" s="7" t="s">
        <v>927</v>
      </c>
      <c r="G824" s="7" t="s">
        <v>13</v>
      </c>
      <c r="H824" s="8">
        <v>59</v>
      </c>
      <c r="I824" s="8" t="str">
        <f>IF(Table2[[#This Row],[Age]] &lt; 19, "Teenagers", IF(Table2[[#This Row],[Age]] &lt;= 34, "Young Adults", IF(Table2[[#This Row],[Age]] &lt;= 45, "Adults", IF(Table2[[#This Row],[Age]] &lt;= 55, "Seniors", "Elderly")) ))</f>
        <v>Elderly</v>
      </c>
      <c r="J824" s="7" t="s">
        <v>16</v>
      </c>
      <c r="K824" s="8">
        <v>1</v>
      </c>
      <c r="L824" s="8" t="str">
        <f>IF(Table2[[#This Row],[Quantity]]=1, "Single Order", IF(Table2[[#This Row],[Quantity]]=2, "Small Order", IF(Table2[[#This Row],[Quantity]]=3, "Medium Order", "Bulk Order")))</f>
        <v>Single Order</v>
      </c>
      <c r="M824" s="10">
        <v>500</v>
      </c>
      <c r="N824" s="10">
        <v>500</v>
      </c>
    </row>
    <row r="825" spans="1:14" x14ac:dyDescent="0.2">
      <c r="A825">
        <v>922</v>
      </c>
      <c r="B825" s="5">
        <v>45220</v>
      </c>
      <c r="C825" s="5" t="str">
        <f>TEXT(Table2[[#This Row],[Date]], "MMM")</f>
        <v>Oct</v>
      </c>
      <c r="D825" s="8">
        <f>MONTH(Table2[[#This Row],[Date]])</f>
        <v>10</v>
      </c>
      <c r="E825" s="8">
        <f>YEAR(Table2[[#This Row],[Date]])</f>
        <v>2023</v>
      </c>
      <c r="F825" s="7" t="s">
        <v>935</v>
      </c>
      <c r="G825" s="7" t="s">
        <v>10</v>
      </c>
      <c r="H825" s="8">
        <v>41</v>
      </c>
      <c r="I825" s="8" t="str">
        <f>IF(Table2[[#This Row],[Age]] &lt; 19, "Teenagers", IF(Table2[[#This Row],[Age]] &lt;= 34, "Young Adults", IF(Table2[[#This Row],[Age]] &lt;= 45, "Adults", IF(Table2[[#This Row],[Age]] &lt;= 55, "Seniors", "Elderly")) ))</f>
        <v>Adults</v>
      </c>
      <c r="J825" s="7" t="s">
        <v>16</v>
      </c>
      <c r="K825" s="8">
        <v>1</v>
      </c>
      <c r="L825" s="8" t="str">
        <f>IF(Table2[[#This Row],[Quantity]]=1, "Single Order", IF(Table2[[#This Row],[Quantity]]=2, "Small Order", IF(Table2[[#This Row],[Quantity]]=3, "Medium Order", "Bulk Order")))</f>
        <v>Single Order</v>
      </c>
      <c r="M825" s="10">
        <v>50</v>
      </c>
      <c r="N825" s="10">
        <v>50</v>
      </c>
    </row>
    <row r="826" spans="1:14" x14ac:dyDescent="0.2">
      <c r="A826">
        <v>937</v>
      </c>
      <c r="B826" s="5">
        <v>45222</v>
      </c>
      <c r="C826" s="5" t="str">
        <f>TEXT(Table2[[#This Row],[Date]], "MMM")</f>
        <v>Oct</v>
      </c>
      <c r="D826" s="8">
        <f>MONTH(Table2[[#This Row],[Date]])</f>
        <v>10</v>
      </c>
      <c r="E826" s="8">
        <f>YEAR(Table2[[#This Row],[Date]])</f>
        <v>2023</v>
      </c>
      <c r="F826" s="7" t="s">
        <v>950</v>
      </c>
      <c r="G826" s="7" t="s">
        <v>13</v>
      </c>
      <c r="H826" s="8">
        <v>62</v>
      </c>
      <c r="I826" s="8" t="str">
        <f>IF(Table2[[#This Row],[Age]] &lt; 19, "Teenagers", IF(Table2[[#This Row],[Age]] &lt;= 34, "Young Adults", IF(Table2[[#This Row],[Age]] &lt;= 45, "Adults", IF(Table2[[#This Row],[Age]] &lt;= 55, "Seniors", "Elderly")) ))</f>
        <v>Elderly</v>
      </c>
      <c r="J826" s="7" t="s">
        <v>11</v>
      </c>
      <c r="K826" s="8">
        <v>1</v>
      </c>
      <c r="L826" s="8" t="str">
        <f>IF(Table2[[#This Row],[Quantity]]=1, "Single Order", IF(Table2[[#This Row],[Quantity]]=2, "Small Order", IF(Table2[[#This Row],[Quantity]]=3, "Medium Order", "Bulk Order")))</f>
        <v>Single Order</v>
      </c>
      <c r="M826" s="10">
        <v>500</v>
      </c>
      <c r="N826" s="10">
        <v>500</v>
      </c>
    </row>
    <row r="827" spans="1:14" x14ac:dyDescent="0.2">
      <c r="A827">
        <v>943</v>
      </c>
      <c r="B827" s="5">
        <v>45215</v>
      </c>
      <c r="C827" s="5" t="str">
        <f>TEXT(Table2[[#This Row],[Date]], "MMM")</f>
        <v>Oct</v>
      </c>
      <c r="D827" s="8">
        <f>MONTH(Table2[[#This Row],[Date]])</f>
        <v>10</v>
      </c>
      <c r="E827" s="8">
        <f>YEAR(Table2[[#This Row],[Date]])</f>
        <v>2023</v>
      </c>
      <c r="F827" s="7" t="s">
        <v>956</v>
      </c>
      <c r="G827" s="7" t="s">
        <v>13</v>
      </c>
      <c r="H827" s="8">
        <v>57</v>
      </c>
      <c r="I827" s="8" t="str">
        <f>IF(Table2[[#This Row],[Age]] &lt; 19, "Teenagers", IF(Table2[[#This Row],[Age]] &lt;= 34, "Young Adults", IF(Table2[[#This Row],[Age]] &lt;= 45, "Adults", IF(Table2[[#This Row],[Age]] &lt;= 55, "Seniors", "Elderly")) ))</f>
        <v>Elderly</v>
      </c>
      <c r="J827" s="7" t="s">
        <v>14</v>
      </c>
      <c r="K827" s="8">
        <v>4</v>
      </c>
      <c r="L827" s="8" t="str">
        <f>IF(Table2[[#This Row],[Quantity]]=1, "Single Order", IF(Table2[[#This Row],[Quantity]]=2, "Small Order", IF(Table2[[#This Row],[Quantity]]=3, "Medium Order", "Bulk Order")))</f>
        <v>Bulk Order</v>
      </c>
      <c r="M827" s="10">
        <v>300</v>
      </c>
      <c r="N827" s="10">
        <v>1200</v>
      </c>
    </row>
    <row r="828" spans="1:14" x14ac:dyDescent="0.2">
      <c r="A828">
        <v>948</v>
      </c>
      <c r="B828" s="5">
        <v>45212</v>
      </c>
      <c r="C828" s="5" t="str">
        <f>TEXT(Table2[[#This Row],[Date]], "MMM")</f>
        <v>Oct</v>
      </c>
      <c r="D828" s="8">
        <f>MONTH(Table2[[#This Row],[Date]])</f>
        <v>10</v>
      </c>
      <c r="E828" s="8">
        <f>YEAR(Table2[[#This Row],[Date]])</f>
        <v>2023</v>
      </c>
      <c r="F828" s="7" t="s">
        <v>961</v>
      </c>
      <c r="G828" s="7" t="s">
        <v>13</v>
      </c>
      <c r="H828" s="8">
        <v>23</v>
      </c>
      <c r="I828" s="8" t="str">
        <f>IF(Table2[[#This Row],[Age]] &lt; 19, "Teenagers", IF(Table2[[#This Row],[Age]] &lt;= 34, "Young Adults", IF(Table2[[#This Row],[Age]] &lt;= 45, "Adults", IF(Table2[[#This Row],[Age]] &lt;= 55, "Seniors", "Elderly")) ))</f>
        <v>Young Adults</v>
      </c>
      <c r="J828" s="7" t="s">
        <v>16</v>
      </c>
      <c r="K828" s="8">
        <v>3</v>
      </c>
      <c r="L828" s="8" t="str">
        <f>IF(Table2[[#This Row],[Quantity]]=1, "Single Order", IF(Table2[[#This Row],[Quantity]]=2, "Small Order", IF(Table2[[#This Row],[Quantity]]=3, "Medium Order", "Bulk Order")))</f>
        <v>Medium Order</v>
      </c>
      <c r="M828" s="10">
        <v>25</v>
      </c>
      <c r="N828" s="10">
        <v>75</v>
      </c>
    </row>
    <row r="829" spans="1:14" x14ac:dyDescent="0.2">
      <c r="A829">
        <v>959</v>
      </c>
      <c r="B829" s="5">
        <v>45228</v>
      </c>
      <c r="C829" s="5" t="str">
        <f>TEXT(Table2[[#This Row],[Date]], "MMM")</f>
        <v>Oct</v>
      </c>
      <c r="D829" s="8">
        <f>MONTH(Table2[[#This Row],[Date]])</f>
        <v>10</v>
      </c>
      <c r="E829" s="8">
        <f>YEAR(Table2[[#This Row],[Date]])</f>
        <v>2023</v>
      </c>
      <c r="F829" s="7" t="s">
        <v>972</v>
      </c>
      <c r="G829" s="7" t="s">
        <v>13</v>
      </c>
      <c r="H829" s="8">
        <v>42</v>
      </c>
      <c r="I829" s="8" t="str">
        <f>IF(Table2[[#This Row],[Age]] &lt; 19, "Teenagers", IF(Table2[[#This Row],[Age]] &lt;= 34, "Young Adults", IF(Table2[[#This Row],[Age]] &lt;= 45, "Adults", IF(Table2[[#This Row],[Age]] &lt;= 55, "Seniors", "Elderly")) ))</f>
        <v>Adults</v>
      </c>
      <c r="J829" s="7" t="s">
        <v>16</v>
      </c>
      <c r="K829" s="8">
        <v>2</v>
      </c>
      <c r="L829" s="8" t="str">
        <f>IF(Table2[[#This Row],[Quantity]]=1, "Single Order", IF(Table2[[#This Row],[Quantity]]=2, "Small Order", IF(Table2[[#This Row],[Quantity]]=3, "Medium Order", "Bulk Order")))</f>
        <v>Small Order</v>
      </c>
      <c r="M829" s="10">
        <v>30</v>
      </c>
      <c r="N829" s="10">
        <v>60</v>
      </c>
    </row>
    <row r="830" spans="1:14" x14ac:dyDescent="0.2">
      <c r="A830">
        <v>962</v>
      </c>
      <c r="B830" s="5">
        <v>45218</v>
      </c>
      <c r="C830" s="5" t="str">
        <f>TEXT(Table2[[#This Row],[Date]], "MMM")</f>
        <v>Oct</v>
      </c>
      <c r="D830" s="8">
        <f>MONTH(Table2[[#This Row],[Date]])</f>
        <v>10</v>
      </c>
      <c r="E830" s="8">
        <f>YEAR(Table2[[#This Row],[Date]])</f>
        <v>2023</v>
      </c>
      <c r="F830" s="7" t="s">
        <v>975</v>
      </c>
      <c r="G830" s="7" t="s">
        <v>10</v>
      </c>
      <c r="H830" s="8">
        <v>44</v>
      </c>
      <c r="I830" s="8" t="str">
        <f>IF(Table2[[#This Row],[Age]] &lt; 19, "Teenagers", IF(Table2[[#This Row],[Age]] &lt;= 34, "Young Adults", IF(Table2[[#This Row],[Age]] &lt;= 45, "Adults", IF(Table2[[#This Row],[Age]] &lt;= 55, "Seniors", "Elderly")) ))</f>
        <v>Adults</v>
      </c>
      <c r="J830" s="7" t="s">
        <v>14</v>
      </c>
      <c r="K830" s="8">
        <v>2</v>
      </c>
      <c r="L830" s="8" t="str">
        <f>IF(Table2[[#This Row],[Quantity]]=1, "Single Order", IF(Table2[[#This Row],[Quantity]]=2, "Small Order", IF(Table2[[#This Row],[Quantity]]=3, "Medium Order", "Bulk Order")))</f>
        <v>Small Order</v>
      </c>
      <c r="M830" s="10">
        <v>30</v>
      </c>
      <c r="N830" s="10">
        <v>60</v>
      </c>
    </row>
    <row r="831" spans="1:14" x14ac:dyDescent="0.2">
      <c r="A831">
        <v>976</v>
      </c>
      <c r="B831" s="5">
        <v>45209</v>
      </c>
      <c r="C831" s="5" t="str">
        <f>TEXT(Table2[[#This Row],[Date]], "MMM")</f>
        <v>Oct</v>
      </c>
      <c r="D831" s="8">
        <f>MONTH(Table2[[#This Row],[Date]])</f>
        <v>10</v>
      </c>
      <c r="E831" s="8">
        <f>YEAR(Table2[[#This Row],[Date]])</f>
        <v>2023</v>
      </c>
      <c r="F831" s="7" t="s">
        <v>989</v>
      </c>
      <c r="G831" s="7" t="s">
        <v>13</v>
      </c>
      <c r="H831" s="8">
        <v>48</v>
      </c>
      <c r="I831" s="8" t="str">
        <f>IF(Table2[[#This Row],[Age]] &lt; 19, "Teenagers", IF(Table2[[#This Row],[Age]] &lt;= 34, "Young Adults", IF(Table2[[#This Row],[Age]] &lt;= 45, "Adults", IF(Table2[[#This Row],[Age]] &lt;= 55, "Seniors", "Elderly")) ))</f>
        <v>Seniors</v>
      </c>
      <c r="J831" s="7" t="s">
        <v>11</v>
      </c>
      <c r="K831" s="8">
        <v>2</v>
      </c>
      <c r="L831" s="8" t="str">
        <f>IF(Table2[[#This Row],[Quantity]]=1, "Single Order", IF(Table2[[#This Row],[Quantity]]=2, "Small Order", IF(Table2[[#This Row],[Quantity]]=3, "Medium Order", "Bulk Order")))</f>
        <v>Small Order</v>
      </c>
      <c r="M831" s="10">
        <v>300</v>
      </c>
      <c r="N831" s="10">
        <v>600</v>
      </c>
    </row>
    <row r="832" spans="1:14" x14ac:dyDescent="0.2">
      <c r="A832">
        <v>998</v>
      </c>
      <c r="B832" s="5">
        <v>45228</v>
      </c>
      <c r="C832" s="5" t="str">
        <f>TEXT(Table2[[#This Row],[Date]], "MMM")</f>
        <v>Oct</v>
      </c>
      <c r="D832" s="8">
        <f>MONTH(Table2[[#This Row],[Date]])</f>
        <v>10</v>
      </c>
      <c r="E832" s="8">
        <f>YEAR(Table2[[#This Row],[Date]])</f>
        <v>2023</v>
      </c>
      <c r="F832" s="7" t="s">
        <v>1011</v>
      </c>
      <c r="G832" s="7" t="s">
        <v>13</v>
      </c>
      <c r="H832" s="8">
        <v>23</v>
      </c>
      <c r="I832" s="8" t="str">
        <f>IF(Table2[[#This Row],[Age]] &lt; 19, "Teenagers", IF(Table2[[#This Row],[Age]] &lt;= 34, "Young Adults", IF(Table2[[#This Row],[Age]] &lt;= 45, "Adults", IF(Table2[[#This Row],[Age]] &lt;= 55, "Seniors", "Elderly")) ))</f>
        <v>Young Adults</v>
      </c>
      <c r="J832" s="7" t="s">
        <v>11</v>
      </c>
      <c r="K832" s="8">
        <v>4</v>
      </c>
      <c r="L832" s="8" t="str">
        <f>IF(Table2[[#This Row],[Quantity]]=1, "Single Order", IF(Table2[[#This Row],[Quantity]]=2, "Small Order", IF(Table2[[#This Row],[Quantity]]=3, "Medium Order", "Bulk Order")))</f>
        <v>Bulk Order</v>
      </c>
      <c r="M832" s="10">
        <v>25</v>
      </c>
      <c r="N832" s="10">
        <v>100</v>
      </c>
    </row>
    <row r="833" spans="1:14" x14ac:dyDescent="0.2">
      <c r="A833">
        <v>1</v>
      </c>
      <c r="B833" s="5">
        <v>45254</v>
      </c>
      <c r="C833" s="5" t="str">
        <f>TEXT(Table2[[#This Row],[Date]], "MMM")</f>
        <v>Nov</v>
      </c>
      <c r="D833" s="8">
        <f>MONTH(Table2[[#This Row],[Date]])</f>
        <v>11</v>
      </c>
      <c r="E833" s="8">
        <f>YEAR(Table2[[#This Row],[Date]])</f>
        <v>2023</v>
      </c>
      <c r="F833" s="7" t="s">
        <v>9</v>
      </c>
      <c r="G833" s="7" t="s">
        <v>10</v>
      </c>
      <c r="H833" s="8">
        <v>34</v>
      </c>
      <c r="I833" s="8" t="str">
        <f>IF(Table2[[#This Row],[Age]] &lt; 19, "Teenagers", IF(Table2[[#This Row],[Age]] &lt;= 34, "Young Adults", IF(Table2[[#This Row],[Age]] &lt;= 45, "Adults", IF(Table2[[#This Row],[Age]] &lt;= 55, "Seniors", "Elderly")) ))</f>
        <v>Young Adults</v>
      </c>
      <c r="J833" s="7" t="s">
        <v>11</v>
      </c>
      <c r="K833" s="8">
        <v>3</v>
      </c>
      <c r="L833" s="8" t="str">
        <f>IF(Table2[[#This Row],[Quantity]]=1, "Single Order", IF(Table2[[#This Row],[Quantity]]=2, "Small Order", IF(Table2[[#This Row],[Quantity]]=3, "Medium Order", "Bulk Order")))</f>
        <v>Medium Order</v>
      </c>
      <c r="M833" s="10">
        <v>50</v>
      </c>
      <c r="N833" s="10">
        <v>150</v>
      </c>
    </row>
    <row r="834" spans="1:14" x14ac:dyDescent="0.2">
      <c r="A834">
        <v>20</v>
      </c>
      <c r="B834" s="5">
        <v>45235</v>
      </c>
      <c r="C834" s="5" t="str">
        <f>TEXT(Table2[[#This Row],[Date]], "MMM")</f>
        <v>Nov</v>
      </c>
      <c r="D834" s="8">
        <f>MONTH(Table2[[#This Row],[Date]])</f>
        <v>11</v>
      </c>
      <c r="E834" s="8">
        <f>YEAR(Table2[[#This Row],[Date]])</f>
        <v>2023</v>
      </c>
      <c r="F834" s="7" t="s">
        <v>33</v>
      </c>
      <c r="G834" s="7" t="s">
        <v>10</v>
      </c>
      <c r="H834" s="8">
        <v>22</v>
      </c>
      <c r="I834" s="8" t="str">
        <f>IF(Table2[[#This Row],[Age]] &lt; 19, "Teenagers", IF(Table2[[#This Row],[Age]] &lt;= 34, "Young Adults", IF(Table2[[#This Row],[Age]] &lt;= 45, "Adults", IF(Table2[[#This Row],[Age]] &lt;= 55, "Seniors", "Elderly")) ))</f>
        <v>Young Adults</v>
      </c>
      <c r="J834" s="7" t="s">
        <v>14</v>
      </c>
      <c r="K834" s="8">
        <v>3</v>
      </c>
      <c r="L834" s="8" t="str">
        <f>IF(Table2[[#This Row],[Quantity]]=1, "Single Order", IF(Table2[[#This Row],[Quantity]]=2, "Small Order", IF(Table2[[#This Row],[Quantity]]=3, "Medium Order", "Bulk Order")))</f>
        <v>Medium Order</v>
      </c>
      <c r="M834" s="10">
        <v>300</v>
      </c>
      <c r="N834" s="10">
        <v>900</v>
      </c>
    </row>
    <row r="835" spans="1:14" x14ac:dyDescent="0.2">
      <c r="A835">
        <v>24</v>
      </c>
      <c r="B835" s="5">
        <v>45259</v>
      </c>
      <c r="C835" s="5" t="str">
        <f>TEXT(Table2[[#This Row],[Date]], "MMM")</f>
        <v>Nov</v>
      </c>
      <c r="D835" s="8">
        <f>MONTH(Table2[[#This Row],[Date]])</f>
        <v>11</v>
      </c>
      <c r="E835" s="8">
        <f>YEAR(Table2[[#This Row],[Date]])</f>
        <v>2023</v>
      </c>
      <c r="F835" s="7" t="s">
        <v>37</v>
      </c>
      <c r="G835" s="7" t="s">
        <v>13</v>
      </c>
      <c r="H835" s="8">
        <v>49</v>
      </c>
      <c r="I835" s="8" t="str">
        <f>IF(Table2[[#This Row],[Age]] &lt; 19, "Teenagers", IF(Table2[[#This Row],[Age]] &lt;= 34, "Young Adults", IF(Table2[[#This Row],[Age]] &lt;= 45, "Adults", IF(Table2[[#This Row],[Age]] &lt;= 55, "Seniors", "Elderly")) ))</f>
        <v>Seniors</v>
      </c>
      <c r="J835" s="7" t="s">
        <v>14</v>
      </c>
      <c r="K835" s="8">
        <v>1</v>
      </c>
      <c r="L835" s="8" t="str">
        <f>IF(Table2[[#This Row],[Quantity]]=1, "Single Order", IF(Table2[[#This Row],[Quantity]]=2, "Small Order", IF(Table2[[#This Row],[Quantity]]=3, "Medium Order", "Bulk Order")))</f>
        <v>Single Order</v>
      </c>
      <c r="M835" s="10">
        <v>300</v>
      </c>
      <c r="N835" s="10">
        <v>300</v>
      </c>
    </row>
    <row r="836" spans="1:14" x14ac:dyDescent="0.2">
      <c r="A836">
        <v>47</v>
      </c>
      <c r="B836" s="5">
        <v>45236</v>
      </c>
      <c r="C836" s="5" t="str">
        <f>TEXT(Table2[[#This Row],[Date]], "MMM")</f>
        <v>Nov</v>
      </c>
      <c r="D836" s="8">
        <f>MONTH(Table2[[#This Row],[Date]])</f>
        <v>11</v>
      </c>
      <c r="E836" s="8">
        <f>YEAR(Table2[[#This Row],[Date]])</f>
        <v>2023</v>
      </c>
      <c r="F836" s="7" t="s">
        <v>60</v>
      </c>
      <c r="G836" s="7" t="s">
        <v>13</v>
      </c>
      <c r="H836" s="8">
        <v>40</v>
      </c>
      <c r="I836" s="8" t="str">
        <f>IF(Table2[[#This Row],[Age]] &lt; 19, "Teenagers", IF(Table2[[#This Row],[Age]] &lt;= 34, "Young Adults", IF(Table2[[#This Row],[Age]] &lt;= 45, "Adults", IF(Table2[[#This Row],[Age]] &lt;= 55, "Seniors", "Elderly")) ))</f>
        <v>Adults</v>
      </c>
      <c r="J836" s="7" t="s">
        <v>11</v>
      </c>
      <c r="K836" s="8">
        <v>3</v>
      </c>
      <c r="L836" s="8" t="str">
        <f>IF(Table2[[#This Row],[Quantity]]=1, "Single Order", IF(Table2[[#This Row],[Quantity]]=2, "Small Order", IF(Table2[[#This Row],[Quantity]]=3, "Medium Order", "Bulk Order")))</f>
        <v>Medium Order</v>
      </c>
      <c r="M836" s="10">
        <v>500</v>
      </c>
      <c r="N836" s="10">
        <v>1500</v>
      </c>
    </row>
    <row r="837" spans="1:14" x14ac:dyDescent="0.2">
      <c r="A837">
        <v>57</v>
      </c>
      <c r="B837" s="5">
        <v>45248</v>
      </c>
      <c r="C837" s="5" t="str">
        <f>TEXT(Table2[[#This Row],[Date]], "MMM")</f>
        <v>Nov</v>
      </c>
      <c r="D837" s="8">
        <f>MONTH(Table2[[#This Row],[Date]])</f>
        <v>11</v>
      </c>
      <c r="E837" s="8">
        <f>YEAR(Table2[[#This Row],[Date]])</f>
        <v>2023</v>
      </c>
      <c r="F837" s="7" t="s">
        <v>70</v>
      </c>
      <c r="G837" s="7" t="s">
        <v>13</v>
      </c>
      <c r="H837" s="8">
        <v>63</v>
      </c>
      <c r="I837" s="8" t="str">
        <f>IF(Table2[[#This Row],[Age]] &lt; 19, "Teenagers", IF(Table2[[#This Row],[Age]] &lt;= 34, "Young Adults", IF(Table2[[#This Row],[Age]] &lt;= 45, "Adults", IF(Table2[[#This Row],[Age]] &lt;= 55, "Seniors", "Elderly")) ))</f>
        <v>Elderly</v>
      </c>
      <c r="J837" s="7" t="s">
        <v>11</v>
      </c>
      <c r="K837" s="8">
        <v>1</v>
      </c>
      <c r="L837" s="8" t="str">
        <f>IF(Table2[[#This Row],[Quantity]]=1, "Single Order", IF(Table2[[#This Row],[Quantity]]=2, "Small Order", IF(Table2[[#This Row],[Quantity]]=3, "Medium Order", "Bulk Order")))</f>
        <v>Single Order</v>
      </c>
      <c r="M837" s="10">
        <v>30</v>
      </c>
      <c r="N837" s="10">
        <v>30</v>
      </c>
    </row>
    <row r="838" spans="1:14" x14ac:dyDescent="0.2">
      <c r="A838">
        <v>58</v>
      </c>
      <c r="B838" s="5">
        <v>45243</v>
      </c>
      <c r="C838" s="5" t="str">
        <f>TEXT(Table2[[#This Row],[Date]], "MMM")</f>
        <v>Nov</v>
      </c>
      <c r="D838" s="8">
        <f>MONTH(Table2[[#This Row],[Date]])</f>
        <v>11</v>
      </c>
      <c r="E838" s="8">
        <f>YEAR(Table2[[#This Row],[Date]])</f>
        <v>2023</v>
      </c>
      <c r="F838" s="7" t="s">
        <v>71</v>
      </c>
      <c r="G838" s="7" t="s">
        <v>10</v>
      </c>
      <c r="H838" s="8">
        <v>18</v>
      </c>
      <c r="I838" s="8" t="str">
        <f>IF(Table2[[#This Row],[Age]] &lt; 19, "Teenagers", IF(Table2[[#This Row],[Age]] &lt;= 34, "Young Adults", IF(Table2[[#This Row],[Age]] &lt;= 45, "Adults", IF(Table2[[#This Row],[Age]] &lt;= 55, "Seniors", "Elderly")) ))</f>
        <v>Teenagers</v>
      </c>
      <c r="J838" s="7" t="s">
        <v>14</v>
      </c>
      <c r="K838" s="8">
        <v>4</v>
      </c>
      <c r="L838" s="8" t="str">
        <f>IF(Table2[[#This Row],[Quantity]]=1, "Single Order", IF(Table2[[#This Row],[Quantity]]=2, "Small Order", IF(Table2[[#This Row],[Quantity]]=3, "Medium Order", "Bulk Order")))</f>
        <v>Bulk Order</v>
      </c>
      <c r="M838" s="10">
        <v>300</v>
      </c>
      <c r="N838" s="10">
        <v>1200</v>
      </c>
    </row>
    <row r="839" spans="1:14" x14ac:dyDescent="0.2">
      <c r="A839">
        <v>74</v>
      </c>
      <c r="B839" s="5">
        <v>45252</v>
      </c>
      <c r="C839" s="5" t="str">
        <f>TEXT(Table2[[#This Row],[Date]], "MMM")</f>
        <v>Nov</v>
      </c>
      <c r="D839" s="8">
        <f>MONTH(Table2[[#This Row],[Date]])</f>
        <v>11</v>
      </c>
      <c r="E839" s="8">
        <f>YEAR(Table2[[#This Row],[Date]])</f>
        <v>2023</v>
      </c>
      <c r="F839" s="7" t="s">
        <v>87</v>
      </c>
      <c r="G839" s="7" t="s">
        <v>13</v>
      </c>
      <c r="H839" s="8">
        <v>18</v>
      </c>
      <c r="I839" s="8" t="str">
        <f>IF(Table2[[#This Row],[Age]] &lt; 19, "Teenagers", IF(Table2[[#This Row],[Age]] &lt;= 34, "Young Adults", IF(Table2[[#This Row],[Age]] &lt;= 45, "Adults", IF(Table2[[#This Row],[Age]] &lt;= 55, "Seniors", "Elderly")) ))</f>
        <v>Teenagers</v>
      </c>
      <c r="J839" s="7" t="s">
        <v>11</v>
      </c>
      <c r="K839" s="8">
        <v>4</v>
      </c>
      <c r="L839" s="8" t="str">
        <f>IF(Table2[[#This Row],[Quantity]]=1, "Single Order", IF(Table2[[#This Row],[Quantity]]=2, "Small Order", IF(Table2[[#This Row],[Quantity]]=3, "Medium Order", "Bulk Order")))</f>
        <v>Bulk Order</v>
      </c>
      <c r="M839" s="10">
        <v>500</v>
      </c>
      <c r="N839" s="10">
        <v>2000</v>
      </c>
    </row>
    <row r="840" spans="1:14" x14ac:dyDescent="0.2">
      <c r="A840">
        <v>84</v>
      </c>
      <c r="B840" s="5">
        <v>45258</v>
      </c>
      <c r="C840" s="5" t="str">
        <f>TEXT(Table2[[#This Row],[Date]], "MMM")</f>
        <v>Nov</v>
      </c>
      <c r="D840" s="8">
        <f>MONTH(Table2[[#This Row],[Date]])</f>
        <v>11</v>
      </c>
      <c r="E840" s="8">
        <f>YEAR(Table2[[#This Row],[Date]])</f>
        <v>2023</v>
      </c>
      <c r="F840" s="7" t="s">
        <v>97</v>
      </c>
      <c r="G840" s="7" t="s">
        <v>13</v>
      </c>
      <c r="H840" s="8">
        <v>38</v>
      </c>
      <c r="I840" s="8" t="str">
        <f>IF(Table2[[#This Row],[Age]] &lt; 19, "Teenagers", IF(Table2[[#This Row],[Age]] &lt;= 34, "Young Adults", IF(Table2[[#This Row],[Age]] &lt;= 45, "Adults", IF(Table2[[#This Row],[Age]] &lt;= 55, "Seniors", "Elderly")) ))</f>
        <v>Adults</v>
      </c>
      <c r="J840" s="7" t="s">
        <v>16</v>
      </c>
      <c r="K840" s="8">
        <v>3</v>
      </c>
      <c r="L840" s="8" t="str">
        <f>IF(Table2[[#This Row],[Quantity]]=1, "Single Order", IF(Table2[[#This Row],[Quantity]]=2, "Small Order", IF(Table2[[#This Row],[Quantity]]=3, "Medium Order", "Bulk Order")))</f>
        <v>Medium Order</v>
      </c>
      <c r="M840" s="10">
        <v>30</v>
      </c>
      <c r="N840" s="10">
        <v>90</v>
      </c>
    </row>
    <row r="841" spans="1:14" x14ac:dyDescent="0.2">
      <c r="A841">
        <v>86</v>
      </c>
      <c r="B841" s="5">
        <v>45238</v>
      </c>
      <c r="C841" s="5" t="str">
        <f>TEXT(Table2[[#This Row],[Date]], "MMM")</f>
        <v>Nov</v>
      </c>
      <c r="D841" s="8">
        <f>MONTH(Table2[[#This Row],[Date]])</f>
        <v>11</v>
      </c>
      <c r="E841" s="8">
        <f>YEAR(Table2[[#This Row],[Date]])</f>
        <v>2023</v>
      </c>
      <c r="F841" s="7" t="s">
        <v>99</v>
      </c>
      <c r="G841" s="7" t="s">
        <v>10</v>
      </c>
      <c r="H841" s="8">
        <v>19</v>
      </c>
      <c r="I841" s="8" t="str">
        <f>IF(Table2[[#This Row],[Age]] &lt; 19, "Teenagers", IF(Table2[[#This Row],[Age]] &lt;= 34, "Young Adults", IF(Table2[[#This Row],[Age]] &lt;= 45, "Adults", IF(Table2[[#This Row],[Age]] &lt;= 55, "Seniors", "Elderly")) ))</f>
        <v>Young Adults</v>
      </c>
      <c r="J841" s="7" t="s">
        <v>11</v>
      </c>
      <c r="K841" s="8">
        <v>3</v>
      </c>
      <c r="L841" s="8" t="str">
        <f>IF(Table2[[#This Row],[Quantity]]=1, "Single Order", IF(Table2[[#This Row],[Quantity]]=2, "Small Order", IF(Table2[[#This Row],[Quantity]]=3, "Medium Order", "Bulk Order")))</f>
        <v>Medium Order</v>
      </c>
      <c r="M841" s="10">
        <v>30</v>
      </c>
      <c r="N841" s="10">
        <v>90</v>
      </c>
    </row>
    <row r="842" spans="1:14" x14ac:dyDescent="0.2">
      <c r="A842">
        <v>87</v>
      </c>
      <c r="B842" s="5">
        <v>45252</v>
      </c>
      <c r="C842" s="5" t="str">
        <f>TEXT(Table2[[#This Row],[Date]], "MMM")</f>
        <v>Nov</v>
      </c>
      <c r="D842" s="8">
        <f>MONTH(Table2[[#This Row],[Date]])</f>
        <v>11</v>
      </c>
      <c r="E842" s="8">
        <f>YEAR(Table2[[#This Row],[Date]])</f>
        <v>2023</v>
      </c>
      <c r="F842" s="7" t="s">
        <v>100</v>
      </c>
      <c r="G842" s="7" t="s">
        <v>13</v>
      </c>
      <c r="H842" s="8">
        <v>28</v>
      </c>
      <c r="I842" s="8" t="str">
        <f>IF(Table2[[#This Row],[Age]] &lt; 19, "Teenagers", IF(Table2[[#This Row],[Age]] &lt;= 34, "Young Adults", IF(Table2[[#This Row],[Age]] &lt;= 45, "Adults", IF(Table2[[#This Row],[Age]] &lt;= 55, "Seniors", "Elderly")) ))</f>
        <v>Young Adults</v>
      </c>
      <c r="J842" s="7" t="s">
        <v>11</v>
      </c>
      <c r="K842" s="8">
        <v>2</v>
      </c>
      <c r="L842" s="8" t="str">
        <f>IF(Table2[[#This Row],[Quantity]]=1, "Single Order", IF(Table2[[#This Row],[Quantity]]=2, "Small Order", IF(Table2[[#This Row],[Quantity]]=3, "Medium Order", "Bulk Order")))</f>
        <v>Small Order</v>
      </c>
      <c r="M842" s="10">
        <v>50</v>
      </c>
      <c r="N842" s="10">
        <v>100</v>
      </c>
    </row>
    <row r="843" spans="1:14" x14ac:dyDescent="0.2">
      <c r="A843">
        <v>95</v>
      </c>
      <c r="B843" s="5">
        <v>45254</v>
      </c>
      <c r="C843" s="5" t="str">
        <f>TEXT(Table2[[#This Row],[Date]], "MMM")</f>
        <v>Nov</v>
      </c>
      <c r="D843" s="8">
        <f>MONTH(Table2[[#This Row],[Date]])</f>
        <v>11</v>
      </c>
      <c r="E843" s="8">
        <f>YEAR(Table2[[#This Row],[Date]])</f>
        <v>2023</v>
      </c>
      <c r="F843" s="7" t="s">
        <v>108</v>
      </c>
      <c r="G843" s="7" t="s">
        <v>13</v>
      </c>
      <c r="H843" s="8">
        <v>32</v>
      </c>
      <c r="I843" s="8" t="str">
        <f>IF(Table2[[#This Row],[Age]] &lt; 19, "Teenagers", IF(Table2[[#This Row],[Age]] &lt;= 34, "Young Adults", IF(Table2[[#This Row],[Age]] &lt;= 45, "Adults", IF(Table2[[#This Row],[Age]] &lt;= 55, "Seniors", "Elderly")) ))</f>
        <v>Young Adults</v>
      </c>
      <c r="J843" s="7" t="s">
        <v>14</v>
      </c>
      <c r="K843" s="8">
        <v>2</v>
      </c>
      <c r="L843" s="8" t="str">
        <f>IF(Table2[[#This Row],[Quantity]]=1, "Single Order", IF(Table2[[#This Row],[Quantity]]=2, "Small Order", IF(Table2[[#This Row],[Quantity]]=3, "Medium Order", "Bulk Order")))</f>
        <v>Small Order</v>
      </c>
      <c r="M843" s="10">
        <v>30</v>
      </c>
      <c r="N843" s="10">
        <v>60</v>
      </c>
    </row>
    <row r="844" spans="1:14" x14ac:dyDescent="0.2">
      <c r="A844">
        <v>115</v>
      </c>
      <c r="B844" s="5">
        <v>45256</v>
      </c>
      <c r="C844" s="5" t="str">
        <f>TEXT(Table2[[#This Row],[Date]], "MMM")</f>
        <v>Nov</v>
      </c>
      <c r="D844" s="8">
        <f>MONTH(Table2[[#This Row],[Date]])</f>
        <v>11</v>
      </c>
      <c r="E844" s="8">
        <f>YEAR(Table2[[#This Row],[Date]])</f>
        <v>2023</v>
      </c>
      <c r="F844" s="7" t="s">
        <v>128</v>
      </c>
      <c r="G844" s="7" t="s">
        <v>10</v>
      </c>
      <c r="H844" s="8">
        <v>51</v>
      </c>
      <c r="I844" s="8" t="str">
        <f>IF(Table2[[#This Row],[Age]] &lt; 19, "Teenagers", IF(Table2[[#This Row],[Age]] &lt;= 34, "Young Adults", IF(Table2[[#This Row],[Age]] &lt;= 45, "Adults", IF(Table2[[#This Row],[Age]] &lt;= 55, "Seniors", "Elderly")) ))</f>
        <v>Seniors</v>
      </c>
      <c r="J844" s="7" t="s">
        <v>14</v>
      </c>
      <c r="K844" s="8">
        <v>3</v>
      </c>
      <c r="L844" s="8" t="str">
        <f>IF(Table2[[#This Row],[Quantity]]=1, "Single Order", IF(Table2[[#This Row],[Quantity]]=2, "Small Order", IF(Table2[[#This Row],[Quantity]]=3, "Medium Order", "Bulk Order")))</f>
        <v>Medium Order</v>
      </c>
      <c r="M844" s="10">
        <v>500</v>
      </c>
      <c r="N844" s="10">
        <v>1500</v>
      </c>
    </row>
    <row r="845" spans="1:14" x14ac:dyDescent="0.2">
      <c r="A845">
        <v>137</v>
      </c>
      <c r="B845" s="5">
        <v>45248</v>
      </c>
      <c r="C845" s="5" t="str">
        <f>TEXT(Table2[[#This Row],[Date]], "MMM")</f>
        <v>Nov</v>
      </c>
      <c r="D845" s="8">
        <f>MONTH(Table2[[#This Row],[Date]])</f>
        <v>11</v>
      </c>
      <c r="E845" s="8">
        <f>YEAR(Table2[[#This Row],[Date]])</f>
        <v>2023</v>
      </c>
      <c r="F845" s="7" t="s">
        <v>150</v>
      </c>
      <c r="G845" s="7" t="s">
        <v>10</v>
      </c>
      <c r="H845" s="8">
        <v>46</v>
      </c>
      <c r="I845" s="8" t="str">
        <f>IF(Table2[[#This Row],[Age]] &lt; 19, "Teenagers", IF(Table2[[#This Row],[Age]] &lt;= 34, "Young Adults", IF(Table2[[#This Row],[Age]] &lt;= 45, "Adults", IF(Table2[[#This Row],[Age]] &lt;= 55, "Seniors", "Elderly")) ))</f>
        <v>Seniors</v>
      </c>
      <c r="J845" s="7" t="s">
        <v>11</v>
      </c>
      <c r="K845" s="8">
        <v>2</v>
      </c>
      <c r="L845" s="8" t="str">
        <f>IF(Table2[[#This Row],[Quantity]]=1, "Single Order", IF(Table2[[#This Row],[Quantity]]=2, "Small Order", IF(Table2[[#This Row],[Quantity]]=3, "Medium Order", "Bulk Order")))</f>
        <v>Small Order</v>
      </c>
      <c r="M845" s="10">
        <v>500</v>
      </c>
      <c r="N845" s="10">
        <v>1000</v>
      </c>
    </row>
    <row r="846" spans="1:14" x14ac:dyDescent="0.2">
      <c r="A846">
        <v>141</v>
      </c>
      <c r="B846" s="5">
        <v>45232</v>
      </c>
      <c r="C846" s="5" t="str">
        <f>TEXT(Table2[[#This Row],[Date]], "MMM")</f>
        <v>Nov</v>
      </c>
      <c r="D846" s="8">
        <f>MONTH(Table2[[#This Row],[Date]])</f>
        <v>11</v>
      </c>
      <c r="E846" s="8">
        <f>YEAR(Table2[[#This Row],[Date]])</f>
        <v>2023</v>
      </c>
      <c r="F846" s="7" t="s">
        <v>154</v>
      </c>
      <c r="G846" s="7" t="s">
        <v>13</v>
      </c>
      <c r="H846" s="8">
        <v>22</v>
      </c>
      <c r="I846" s="8" t="str">
        <f>IF(Table2[[#This Row],[Age]] &lt; 19, "Teenagers", IF(Table2[[#This Row],[Age]] &lt;= 34, "Young Adults", IF(Table2[[#This Row],[Age]] &lt;= 45, "Adults", IF(Table2[[#This Row],[Age]] &lt;= 55, "Seniors", "Elderly")) ))</f>
        <v>Young Adults</v>
      </c>
      <c r="J846" s="7" t="s">
        <v>16</v>
      </c>
      <c r="K846" s="8">
        <v>1</v>
      </c>
      <c r="L846" s="8" t="str">
        <f>IF(Table2[[#This Row],[Quantity]]=1, "Single Order", IF(Table2[[#This Row],[Quantity]]=2, "Small Order", IF(Table2[[#This Row],[Quantity]]=3, "Medium Order", "Bulk Order")))</f>
        <v>Single Order</v>
      </c>
      <c r="M846" s="10">
        <v>50</v>
      </c>
      <c r="N846" s="10">
        <v>50</v>
      </c>
    </row>
    <row r="847" spans="1:14" x14ac:dyDescent="0.2">
      <c r="A847">
        <v>145</v>
      </c>
      <c r="B847" s="5">
        <v>45232</v>
      </c>
      <c r="C847" s="5" t="str">
        <f>TEXT(Table2[[#This Row],[Date]], "MMM")</f>
        <v>Nov</v>
      </c>
      <c r="D847" s="8">
        <f>MONTH(Table2[[#This Row],[Date]])</f>
        <v>11</v>
      </c>
      <c r="E847" s="8">
        <f>YEAR(Table2[[#This Row],[Date]])</f>
        <v>2023</v>
      </c>
      <c r="F847" s="7" t="s">
        <v>158</v>
      </c>
      <c r="G847" s="7" t="s">
        <v>13</v>
      </c>
      <c r="H847" s="8">
        <v>39</v>
      </c>
      <c r="I847" s="8" t="str">
        <f>IF(Table2[[#This Row],[Age]] &lt; 19, "Teenagers", IF(Table2[[#This Row],[Age]] &lt;= 34, "Young Adults", IF(Table2[[#This Row],[Age]] &lt;= 45, "Adults", IF(Table2[[#This Row],[Age]] &lt;= 55, "Seniors", "Elderly")) ))</f>
        <v>Adults</v>
      </c>
      <c r="J847" s="7" t="s">
        <v>14</v>
      </c>
      <c r="K847" s="8">
        <v>3</v>
      </c>
      <c r="L847" s="8" t="str">
        <f>IF(Table2[[#This Row],[Quantity]]=1, "Single Order", IF(Table2[[#This Row],[Quantity]]=2, "Small Order", IF(Table2[[#This Row],[Quantity]]=3, "Medium Order", "Bulk Order")))</f>
        <v>Medium Order</v>
      </c>
      <c r="M847" s="10">
        <v>25</v>
      </c>
      <c r="N847" s="10">
        <v>75</v>
      </c>
    </row>
    <row r="848" spans="1:14" x14ac:dyDescent="0.2">
      <c r="A848">
        <v>156</v>
      </c>
      <c r="B848" s="5">
        <v>45255</v>
      </c>
      <c r="C848" s="5" t="str">
        <f>TEXT(Table2[[#This Row],[Date]], "MMM")</f>
        <v>Nov</v>
      </c>
      <c r="D848" s="8">
        <f>MONTH(Table2[[#This Row],[Date]])</f>
        <v>11</v>
      </c>
      <c r="E848" s="8">
        <f>YEAR(Table2[[#This Row],[Date]])</f>
        <v>2023</v>
      </c>
      <c r="F848" s="7" t="s">
        <v>169</v>
      </c>
      <c r="G848" s="7" t="s">
        <v>13</v>
      </c>
      <c r="H848" s="8">
        <v>43</v>
      </c>
      <c r="I848" s="8" t="str">
        <f>IF(Table2[[#This Row],[Age]] &lt; 19, "Teenagers", IF(Table2[[#This Row],[Age]] &lt;= 34, "Young Adults", IF(Table2[[#This Row],[Age]] &lt;= 45, "Adults", IF(Table2[[#This Row],[Age]] &lt;= 55, "Seniors", "Elderly")) ))</f>
        <v>Adults</v>
      </c>
      <c r="J848" s="7" t="s">
        <v>14</v>
      </c>
      <c r="K848" s="8">
        <v>4</v>
      </c>
      <c r="L848" s="8" t="str">
        <f>IF(Table2[[#This Row],[Quantity]]=1, "Single Order", IF(Table2[[#This Row],[Quantity]]=2, "Small Order", IF(Table2[[#This Row],[Quantity]]=3, "Medium Order", "Bulk Order")))</f>
        <v>Bulk Order</v>
      </c>
      <c r="M848" s="10">
        <v>25</v>
      </c>
      <c r="N848" s="10">
        <v>100</v>
      </c>
    </row>
    <row r="849" spans="1:14" x14ac:dyDescent="0.2">
      <c r="A849">
        <v>169</v>
      </c>
      <c r="B849" s="5">
        <v>45247</v>
      </c>
      <c r="C849" s="5" t="str">
        <f>TEXT(Table2[[#This Row],[Date]], "MMM")</f>
        <v>Nov</v>
      </c>
      <c r="D849" s="8">
        <f>MONTH(Table2[[#This Row],[Date]])</f>
        <v>11</v>
      </c>
      <c r="E849" s="8">
        <f>YEAR(Table2[[#This Row],[Date]])</f>
        <v>2023</v>
      </c>
      <c r="F849" s="7" t="s">
        <v>182</v>
      </c>
      <c r="G849" s="7" t="s">
        <v>10</v>
      </c>
      <c r="H849" s="8">
        <v>18</v>
      </c>
      <c r="I849" s="8" t="str">
        <f>IF(Table2[[#This Row],[Age]] &lt; 19, "Teenagers", IF(Table2[[#This Row],[Age]] &lt;= 34, "Young Adults", IF(Table2[[#This Row],[Age]] &lt;= 45, "Adults", IF(Table2[[#This Row],[Age]] &lt;= 55, "Seniors", "Elderly")) ))</f>
        <v>Teenagers</v>
      </c>
      <c r="J849" s="7" t="s">
        <v>11</v>
      </c>
      <c r="K849" s="8">
        <v>3</v>
      </c>
      <c r="L849" s="8" t="str">
        <f>IF(Table2[[#This Row],[Quantity]]=1, "Single Order", IF(Table2[[#This Row],[Quantity]]=2, "Small Order", IF(Table2[[#This Row],[Quantity]]=3, "Medium Order", "Bulk Order")))</f>
        <v>Medium Order</v>
      </c>
      <c r="M849" s="10">
        <v>500</v>
      </c>
      <c r="N849" s="10">
        <v>1500</v>
      </c>
    </row>
    <row r="850" spans="1:14" x14ac:dyDescent="0.2">
      <c r="A850">
        <v>171</v>
      </c>
      <c r="B850" s="5">
        <v>45254</v>
      </c>
      <c r="C850" s="5" t="str">
        <f>TEXT(Table2[[#This Row],[Date]], "MMM")</f>
        <v>Nov</v>
      </c>
      <c r="D850" s="8">
        <f>MONTH(Table2[[#This Row],[Date]])</f>
        <v>11</v>
      </c>
      <c r="E850" s="8">
        <f>YEAR(Table2[[#This Row],[Date]])</f>
        <v>2023</v>
      </c>
      <c r="F850" s="7" t="s">
        <v>184</v>
      </c>
      <c r="G850" s="7" t="s">
        <v>13</v>
      </c>
      <c r="H850" s="8">
        <v>52</v>
      </c>
      <c r="I850" s="8" t="str">
        <f>IF(Table2[[#This Row],[Age]] &lt; 19, "Teenagers", IF(Table2[[#This Row],[Age]] &lt;= 34, "Young Adults", IF(Table2[[#This Row],[Age]] &lt;= 45, "Adults", IF(Table2[[#This Row],[Age]] &lt;= 55, "Seniors", "Elderly")) ))</f>
        <v>Seniors</v>
      </c>
      <c r="J850" s="7" t="s">
        <v>14</v>
      </c>
      <c r="K850" s="8">
        <v>3</v>
      </c>
      <c r="L850" s="8" t="str">
        <f>IF(Table2[[#This Row],[Quantity]]=1, "Single Order", IF(Table2[[#This Row],[Quantity]]=2, "Small Order", IF(Table2[[#This Row],[Quantity]]=3, "Medium Order", "Bulk Order")))</f>
        <v>Medium Order</v>
      </c>
      <c r="M850" s="10">
        <v>300</v>
      </c>
      <c r="N850" s="10">
        <v>900</v>
      </c>
    </row>
    <row r="851" spans="1:14" x14ac:dyDescent="0.2">
      <c r="A851">
        <v>173</v>
      </c>
      <c r="B851" s="5">
        <v>45238</v>
      </c>
      <c r="C851" s="5" t="str">
        <f>TEXT(Table2[[#This Row],[Date]], "MMM")</f>
        <v>Nov</v>
      </c>
      <c r="D851" s="8">
        <f>MONTH(Table2[[#This Row],[Date]])</f>
        <v>11</v>
      </c>
      <c r="E851" s="8">
        <f>YEAR(Table2[[#This Row],[Date]])</f>
        <v>2023</v>
      </c>
      <c r="F851" s="7" t="s">
        <v>186</v>
      </c>
      <c r="G851" s="7" t="s">
        <v>10</v>
      </c>
      <c r="H851" s="8">
        <v>64</v>
      </c>
      <c r="I851" s="8" t="str">
        <f>IF(Table2[[#This Row],[Age]] &lt; 19, "Teenagers", IF(Table2[[#This Row],[Age]] &lt;= 34, "Young Adults", IF(Table2[[#This Row],[Age]] &lt;= 45, "Adults", IF(Table2[[#This Row],[Age]] &lt;= 55, "Seniors", "Elderly")) ))</f>
        <v>Elderly</v>
      </c>
      <c r="J851" s="7" t="s">
        <v>16</v>
      </c>
      <c r="K851" s="8">
        <v>4</v>
      </c>
      <c r="L851" s="8" t="str">
        <f>IF(Table2[[#This Row],[Quantity]]=1, "Single Order", IF(Table2[[#This Row],[Quantity]]=2, "Small Order", IF(Table2[[#This Row],[Quantity]]=3, "Medium Order", "Bulk Order")))</f>
        <v>Bulk Order</v>
      </c>
      <c r="M851" s="10">
        <v>30</v>
      </c>
      <c r="N851" s="10">
        <v>120</v>
      </c>
    </row>
    <row r="852" spans="1:14" x14ac:dyDescent="0.2">
      <c r="A852">
        <v>181</v>
      </c>
      <c r="B852" s="5">
        <v>45233</v>
      </c>
      <c r="C852" s="5" t="str">
        <f>TEXT(Table2[[#This Row],[Date]], "MMM")</f>
        <v>Nov</v>
      </c>
      <c r="D852" s="8">
        <f>MONTH(Table2[[#This Row],[Date]])</f>
        <v>11</v>
      </c>
      <c r="E852" s="8">
        <f>YEAR(Table2[[#This Row],[Date]])</f>
        <v>2023</v>
      </c>
      <c r="F852" s="7" t="s">
        <v>194</v>
      </c>
      <c r="G852" s="7" t="s">
        <v>10</v>
      </c>
      <c r="H852" s="8">
        <v>19</v>
      </c>
      <c r="I852" s="8" t="str">
        <f>IF(Table2[[#This Row],[Age]] &lt; 19, "Teenagers", IF(Table2[[#This Row],[Age]] &lt;= 34, "Young Adults", IF(Table2[[#This Row],[Age]] &lt;= 45, "Adults", IF(Table2[[#This Row],[Age]] &lt;= 55, "Seniors", "Elderly")) ))</f>
        <v>Young Adults</v>
      </c>
      <c r="J852" s="7" t="s">
        <v>16</v>
      </c>
      <c r="K852" s="8">
        <v>4</v>
      </c>
      <c r="L852" s="8" t="str">
        <f>IF(Table2[[#This Row],[Quantity]]=1, "Single Order", IF(Table2[[#This Row],[Quantity]]=2, "Small Order", IF(Table2[[#This Row],[Quantity]]=3, "Medium Order", "Bulk Order")))</f>
        <v>Bulk Order</v>
      </c>
      <c r="M852" s="10">
        <v>300</v>
      </c>
      <c r="N852" s="10">
        <v>1200</v>
      </c>
    </row>
    <row r="853" spans="1:14" x14ac:dyDescent="0.2">
      <c r="A853">
        <v>205</v>
      </c>
      <c r="B853" s="5">
        <v>45237</v>
      </c>
      <c r="C853" s="5" t="str">
        <f>TEXT(Table2[[#This Row],[Date]], "MMM")</f>
        <v>Nov</v>
      </c>
      <c r="D853" s="8">
        <f>MONTH(Table2[[#This Row],[Date]])</f>
        <v>11</v>
      </c>
      <c r="E853" s="8">
        <f>YEAR(Table2[[#This Row],[Date]])</f>
        <v>2023</v>
      </c>
      <c r="F853" s="7" t="s">
        <v>218</v>
      </c>
      <c r="G853" s="7" t="s">
        <v>13</v>
      </c>
      <c r="H853" s="8">
        <v>43</v>
      </c>
      <c r="I853" s="8" t="str">
        <f>IF(Table2[[#This Row],[Age]] &lt; 19, "Teenagers", IF(Table2[[#This Row],[Age]] &lt;= 34, "Young Adults", IF(Table2[[#This Row],[Age]] &lt;= 45, "Adults", IF(Table2[[#This Row],[Age]] &lt;= 55, "Seniors", "Elderly")) ))</f>
        <v>Adults</v>
      </c>
      <c r="J853" s="7" t="s">
        <v>14</v>
      </c>
      <c r="K853" s="8">
        <v>1</v>
      </c>
      <c r="L853" s="8" t="str">
        <f>IF(Table2[[#This Row],[Quantity]]=1, "Single Order", IF(Table2[[#This Row],[Quantity]]=2, "Small Order", IF(Table2[[#This Row],[Quantity]]=3, "Medium Order", "Bulk Order")))</f>
        <v>Single Order</v>
      </c>
      <c r="M853" s="10">
        <v>25</v>
      </c>
      <c r="N853" s="10">
        <v>25</v>
      </c>
    </row>
    <row r="854" spans="1:14" x14ac:dyDescent="0.2">
      <c r="A854">
        <v>215</v>
      </c>
      <c r="B854" s="5">
        <v>45259</v>
      </c>
      <c r="C854" s="5" t="str">
        <f>TEXT(Table2[[#This Row],[Date]], "MMM")</f>
        <v>Nov</v>
      </c>
      <c r="D854" s="8">
        <f>MONTH(Table2[[#This Row],[Date]])</f>
        <v>11</v>
      </c>
      <c r="E854" s="8">
        <f>YEAR(Table2[[#This Row],[Date]])</f>
        <v>2023</v>
      </c>
      <c r="F854" s="7" t="s">
        <v>228</v>
      </c>
      <c r="G854" s="7" t="s">
        <v>10</v>
      </c>
      <c r="H854" s="8">
        <v>58</v>
      </c>
      <c r="I854" s="8" t="str">
        <f>IF(Table2[[#This Row],[Age]] &lt; 19, "Teenagers", IF(Table2[[#This Row],[Age]] &lt;= 34, "Young Adults", IF(Table2[[#This Row],[Age]] &lt;= 45, "Adults", IF(Table2[[#This Row],[Age]] &lt;= 55, "Seniors", "Elderly")) ))</f>
        <v>Elderly</v>
      </c>
      <c r="J854" s="7" t="s">
        <v>14</v>
      </c>
      <c r="K854" s="8">
        <v>3</v>
      </c>
      <c r="L854" s="8" t="str">
        <f>IF(Table2[[#This Row],[Quantity]]=1, "Single Order", IF(Table2[[#This Row],[Quantity]]=2, "Small Order", IF(Table2[[#This Row],[Quantity]]=3, "Medium Order", "Bulk Order")))</f>
        <v>Medium Order</v>
      </c>
      <c r="M854" s="10">
        <v>500</v>
      </c>
      <c r="N854" s="10">
        <v>1500</v>
      </c>
    </row>
    <row r="855" spans="1:14" x14ac:dyDescent="0.2">
      <c r="A855">
        <v>234</v>
      </c>
      <c r="B855" s="5">
        <v>45250</v>
      </c>
      <c r="C855" s="5" t="str">
        <f>TEXT(Table2[[#This Row],[Date]], "MMM")</f>
        <v>Nov</v>
      </c>
      <c r="D855" s="8">
        <f>MONTH(Table2[[#This Row],[Date]])</f>
        <v>11</v>
      </c>
      <c r="E855" s="8">
        <f>YEAR(Table2[[#This Row],[Date]])</f>
        <v>2023</v>
      </c>
      <c r="F855" s="7" t="s">
        <v>247</v>
      </c>
      <c r="G855" s="7" t="s">
        <v>13</v>
      </c>
      <c r="H855" s="8">
        <v>62</v>
      </c>
      <c r="I855" s="8" t="str">
        <f>IF(Table2[[#This Row],[Age]] &lt; 19, "Teenagers", IF(Table2[[#This Row],[Age]] &lt;= 34, "Young Adults", IF(Table2[[#This Row],[Age]] &lt;= 45, "Adults", IF(Table2[[#This Row],[Age]] &lt;= 55, "Seniors", "Elderly")) ))</f>
        <v>Elderly</v>
      </c>
      <c r="J855" s="7" t="s">
        <v>16</v>
      </c>
      <c r="K855" s="8">
        <v>2</v>
      </c>
      <c r="L855" s="8" t="str">
        <f>IF(Table2[[#This Row],[Quantity]]=1, "Single Order", IF(Table2[[#This Row],[Quantity]]=2, "Small Order", IF(Table2[[#This Row],[Quantity]]=3, "Medium Order", "Bulk Order")))</f>
        <v>Small Order</v>
      </c>
      <c r="M855" s="10">
        <v>25</v>
      </c>
      <c r="N855" s="10">
        <v>50</v>
      </c>
    </row>
    <row r="856" spans="1:14" x14ac:dyDescent="0.2">
      <c r="A856">
        <v>267</v>
      </c>
      <c r="B856" s="5">
        <v>45257</v>
      </c>
      <c r="C856" s="5" t="str">
        <f>TEXT(Table2[[#This Row],[Date]], "MMM")</f>
        <v>Nov</v>
      </c>
      <c r="D856" s="8">
        <f>MONTH(Table2[[#This Row],[Date]])</f>
        <v>11</v>
      </c>
      <c r="E856" s="8">
        <f>YEAR(Table2[[#This Row],[Date]])</f>
        <v>2023</v>
      </c>
      <c r="F856" s="7" t="s">
        <v>280</v>
      </c>
      <c r="G856" s="7" t="s">
        <v>13</v>
      </c>
      <c r="H856" s="8">
        <v>32</v>
      </c>
      <c r="I856" s="8" t="str">
        <f>IF(Table2[[#This Row],[Age]] &lt; 19, "Teenagers", IF(Table2[[#This Row],[Age]] &lt;= 34, "Young Adults", IF(Table2[[#This Row],[Age]] &lt;= 45, "Adults", IF(Table2[[#This Row],[Age]] &lt;= 55, "Seniors", "Elderly")) ))</f>
        <v>Young Adults</v>
      </c>
      <c r="J856" s="7" t="s">
        <v>11</v>
      </c>
      <c r="K856" s="8">
        <v>3</v>
      </c>
      <c r="L856" s="8" t="str">
        <f>IF(Table2[[#This Row],[Quantity]]=1, "Single Order", IF(Table2[[#This Row],[Quantity]]=2, "Small Order", IF(Table2[[#This Row],[Quantity]]=3, "Medium Order", "Bulk Order")))</f>
        <v>Medium Order</v>
      </c>
      <c r="M856" s="10">
        <v>30</v>
      </c>
      <c r="N856" s="10">
        <v>90</v>
      </c>
    </row>
    <row r="857" spans="1:14" x14ac:dyDescent="0.2">
      <c r="A857">
        <v>289</v>
      </c>
      <c r="B857" s="5">
        <v>45260</v>
      </c>
      <c r="C857" s="5" t="str">
        <f>TEXT(Table2[[#This Row],[Date]], "MMM")</f>
        <v>Nov</v>
      </c>
      <c r="D857" s="8">
        <f>MONTH(Table2[[#This Row],[Date]])</f>
        <v>11</v>
      </c>
      <c r="E857" s="8">
        <f>YEAR(Table2[[#This Row],[Date]])</f>
        <v>2023</v>
      </c>
      <c r="F857" s="7" t="s">
        <v>302</v>
      </c>
      <c r="G857" s="7" t="s">
        <v>10</v>
      </c>
      <c r="H857" s="8">
        <v>53</v>
      </c>
      <c r="I857" s="8" t="str">
        <f>IF(Table2[[#This Row],[Age]] &lt; 19, "Teenagers", IF(Table2[[#This Row],[Age]] &lt;= 34, "Young Adults", IF(Table2[[#This Row],[Age]] &lt;= 45, "Adults", IF(Table2[[#This Row],[Age]] &lt;= 55, "Seniors", "Elderly")) ))</f>
        <v>Seniors</v>
      </c>
      <c r="J857" s="7" t="s">
        <v>16</v>
      </c>
      <c r="K857" s="8">
        <v>2</v>
      </c>
      <c r="L857" s="8" t="str">
        <f>IF(Table2[[#This Row],[Quantity]]=1, "Single Order", IF(Table2[[#This Row],[Quantity]]=2, "Small Order", IF(Table2[[#This Row],[Quantity]]=3, "Medium Order", "Bulk Order")))</f>
        <v>Small Order</v>
      </c>
      <c r="M857" s="10">
        <v>30</v>
      </c>
      <c r="N857" s="10">
        <v>60</v>
      </c>
    </row>
    <row r="858" spans="1:14" x14ac:dyDescent="0.2">
      <c r="A858">
        <v>334</v>
      </c>
      <c r="B858" s="5">
        <v>45231</v>
      </c>
      <c r="C858" s="5" t="str">
        <f>TEXT(Table2[[#This Row],[Date]], "MMM")</f>
        <v>Nov</v>
      </c>
      <c r="D858" s="8">
        <f>MONTH(Table2[[#This Row],[Date]])</f>
        <v>11</v>
      </c>
      <c r="E858" s="8">
        <f>YEAR(Table2[[#This Row],[Date]])</f>
        <v>2023</v>
      </c>
      <c r="F858" s="7" t="s">
        <v>347</v>
      </c>
      <c r="G858" s="7" t="s">
        <v>10</v>
      </c>
      <c r="H858" s="8">
        <v>31</v>
      </c>
      <c r="I858" s="8" t="str">
        <f>IF(Table2[[#This Row],[Age]] &lt; 19, "Teenagers", IF(Table2[[#This Row],[Age]] &lt;= 34, "Young Adults", IF(Table2[[#This Row],[Age]] &lt;= 45, "Adults", IF(Table2[[#This Row],[Age]] &lt;= 55, "Seniors", "Elderly")) ))</f>
        <v>Young Adults</v>
      </c>
      <c r="J858" s="7" t="s">
        <v>16</v>
      </c>
      <c r="K858" s="8">
        <v>3</v>
      </c>
      <c r="L858" s="8" t="str">
        <f>IF(Table2[[#This Row],[Quantity]]=1, "Single Order", IF(Table2[[#This Row],[Quantity]]=2, "Small Order", IF(Table2[[#This Row],[Quantity]]=3, "Medium Order", "Bulk Order")))</f>
        <v>Medium Order</v>
      </c>
      <c r="M858" s="10">
        <v>300</v>
      </c>
      <c r="N858" s="10">
        <v>900</v>
      </c>
    </row>
    <row r="859" spans="1:14" x14ac:dyDescent="0.2">
      <c r="A859">
        <v>343</v>
      </c>
      <c r="B859" s="5">
        <v>45231</v>
      </c>
      <c r="C859" s="5" t="str">
        <f>TEXT(Table2[[#This Row],[Date]], "MMM")</f>
        <v>Nov</v>
      </c>
      <c r="D859" s="8">
        <f>MONTH(Table2[[#This Row],[Date]])</f>
        <v>11</v>
      </c>
      <c r="E859" s="8">
        <f>YEAR(Table2[[#This Row],[Date]])</f>
        <v>2023</v>
      </c>
      <c r="F859" s="7" t="s">
        <v>356</v>
      </c>
      <c r="G859" s="7" t="s">
        <v>10</v>
      </c>
      <c r="H859" s="8">
        <v>21</v>
      </c>
      <c r="I859" s="8" t="str">
        <f>IF(Table2[[#This Row],[Age]] &lt; 19, "Teenagers", IF(Table2[[#This Row],[Age]] &lt;= 34, "Young Adults", IF(Table2[[#This Row],[Age]] &lt;= 45, "Adults", IF(Table2[[#This Row],[Age]] &lt;= 55, "Seniors", "Elderly")) ))</f>
        <v>Young Adults</v>
      </c>
      <c r="J859" s="7" t="s">
        <v>16</v>
      </c>
      <c r="K859" s="8">
        <v>2</v>
      </c>
      <c r="L859" s="8" t="str">
        <f>IF(Table2[[#This Row],[Quantity]]=1, "Single Order", IF(Table2[[#This Row],[Quantity]]=2, "Small Order", IF(Table2[[#This Row],[Quantity]]=3, "Medium Order", "Bulk Order")))</f>
        <v>Small Order</v>
      </c>
      <c r="M859" s="10">
        <v>25</v>
      </c>
      <c r="N859" s="10">
        <v>50</v>
      </c>
    </row>
    <row r="860" spans="1:14" x14ac:dyDescent="0.2">
      <c r="A860">
        <v>345</v>
      </c>
      <c r="B860" s="5">
        <v>45244</v>
      </c>
      <c r="C860" s="5" t="str">
        <f>TEXT(Table2[[#This Row],[Date]], "MMM")</f>
        <v>Nov</v>
      </c>
      <c r="D860" s="8">
        <f>MONTH(Table2[[#This Row],[Date]])</f>
        <v>11</v>
      </c>
      <c r="E860" s="8">
        <f>YEAR(Table2[[#This Row],[Date]])</f>
        <v>2023</v>
      </c>
      <c r="F860" s="7" t="s">
        <v>358</v>
      </c>
      <c r="G860" s="7" t="s">
        <v>10</v>
      </c>
      <c r="H860" s="8">
        <v>62</v>
      </c>
      <c r="I860" s="8" t="str">
        <f>IF(Table2[[#This Row],[Age]] &lt; 19, "Teenagers", IF(Table2[[#This Row],[Age]] &lt;= 34, "Young Adults", IF(Table2[[#This Row],[Age]] &lt;= 45, "Adults", IF(Table2[[#This Row],[Age]] &lt;= 55, "Seniors", "Elderly")) ))</f>
        <v>Elderly</v>
      </c>
      <c r="J860" s="7" t="s">
        <v>16</v>
      </c>
      <c r="K860" s="8">
        <v>1</v>
      </c>
      <c r="L860" s="8" t="str">
        <f>IF(Table2[[#This Row],[Quantity]]=1, "Single Order", IF(Table2[[#This Row],[Quantity]]=2, "Small Order", IF(Table2[[#This Row],[Quantity]]=3, "Medium Order", "Bulk Order")))</f>
        <v>Single Order</v>
      </c>
      <c r="M860" s="10">
        <v>30</v>
      </c>
      <c r="N860" s="10">
        <v>30</v>
      </c>
    </row>
    <row r="861" spans="1:14" x14ac:dyDescent="0.2">
      <c r="A861">
        <v>362</v>
      </c>
      <c r="B861" s="5">
        <v>45257</v>
      </c>
      <c r="C861" s="5" t="str">
        <f>TEXT(Table2[[#This Row],[Date]], "MMM")</f>
        <v>Nov</v>
      </c>
      <c r="D861" s="8">
        <f>MONTH(Table2[[#This Row],[Date]])</f>
        <v>11</v>
      </c>
      <c r="E861" s="8">
        <f>YEAR(Table2[[#This Row],[Date]])</f>
        <v>2023</v>
      </c>
      <c r="F861" s="7" t="s">
        <v>375</v>
      </c>
      <c r="G861" s="7" t="s">
        <v>10</v>
      </c>
      <c r="H861" s="8">
        <v>50</v>
      </c>
      <c r="I861" s="8" t="str">
        <f>IF(Table2[[#This Row],[Age]] &lt; 19, "Teenagers", IF(Table2[[#This Row],[Age]] &lt;= 34, "Young Adults", IF(Table2[[#This Row],[Age]] &lt;= 45, "Adults", IF(Table2[[#This Row],[Age]] &lt;= 55, "Seniors", "Elderly")) ))</f>
        <v>Seniors</v>
      </c>
      <c r="J861" s="7" t="s">
        <v>14</v>
      </c>
      <c r="K861" s="8">
        <v>1</v>
      </c>
      <c r="L861" s="8" t="str">
        <f>IF(Table2[[#This Row],[Quantity]]=1, "Single Order", IF(Table2[[#This Row],[Quantity]]=2, "Small Order", IF(Table2[[#This Row],[Quantity]]=3, "Medium Order", "Bulk Order")))</f>
        <v>Single Order</v>
      </c>
      <c r="M861" s="10">
        <v>25</v>
      </c>
      <c r="N861" s="10">
        <v>25</v>
      </c>
    </row>
    <row r="862" spans="1:14" x14ac:dyDescent="0.2">
      <c r="A862">
        <v>369</v>
      </c>
      <c r="B862" s="5">
        <v>45245</v>
      </c>
      <c r="C862" s="5" t="str">
        <f>TEXT(Table2[[#This Row],[Date]], "MMM")</f>
        <v>Nov</v>
      </c>
      <c r="D862" s="8">
        <f>MONTH(Table2[[#This Row],[Date]])</f>
        <v>11</v>
      </c>
      <c r="E862" s="8">
        <f>YEAR(Table2[[#This Row],[Date]])</f>
        <v>2023</v>
      </c>
      <c r="F862" s="7" t="s">
        <v>382</v>
      </c>
      <c r="G862" s="7" t="s">
        <v>10</v>
      </c>
      <c r="H862" s="8">
        <v>23</v>
      </c>
      <c r="I862" s="8" t="str">
        <f>IF(Table2[[#This Row],[Age]] &lt; 19, "Teenagers", IF(Table2[[#This Row],[Age]] &lt;= 34, "Young Adults", IF(Table2[[#This Row],[Age]] &lt;= 45, "Adults", IF(Table2[[#This Row],[Age]] &lt;= 55, "Seniors", "Elderly")) ))</f>
        <v>Young Adults</v>
      </c>
      <c r="J862" s="7" t="s">
        <v>16</v>
      </c>
      <c r="K862" s="8">
        <v>3</v>
      </c>
      <c r="L862" s="8" t="str">
        <f>IF(Table2[[#This Row],[Quantity]]=1, "Single Order", IF(Table2[[#This Row],[Quantity]]=2, "Small Order", IF(Table2[[#This Row],[Quantity]]=3, "Medium Order", "Bulk Order")))</f>
        <v>Medium Order</v>
      </c>
      <c r="M862" s="10">
        <v>500</v>
      </c>
      <c r="N862" s="10">
        <v>1500</v>
      </c>
    </row>
    <row r="863" spans="1:14" x14ac:dyDescent="0.2">
      <c r="A863">
        <v>388</v>
      </c>
      <c r="B863" s="5">
        <v>45240</v>
      </c>
      <c r="C863" s="5" t="str">
        <f>TEXT(Table2[[#This Row],[Date]], "MMM")</f>
        <v>Nov</v>
      </c>
      <c r="D863" s="8">
        <f>MONTH(Table2[[#This Row],[Date]])</f>
        <v>11</v>
      </c>
      <c r="E863" s="8">
        <f>YEAR(Table2[[#This Row],[Date]])</f>
        <v>2023</v>
      </c>
      <c r="F863" s="7" t="s">
        <v>401</v>
      </c>
      <c r="G863" s="7" t="s">
        <v>10</v>
      </c>
      <c r="H863" s="8">
        <v>50</v>
      </c>
      <c r="I863" s="8" t="str">
        <f>IF(Table2[[#This Row],[Age]] &lt; 19, "Teenagers", IF(Table2[[#This Row],[Age]] &lt;= 34, "Young Adults", IF(Table2[[#This Row],[Age]] &lt;= 45, "Adults", IF(Table2[[#This Row],[Age]] &lt;= 55, "Seniors", "Elderly")) ))</f>
        <v>Seniors</v>
      </c>
      <c r="J863" s="7" t="s">
        <v>16</v>
      </c>
      <c r="K863" s="8">
        <v>1</v>
      </c>
      <c r="L863" s="8" t="str">
        <f>IF(Table2[[#This Row],[Quantity]]=1, "Single Order", IF(Table2[[#This Row],[Quantity]]=2, "Small Order", IF(Table2[[#This Row],[Quantity]]=3, "Medium Order", "Bulk Order")))</f>
        <v>Single Order</v>
      </c>
      <c r="M863" s="10">
        <v>25</v>
      </c>
      <c r="N863" s="10">
        <v>25</v>
      </c>
    </row>
    <row r="864" spans="1:14" x14ac:dyDescent="0.2">
      <c r="A864">
        <v>405</v>
      </c>
      <c r="B864" s="5">
        <v>45236</v>
      </c>
      <c r="C864" s="5" t="str">
        <f>TEXT(Table2[[#This Row],[Date]], "MMM")</f>
        <v>Nov</v>
      </c>
      <c r="D864" s="8">
        <f>MONTH(Table2[[#This Row],[Date]])</f>
        <v>11</v>
      </c>
      <c r="E864" s="8">
        <f>YEAR(Table2[[#This Row],[Date]])</f>
        <v>2023</v>
      </c>
      <c r="F864" s="7" t="s">
        <v>418</v>
      </c>
      <c r="G864" s="7" t="s">
        <v>13</v>
      </c>
      <c r="H864" s="8">
        <v>25</v>
      </c>
      <c r="I864" s="8" t="str">
        <f>IF(Table2[[#This Row],[Age]] &lt; 19, "Teenagers", IF(Table2[[#This Row],[Age]] &lt;= 34, "Young Adults", IF(Table2[[#This Row],[Age]] &lt;= 45, "Adults", IF(Table2[[#This Row],[Age]] &lt;= 55, "Seniors", "Elderly")) ))</f>
        <v>Young Adults</v>
      </c>
      <c r="J864" s="7" t="s">
        <v>14</v>
      </c>
      <c r="K864" s="8">
        <v>4</v>
      </c>
      <c r="L864" s="8" t="str">
        <f>IF(Table2[[#This Row],[Quantity]]=1, "Single Order", IF(Table2[[#This Row],[Quantity]]=2, "Small Order", IF(Table2[[#This Row],[Quantity]]=3, "Medium Order", "Bulk Order")))</f>
        <v>Bulk Order</v>
      </c>
      <c r="M864" s="10">
        <v>300</v>
      </c>
      <c r="N864" s="10">
        <v>1200</v>
      </c>
    </row>
    <row r="865" spans="1:14" x14ac:dyDescent="0.2">
      <c r="A865">
        <v>410</v>
      </c>
      <c r="B865" s="5">
        <v>45251</v>
      </c>
      <c r="C865" s="5" t="str">
        <f>TEXT(Table2[[#This Row],[Date]], "MMM")</f>
        <v>Nov</v>
      </c>
      <c r="D865" s="8">
        <f>MONTH(Table2[[#This Row],[Date]])</f>
        <v>11</v>
      </c>
      <c r="E865" s="8">
        <f>YEAR(Table2[[#This Row],[Date]])</f>
        <v>2023</v>
      </c>
      <c r="F865" s="7" t="s">
        <v>423</v>
      </c>
      <c r="G865" s="7" t="s">
        <v>13</v>
      </c>
      <c r="H865" s="8">
        <v>29</v>
      </c>
      <c r="I865" s="8" t="str">
        <f>IF(Table2[[#This Row],[Age]] &lt; 19, "Teenagers", IF(Table2[[#This Row],[Age]] &lt;= 34, "Young Adults", IF(Table2[[#This Row],[Age]] &lt;= 45, "Adults", IF(Table2[[#This Row],[Age]] &lt;= 55, "Seniors", "Elderly")) ))</f>
        <v>Young Adults</v>
      </c>
      <c r="J865" s="7" t="s">
        <v>14</v>
      </c>
      <c r="K865" s="8">
        <v>2</v>
      </c>
      <c r="L865" s="8" t="str">
        <f>IF(Table2[[#This Row],[Quantity]]=1, "Single Order", IF(Table2[[#This Row],[Quantity]]=2, "Small Order", IF(Table2[[#This Row],[Quantity]]=3, "Medium Order", "Bulk Order")))</f>
        <v>Small Order</v>
      </c>
      <c r="M865" s="10">
        <v>50</v>
      </c>
      <c r="N865" s="10">
        <v>100</v>
      </c>
    </row>
    <row r="866" spans="1:14" x14ac:dyDescent="0.2">
      <c r="A866">
        <v>417</v>
      </c>
      <c r="B866" s="5">
        <v>45251</v>
      </c>
      <c r="C866" s="5" t="str">
        <f>TEXT(Table2[[#This Row],[Date]], "MMM")</f>
        <v>Nov</v>
      </c>
      <c r="D866" s="8">
        <f>MONTH(Table2[[#This Row],[Date]])</f>
        <v>11</v>
      </c>
      <c r="E866" s="8">
        <f>YEAR(Table2[[#This Row],[Date]])</f>
        <v>2023</v>
      </c>
      <c r="F866" s="7" t="s">
        <v>430</v>
      </c>
      <c r="G866" s="7" t="s">
        <v>10</v>
      </c>
      <c r="H866" s="8">
        <v>43</v>
      </c>
      <c r="I866" s="8" t="str">
        <f>IF(Table2[[#This Row],[Age]] &lt; 19, "Teenagers", IF(Table2[[#This Row],[Age]] &lt;= 34, "Young Adults", IF(Table2[[#This Row],[Age]] &lt;= 45, "Adults", IF(Table2[[#This Row],[Age]] &lt;= 55, "Seniors", "Elderly")) ))</f>
        <v>Adults</v>
      </c>
      <c r="J866" s="7" t="s">
        <v>16</v>
      </c>
      <c r="K866" s="8">
        <v>3</v>
      </c>
      <c r="L866" s="8" t="str">
        <f>IF(Table2[[#This Row],[Quantity]]=1, "Single Order", IF(Table2[[#This Row],[Quantity]]=2, "Small Order", IF(Table2[[#This Row],[Quantity]]=3, "Medium Order", "Bulk Order")))</f>
        <v>Medium Order</v>
      </c>
      <c r="M866" s="10">
        <v>300</v>
      </c>
      <c r="N866" s="10">
        <v>900</v>
      </c>
    </row>
    <row r="867" spans="1:14" x14ac:dyDescent="0.2">
      <c r="A867">
        <v>424</v>
      </c>
      <c r="B867" s="5">
        <v>45253</v>
      </c>
      <c r="C867" s="5" t="str">
        <f>TEXT(Table2[[#This Row],[Date]], "MMM")</f>
        <v>Nov</v>
      </c>
      <c r="D867" s="8">
        <f>MONTH(Table2[[#This Row],[Date]])</f>
        <v>11</v>
      </c>
      <c r="E867" s="8">
        <f>YEAR(Table2[[#This Row],[Date]])</f>
        <v>2023</v>
      </c>
      <c r="F867" s="7" t="s">
        <v>437</v>
      </c>
      <c r="G867" s="7" t="s">
        <v>10</v>
      </c>
      <c r="H867" s="8">
        <v>57</v>
      </c>
      <c r="I867" s="8" t="str">
        <f>IF(Table2[[#This Row],[Age]] &lt; 19, "Teenagers", IF(Table2[[#This Row],[Age]] &lt;= 34, "Young Adults", IF(Table2[[#This Row],[Age]] &lt;= 45, "Adults", IF(Table2[[#This Row],[Age]] &lt;= 55, "Seniors", "Elderly")) ))</f>
        <v>Elderly</v>
      </c>
      <c r="J867" s="7" t="s">
        <v>11</v>
      </c>
      <c r="K867" s="8">
        <v>4</v>
      </c>
      <c r="L867" s="8" t="str">
        <f>IF(Table2[[#This Row],[Quantity]]=1, "Single Order", IF(Table2[[#This Row],[Quantity]]=2, "Small Order", IF(Table2[[#This Row],[Quantity]]=3, "Medium Order", "Bulk Order")))</f>
        <v>Bulk Order</v>
      </c>
      <c r="M867" s="10">
        <v>300</v>
      </c>
      <c r="N867" s="10">
        <v>1200</v>
      </c>
    </row>
    <row r="868" spans="1:14" x14ac:dyDescent="0.2">
      <c r="A868">
        <v>458</v>
      </c>
      <c r="B868" s="5">
        <v>45244</v>
      </c>
      <c r="C868" s="5" t="str">
        <f>TEXT(Table2[[#This Row],[Date]], "MMM")</f>
        <v>Nov</v>
      </c>
      <c r="D868" s="8">
        <f>MONTH(Table2[[#This Row],[Date]])</f>
        <v>11</v>
      </c>
      <c r="E868" s="8">
        <f>YEAR(Table2[[#This Row],[Date]])</f>
        <v>2023</v>
      </c>
      <c r="F868" s="7" t="s">
        <v>471</v>
      </c>
      <c r="G868" s="7" t="s">
        <v>13</v>
      </c>
      <c r="H868" s="8">
        <v>39</v>
      </c>
      <c r="I868" s="8" t="str">
        <f>IF(Table2[[#This Row],[Age]] &lt; 19, "Teenagers", IF(Table2[[#This Row],[Age]] &lt;= 34, "Young Adults", IF(Table2[[#This Row],[Age]] &lt;= 45, "Adults", IF(Table2[[#This Row],[Age]] &lt;= 55, "Seniors", "Elderly")) ))</f>
        <v>Adults</v>
      </c>
      <c r="J868" s="7" t="s">
        <v>16</v>
      </c>
      <c r="K868" s="8">
        <v>4</v>
      </c>
      <c r="L868" s="8" t="str">
        <f>IF(Table2[[#This Row],[Quantity]]=1, "Single Order", IF(Table2[[#This Row],[Quantity]]=2, "Small Order", IF(Table2[[#This Row],[Quantity]]=3, "Medium Order", "Bulk Order")))</f>
        <v>Bulk Order</v>
      </c>
      <c r="M868" s="10">
        <v>25</v>
      </c>
      <c r="N868" s="10">
        <v>100</v>
      </c>
    </row>
    <row r="869" spans="1:14" x14ac:dyDescent="0.2">
      <c r="A869">
        <v>493</v>
      </c>
      <c r="B869" s="5">
        <v>45255</v>
      </c>
      <c r="C869" s="5" t="str">
        <f>TEXT(Table2[[#This Row],[Date]], "MMM")</f>
        <v>Nov</v>
      </c>
      <c r="D869" s="8">
        <f>MONTH(Table2[[#This Row],[Date]])</f>
        <v>11</v>
      </c>
      <c r="E869" s="8">
        <f>YEAR(Table2[[#This Row],[Date]])</f>
        <v>2023</v>
      </c>
      <c r="F869" s="7" t="s">
        <v>506</v>
      </c>
      <c r="G869" s="7" t="s">
        <v>10</v>
      </c>
      <c r="H869" s="8">
        <v>41</v>
      </c>
      <c r="I869" s="8" t="str">
        <f>IF(Table2[[#This Row],[Age]] &lt; 19, "Teenagers", IF(Table2[[#This Row],[Age]] &lt;= 34, "Young Adults", IF(Table2[[#This Row],[Age]] &lt;= 45, "Adults", IF(Table2[[#This Row],[Age]] &lt;= 55, "Seniors", "Elderly")) ))</f>
        <v>Adults</v>
      </c>
      <c r="J869" s="7" t="s">
        <v>11</v>
      </c>
      <c r="K869" s="8">
        <v>2</v>
      </c>
      <c r="L869" s="8" t="str">
        <f>IF(Table2[[#This Row],[Quantity]]=1, "Single Order", IF(Table2[[#This Row],[Quantity]]=2, "Small Order", IF(Table2[[#This Row],[Quantity]]=3, "Medium Order", "Bulk Order")))</f>
        <v>Small Order</v>
      </c>
      <c r="M869" s="10">
        <v>25</v>
      </c>
      <c r="N869" s="10">
        <v>50</v>
      </c>
    </row>
    <row r="870" spans="1:14" x14ac:dyDescent="0.2">
      <c r="A870">
        <v>507</v>
      </c>
      <c r="B870" s="5">
        <v>45232</v>
      </c>
      <c r="C870" s="5" t="str">
        <f>TEXT(Table2[[#This Row],[Date]], "MMM")</f>
        <v>Nov</v>
      </c>
      <c r="D870" s="8">
        <f>MONTH(Table2[[#This Row],[Date]])</f>
        <v>11</v>
      </c>
      <c r="E870" s="8">
        <f>YEAR(Table2[[#This Row],[Date]])</f>
        <v>2023</v>
      </c>
      <c r="F870" s="7" t="s">
        <v>520</v>
      </c>
      <c r="G870" s="7" t="s">
        <v>13</v>
      </c>
      <c r="H870" s="8">
        <v>37</v>
      </c>
      <c r="I870" s="8" t="str">
        <f>IF(Table2[[#This Row],[Age]] &lt; 19, "Teenagers", IF(Table2[[#This Row],[Age]] &lt;= 34, "Young Adults", IF(Table2[[#This Row],[Age]] &lt;= 45, "Adults", IF(Table2[[#This Row],[Age]] &lt;= 55, "Seniors", "Elderly")) ))</f>
        <v>Adults</v>
      </c>
      <c r="J870" s="7" t="s">
        <v>16</v>
      </c>
      <c r="K870" s="8">
        <v>3</v>
      </c>
      <c r="L870" s="8" t="str">
        <f>IF(Table2[[#This Row],[Quantity]]=1, "Single Order", IF(Table2[[#This Row],[Quantity]]=2, "Small Order", IF(Table2[[#This Row],[Quantity]]=3, "Medium Order", "Bulk Order")))</f>
        <v>Medium Order</v>
      </c>
      <c r="M870" s="10">
        <v>500</v>
      </c>
      <c r="N870" s="10">
        <v>1500</v>
      </c>
    </row>
    <row r="871" spans="1:14" x14ac:dyDescent="0.2">
      <c r="A871">
        <v>512</v>
      </c>
      <c r="B871" s="5">
        <v>45237</v>
      </c>
      <c r="C871" s="5" t="str">
        <f>TEXT(Table2[[#This Row],[Date]], "MMM")</f>
        <v>Nov</v>
      </c>
      <c r="D871" s="8">
        <f>MONTH(Table2[[#This Row],[Date]])</f>
        <v>11</v>
      </c>
      <c r="E871" s="8">
        <f>YEAR(Table2[[#This Row],[Date]])</f>
        <v>2023</v>
      </c>
      <c r="F871" s="7" t="s">
        <v>525</v>
      </c>
      <c r="G871" s="7" t="s">
        <v>13</v>
      </c>
      <c r="H871" s="8">
        <v>57</v>
      </c>
      <c r="I871" s="8" t="str">
        <f>IF(Table2[[#This Row],[Age]] &lt; 19, "Teenagers", IF(Table2[[#This Row],[Age]] &lt;= 34, "Young Adults", IF(Table2[[#This Row],[Age]] &lt;= 45, "Adults", IF(Table2[[#This Row],[Age]] &lt;= 55, "Seniors", "Elderly")) ))</f>
        <v>Elderly</v>
      </c>
      <c r="J871" s="7" t="s">
        <v>11</v>
      </c>
      <c r="K871" s="8">
        <v>1</v>
      </c>
      <c r="L871" s="8" t="str">
        <f>IF(Table2[[#This Row],[Quantity]]=1, "Single Order", IF(Table2[[#This Row],[Quantity]]=2, "Small Order", IF(Table2[[#This Row],[Quantity]]=3, "Medium Order", "Bulk Order")))</f>
        <v>Single Order</v>
      </c>
      <c r="M871" s="10">
        <v>25</v>
      </c>
      <c r="N871" s="10">
        <v>25</v>
      </c>
    </row>
    <row r="872" spans="1:14" x14ac:dyDescent="0.2">
      <c r="A872">
        <v>533</v>
      </c>
      <c r="B872" s="5">
        <v>45246</v>
      </c>
      <c r="C872" s="5" t="str">
        <f>TEXT(Table2[[#This Row],[Date]], "MMM")</f>
        <v>Nov</v>
      </c>
      <c r="D872" s="8">
        <f>MONTH(Table2[[#This Row],[Date]])</f>
        <v>11</v>
      </c>
      <c r="E872" s="8">
        <f>YEAR(Table2[[#This Row],[Date]])</f>
        <v>2023</v>
      </c>
      <c r="F872" s="7" t="s">
        <v>546</v>
      </c>
      <c r="G872" s="7" t="s">
        <v>10</v>
      </c>
      <c r="H872" s="8">
        <v>19</v>
      </c>
      <c r="I872" s="8" t="str">
        <f>IF(Table2[[#This Row],[Age]] &lt; 19, "Teenagers", IF(Table2[[#This Row],[Age]] &lt;= 34, "Young Adults", IF(Table2[[#This Row],[Age]] &lt;= 45, "Adults", IF(Table2[[#This Row],[Age]] &lt;= 55, "Seniors", "Elderly")) ))</f>
        <v>Young Adults</v>
      </c>
      <c r="J872" s="7" t="s">
        <v>16</v>
      </c>
      <c r="K872" s="8">
        <v>3</v>
      </c>
      <c r="L872" s="8" t="str">
        <f>IF(Table2[[#This Row],[Quantity]]=1, "Single Order", IF(Table2[[#This Row],[Quantity]]=2, "Small Order", IF(Table2[[#This Row],[Quantity]]=3, "Medium Order", "Bulk Order")))</f>
        <v>Medium Order</v>
      </c>
      <c r="M872" s="10">
        <v>500</v>
      </c>
      <c r="N872" s="10">
        <v>1500</v>
      </c>
    </row>
    <row r="873" spans="1:14" x14ac:dyDescent="0.2">
      <c r="A873">
        <v>554</v>
      </c>
      <c r="B873" s="5">
        <v>45242</v>
      </c>
      <c r="C873" s="5" t="str">
        <f>TEXT(Table2[[#This Row],[Date]], "MMM")</f>
        <v>Nov</v>
      </c>
      <c r="D873" s="8">
        <f>MONTH(Table2[[#This Row],[Date]])</f>
        <v>11</v>
      </c>
      <c r="E873" s="8">
        <f>YEAR(Table2[[#This Row],[Date]])</f>
        <v>2023</v>
      </c>
      <c r="F873" s="7" t="s">
        <v>567</v>
      </c>
      <c r="G873" s="7" t="s">
        <v>13</v>
      </c>
      <c r="H873" s="8">
        <v>46</v>
      </c>
      <c r="I873" s="8" t="str">
        <f>IF(Table2[[#This Row],[Age]] &lt; 19, "Teenagers", IF(Table2[[#This Row],[Age]] &lt;= 34, "Young Adults", IF(Table2[[#This Row],[Age]] &lt;= 45, "Adults", IF(Table2[[#This Row],[Age]] &lt;= 55, "Seniors", "Elderly")) ))</f>
        <v>Seniors</v>
      </c>
      <c r="J873" s="7" t="s">
        <v>11</v>
      </c>
      <c r="K873" s="8">
        <v>3</v>
      </c>
      <c r="L873" s="8" t="str">
        <f>IF(Table2[[#This Row],[Quantity]]=1, "Single Order", IF(Table2[[#This Row],[Quantity]]=2, "Small Order", IF(Table2[[#This Row],[Quantity]]=3, "Medium Order", "Bulk Order")))</f>
        <v>Medium Order</v>
      </c>
      <c r="M873" s="10">
        <v>50</v>
      </c>
      <c r="N873" s="10">
        <v>150</v>
      </c>
    </row>
    <row r="874" spans="1:14" x14ac:dyDescent="0.2">
      <c r="A874">
        <v>565</v>
      </c>
      <c r="B874" s="5">
        <v>45237</v>
      </c>
      <c r="C874" s="5" t="str">
        <f>TEXT(Table2[[#This Row],[Date]], "MMM")</f>
        <v>Nov</v>
      </c>
      <c r="D874" s="8">
        <f>MONTH(Table2[[#This Row],[Date]])</f>
        <v>11</v>
      </c>
      <c r="E874" s="8">
        <f>YEAR(Table2[[#This Row],[Date]])</f>
        <v>2023</v>
      </c>
      <c r="F874" s="7" t="s">
        <v>578</v>
      </c>
      <c r="G874" s="7" t="s">
        <v>13</v>
      </c>
      <c r="H874" s="8">
        <v>45</v>
      </c>
      <c r="I874" s="8" t="str">
        <f>IF(Table2[[#This Row],[Age]] &lt; 19, "Teenagers", IF(Table2[[#This Row],[Age]] &lt;= 34, "Young Adults", IF(Table2[[#This Row],[Age]] &lt;= 45, "Adults", IF(Table2[[#This Row],[Age]] &lt;= 55, "Seniors", "Elderly")) ))</f>
        <v>Adults</v>
      </c>
      <c r="J874" s="7" t="s">
        <v>11</v>
      </c>
      <c r="K874" s="8">
        <v>2</v>
      </c>
      <c r="L874" s="8" t="str">
        <f>IF(Table2[[#This Row],[Quantity]]=1, "Single Order", IF(Table2[[#This Row],[Quantity]]=2, "Small Order", IF(Table2[[#This Row],[Quantity]]=3, "Medium Order", "Bulk Order")))</f>
        <v>Small Order</v>
      </c>
      <c r="M874" s="10">
        <v>30</v>
      </c>
      <c r="N874" s="10">
        <v>60</v>
      </c>
    </row>
    <row r="875" spans="1:14" x14ac:dyDescent="0.2">
      <c r="A875">
        <v>581</v>
      </c>
      <c r="B875" s="5">
        <v>45251</v>
      </c>
      <c r="C875" s="5" t="str">
        <f>TEXT(Table2[[#This Row],[Date]], "MMM")</f>
        <v>Nov</v>
      </c>
      <c r="D875" s="8">
        <f>MONTH(Table2[[#This Row],[Date]])</f>
        <v>11</v>
      </c>
      <c r="E875" s="8">
        <f>YEAR(Table2[[#This Row],[Date]])</f>
        <v>2023</v>
      </c>
      <c r="F875" s="7" t="s">
        <v>594</v>
      </c>
      <c r="G875" s="7" t="s">
        <v>13</v>
      </c>
      <c r="H875" s="8">
        <v>48</v>
      </c>
      <c r="I875" s="8" t="str">
        <f>IF(Table2[[#This Row],[Age]] &lt; 19, "Teenagers", IF(Table2[[#This Row],[Age]] &lt;= 34, "Young Adults", IF(Table2[[#This Row],[Age]] &lt;= 45, "Adults", IF(Table2[[#This Row],[Age]] &lt;= 55, "Seniors", "Elderly")) ))</f>
        <v>Seniors</v>
      </c>
      <c r="J875" s="7" t="s">
        <v>11</v>
      </c>
      <c r="K875" s="8">
        <v>2</v>
      </c>
      <c r="L875" s="8" t="str">
        <f>IF(Table2[[#This Row],[Quantity]]=1, "Single Order", IF(Table2[[#This Row],[Quantity]]=2, "Small Order", IF(Table2[[#This Row],[Quantity]]=3, "Medium Order", "Bulk Order")))</f>
        <v>Small Order</v>
      </c>
      <c r="M875" s="10">
        <v>30</v>
      </c>
      <c r="N875" s="10">
        <v>60</v>
      </c>
    </row>
    <row r="876" spans="1:14" x14ac:dyDescent="0.2">
      <c r="A876">
        <v>582</v>
      </c>
      <c r="B876" s="5">
        <v>45244</v>
      </c>
      <c r="C876" s="5" t="str">
        <f>TEXT(Table2[[#This Row],[Date]], "MMM")</f>
        <v>Nov</v>
      </c>
      <c r="D876" s="8">
        <f>MONTH(Table2[[#This Row],[Date]])</f>
        <v>11</v>
      </c>
      <c r="E876" s="8">
        <f>YEAR(Table2[[#This Row],[Date]])</f>
        <v>2023</v>
      </c>
      <c r="F876" s="7" t="s">
        <v>595</v>
      </c>
      <c r="G876" s="7" t="s">
        <v>10</v>
      </c>
      <c r="H876" s="8">
        <v>35</v>
      </c>
      <c r="I876" s="8" t="str">
        <f>IF(Table2[[#This Row],[Age]] &lt; 19, "Teenagers", IF(Table2[[#This Row],[Age]] &lt;= 34, "Young Adults", IF(Table2[[#This Row],[Age]] &lt;= 45, "Adults", IF(Table2[[#This Row],[Age]] &lt;= 55, "Seniors", "Elderly")) ))</f>
        <v>Adults</v>
      </c>
      <c r="J876" s="7" t="s">
        <v>14</v>
      </c>
      <c r="K876" s="8">
        <v>3</v>
      </c>
      <c r="L876" s="8" t="str">
        <f>IF(Table2[[#This Row],[Quantity]]=1, "Single Order", IF(Table2[[#This Row],[Quantity]]=2, "Small Order", IF(Table2[[#This Row],[Quantity]]=3, "Medium Order", "Bulk Order")))</f>
        <v>Medium Order</v>
      </c>
      <c r="M876" s="10">
        <v>300</v>
      </c>
      <c r="N876" s="10">
        <v>900</v>
      </c>
    </row>
    <row r="877" spans="1:14" x14ac:dyDescent="0.2">
      <c r="A877">
        <v>595</v>
      </c>
      <c r="B877" s="5">
        <v>45239</v>
      </c>
      <c r="C877" s="5" t="str">
        <f>TEXT(Table2[[#This Row],[Date]], "MMM")</f>
        <v>Nov</v>
      </c>
      <c r="D877" s="8">
        <f>MONTH(Table2[[#This Row],[Date]])</f>
        <v>11</v>
      </c>
      <c r="E877" s="8">
        <f>YEAR(Table2[[#This Row],[Date]])</f>
        <v>2023</v>
      </c>
      <c r="F877" s="7" t="s">
        <v>608</v>
      </c>
      <c r="G877" s="7" t="s">
        <v>13</v>
      </c>
      <c r="H877" s="8">
        <v>18</v>
      </c>
      <c r="I877" s="8" t="str">
        <f>IF(Table2[[#This Row],[Age]] &lt; 19, "Teenagers", IF(Table2[[#This Row],[Age]] &lt;= 34, "Young Adults", IF(Table2[[#This Row],[Age]] &lt;= 45, "Adults", IF(Table2[[#This Row],[Age]] &lt;= 55, "Seniors", "Elderly")) ))</f>
        <v>Teenagers</v>
      </c>
      <c r="J877" s="7" t="s">
        <v>14</v>
      </c>
      <c r="K877" s="8">
        <v>4</v>
      </c>
      <c r="L877" s="8" t="str">
        <f>IF(Table2[[#This Row],[Quantity]]=1, "Single Order", IF(Table2[[#This Row],[Quantity]]=2, "Small Order", IF(Table2[[#This Row],[Quantity]]=3, "Medium Order", "Bulk Order")))</f>
        <v>Bulk Order</v>
      </c>
      <c r="M877" s="10">
        <v>500</v>
      </c>
      <c r="N877" s="10">
        <v>2000</v>
      </c>
    </row>
    <row r="878" spans="1:14" x14ac:dyDescent="0.2">
      <c r="A878">
        <v>599</v>
      </c>
      <c r="B878" s="5">
        <v>45249</v>
      </c>
      <c r="C878" s="5" t="str">
        <f>TEXT(Table2[[#This Row],[Date]], "MMM")</f>
        <v>Nov</v>
      </c>
      <c r="D878" s="8">
        <f>MONTH(Table2[[#This Row],[Date]])</f>
        <v>11</v>
      </c>
      <c r="E878" s="8">
        <f>YEAR(Table2[[#This Row],[Date]])</f>
        <v>2023</v>
      </c>
      <c r="F878" s="7" t="s">
        <v>612</v>
      </c>
      <c r="G878" s="7" t="s">
        <v>13</v>
      </c>
      <c r="H878" s="8">
        <v>28</v>
      </c>
      <c r="I878" s="8" t="str">
        <f>IF(Table2[[#This Row],[Age]] &lt; 19, "Teenagers", IF(Table2[[#This Row],[Age]] &lt;= 34, "Young Adults", IF(Table2[[#This Row],[Age]] &lt;= 45, "Adults", IF(Table2[[#This Row],[Age]] &lt;= 55, "Seniors", "Elderly")) ))</f>
        <v>Young Adults</v>
      </c>
      <c r="J878" s="7" t="s">
        <v>11</v>
      </c>
      <c r="K878" s="8">
        <v>2</v>
      </c>
      <c r="L878" s="8" t="str">
        <f>IF(Table2[[#This Row],[Quantity]]=1, "Single Order", IF(Table2[[#This Row],[Quantity]]=2, "Small Order", IF(Table2[[#This Row],[Quantity]]=3, "Medium Order", "Bulk Order")))</f>
        <v>Small Order</v>
      </c>
      <c r="M878" s="10">
        <v>50</v>
      </c>
      <c r="N878" s="10">
        <v>100</v>
      </c>
    </row>
    <row r="879" spans="1:14" x14ac:dyDescent="0.2">
      <c r="A879">
        <v>628</v>
      </c>
      <c r="B879" s="5">
        <v>45231</v>
      </c>
      <c r="C879" s="5" t="str">
        <f>TEXT(Table2[[#This Row],[Date]], "MMM")</f>
        <v>Nov</v>
      </c>
      <c r="D879" s="8">
        <f>MONTH(Table2[[#This Row],[Date]])</f>
        <v>11</v>
      </c>
      <c r="E879" s="8">
        <f>YEAR(Table2[[#This Row],[Date]])</f>
        <v>2023</v>
      </c>
      <c r="F879" s="7" t="s">
        <v>641</v>
      </c>
      <c r="G879" s="7" t="s">
        <v>13</v>
      </c>
      <c r="H879" s="8">
        <v>19</v>
      </c>
      <c r="I879" s="8" t="str">
        <f>IF(Table2[[#This Row],[Age]] &lt; 19, "Teenagers", IF(Table2[[#This Row],[Age]] &lt;= 34, "Young Adults", IF(Table2[[#This Row],[Age]] &lt;= 45, "Adults", IF(Table2[[#This Row],[Age]] &lt;= 55, "Seniors", "Elderly")) ))</f>
        <v>Young Adults</v>
      </c>
      <c r="J879" s="7" t="s">
        <v>11</v>
      </c>
      <c r="K879" s="8">
        <v>4</v>
      </c>
      <c r="L879" s="8" t="str">
        <f>IF(Table2[[#This Row],[Quantity]]=1, "Single Order", IF(Table2[[#This Row],[Quantity]]=2, "Small Order", IF(Table2[[#This Row],[Quantity]]=3, "Medium Order", "Bulk Order")))</f>
        <v>Bulk Order</v>
      </c>
      <c r="M879" s="10">
        <v>50</v>
      </c>
      <c r="N879" s="10">
        <v>200</v>
      </c>
    </row>
    <row r="880" spans="1:14" x14ac:dyDescent="0.2">
      <c r="A880">
        <v>631</v>
      </c>
      <c r="B880" s="5">
        <v>45240</v>
      </c>
      <c r="C880" s="5" t="str">
        <f>TEXT(Table2[[#This Row],[Date]], "MMM")</f>
        <v>Nov</v>
      </c>
      <c r="D880" s="8">
        <f>MONTH(Table2[[#This Row],[Date]])</f>
        <v>11</v>
      </c>
      <c r="E880" s="8">
        <f>YEAR(Table2[[#This Row],[Date]])</f>
        <v>2023</v>
      </c>
      <c r="F880" s="7" t="s">
        <v>644</v>
      </c>
      <c r="G880" s="7" t="s">
        <v>10</v>
      </c>
      <c r="H880" s="8">
        <v>56</v>
      </c>
      <c r="I880" s="8" t="str">
        <f>IF(Table2[[#This Row],[Age]] &lt; 19, "Teenagers", IF(Table2[[#This Row],[Age]] &lt;= 34, "Young Adults", IF(Table2[[#This Row],[Age]] &lt;= 45, "Adults", IF(Table2[[#This Row],[Age]] &lt;= 55, "Seniors", "Elderly")) ))</f>
        <v>Elderly</v>
      </c>
      <c r="J880" s="7" t="s">
        <v>16</v>
      </c>
      <c r="K880" s="8">
        <v>3</v>
      </c>
      <c r="L880" s="8" t="str">
        <f>IF(Table2[[#This Row],[Quantity]]=1, "Single Order", IF(Table2[[#This Row],[Quantity]]=2, "Small Order", IF(Table2[[#This Row],[Quantity]]=3, "Medium Order", "Bulk Order")))</f>
        <v>Medium Order</v>
      </c>
      <c r="M880" s="10">
        <v>30</v>
      </c>
      <c r="N880" s="10">
        <v>90</v>
      </c>
    </row>
    <row r="881" spans="1:14" x14ac:dyDescent="0.2">
      <c r="A881">
        <v>641</v>
      </c>
      <c r="B881" s="5">
        <v>45253</v>
      </c>
      <c r="C881" s="5" t="str">
        <f>TEXT(Table2[[#This Row],[Date]], "MMM")</f>
        <v>Nov</v>
      </c>
      <c r="D881" s="8">
        <f>MONTH(Table2[[#This Row],[Date]])</f>
        <v>11</v>
      </c>
      <c r="E881" s="8">
        <f>YEAR(Table2[[#This Row],[Date]])</f>
        <v>2023</v>
      </c>
      <c r="F881" s="7" t="s">
        <v>654</v>
      </c>
      <c r="G881" s="7" t="s">
        <v>13</v>
      </c>
      <c r="H881" s="8">
        <v>40</v>
      </c>
      <c r="I881" s="8" t="str">
        <f>IF(Table2[[#This Row],[Age]] &lt; 19, "Teenagers", IF(Table2[[#This Row],[Age]] &lt;= 34, "Young Adults", IF(Table2[[#This Row],[Age]] &lt;= 45, "Adults", IF(Table2[[#This Row],[Age]] &lt;= 55, "Seniors", "Elderly")) ))</f>
        <v>Adults</v>
      </c>
      <c r="J881" s="7" t="s">
        <v>16</v>
      </c>
      <c r="K881" s="8">
        <v>1</v>
      </c>
      <c r="L881" s="8" t="str">
        <f>IF(Table2[[#This Row],[Quantity]]=1, "Single Order", IF(Table2[[#This Row],[Quantity]]=2, "Small Order", IF(Table2[[#This Row],[Quantity]]=3, "Medium Order", "Bulk Order")))</f>
        <v>Single Order</v>
      </c>
      <c r="M881" s="10">
        <v>300</v>
      </c>
      <c r="N881" s="10">
        <v>300</v>
      </c>
    </row>
    <row r="882" spans="1:14" x14ac:dyDescent="0.2">
      <c r="A882">
        <v>645</v>
      </c>
      <c r="B882" s="5">
        <v>45247</v>
      </c>
      <c r="C882" s="5" t="str">
        <f>TEXT(Table2[[#This Row],[Date]], "MMM")</f>
        <v>Nov</v>
      </c>
      <c r="D882" s="8">
        <f>MONTH(Table2[[#This Row],[Date]])</f>
        <v>11</v>
      </c>
      <c r="E882" s="8">
        <f>YEAR(Table2[[#This Row],[Date]])</f>
        <v>2023</v>
      </c>
      <c r="F882" s="7" t="s">
        <v>658</v>
      </c>
      <c r="G882" s="7" t="s">
        <v>13</v>
      </c>
      <c r="H882" s="8">
        <v>35</v>
      </c>
      <c r="I882" s="8" t="str">
        <f>IF(Table2[[#This Row],[Age]] &lt; 19, "Teenagers", IF(Table2[[#This Row],[Age]] &lt;= 34, "Young Adults", IF(Table2[[#This Row],[Age]] &lt;= 45, "Adults", IF(Table2[[#This Row],[Age]] &lt;= 55, "Seniors", "Elderly")) ))</f>
        <v>Adults</v>
      </c>
      <c r="J882" s="7" t="s">
        <v>16</v>
      </c>
      <c r="K882" s="8">
        <v>4</v>
      </c>
      <c r="L882" s="8" t="str">
        <f>IF(Table2[[#This Row],[Quantity]]=1, "Single Order", IF(Table2[[#This Row],[Quantity]]=2, "Small Order", IF(Table2[[#This Row],[Quantity]]=3, "Medium Order", "Bulk Order")))</f>
        <v>Bulk Order</v>
      </c>
      <c r="M882" s="10">
        <v>30</v>
      </c>
      <c r="N882" s="10">
        <v>120</v>
      </c>
    </row>
    <row r="883" spans="1:14" x14ac:dyDescent="0.2">
      <c r="A883">
        <v>690</v>
      </c>
      <c r="B883" s="5">
        <v>45235</v>
      </c>
      <c r="C883" s="5" t="str">
        <f>TEXT(Table2[[#This Row],[Date]], "MMM")</f>
        <v>Nov</v>
      </c>
      <c r="D883" s="8">
        <f>MONTH(Table2[[#This Row],[Date]])</f>
        <v>11</v>
      </c>
      <c r="E883" s="8">
        <f>YEAR(Table2[[#This Row],[Date]])</f>
        <v>2023</v>
      </c>
      <c r="F883" s="7" t="s">
        <v>703</v>
      </c>
      <c r="G883" s="7" t="s">
        <v>13</v>
      </c>
      <c r="H883" s="8">
        <v>52</v>
      </c>
      <c r="I883" s="8" t="str">
        <f>IF(Table2[[#This Row],[Age]] &lt; 19, "Teenagers", IF(Table2[[#This Row],[Age]] &lt;= 34, "Young Adults", IF(Table2[[#This Row],[Age]] &lt;= 45, "Adults", IF(Table2[[#This Row],[Age]] &lt;= 55, "Seniors", "Elderly")) ))</f>
        <v>Seniors</v>
      </c>
      <c r="J883" s="7" t="s">
        <v>14</v>
      </c>
      <c r="K883" s="8">
        <v>3</v>
      </c>
      <c r="L883" s="8" t="str">
        <f>IF(Table2[[#This Row],[Quantity]]=1, "Single Order", IF(Table2[[#This Row],[Quantity]]=2, "Small Order", IF(Table2[[#This Row],[Quantity]]=3, "Medium Order", "Bulk Order")))</f>
        <v>Medium Order</v>
      </c>
      <c r="M883" s="10">
        <v>300</v>
      </c>
      <c r="N883" s="10">
        <v>900</v>
      </c>
    </row>
    <row r="884" spans="1:14" x14ac:dyDescent="0.2">
      <c r="A884">
        <v>706</v>
      </c>
      <c r="B884" s="5">
        <v>45245</v>
      </c>
      <c r="C884" s="5" t="str">
        <f>TEXT(Table2[[#This Row],[Date]], "MMM")</f>
        <v>Nov</v>
      </c>
      <c r="D884" s="8">
        <f>MONTH(Table2[[#This Row],[Date]])</f>
        <v>11</v>
      </c>
      <c r="E884" s="8">
        <f>YEAR(Table2[[#This Row],[Date]])</f>
        <v>2023</v>
      </c>
      <c r="F884" s="7" t="s">
        <v>719</v>
      </c>
      <c r="G884" s="7" t="s">
        <v>10</v>
      </c>
      <c r="H884" s="8">
        <v>51</v>
      </c>
      <c r="I884" s="8" t="str">
        <f>IF(Table2[[#This Row],[Age]] &lt; 19, "Teenagers", IF(Table2[[#This Row],[Age]] &lt;= 34, "Young Adults", IF(Table2[[#This Row],[Age]] &lt;= 45, "Adults", IF(Table2[[#This Row],[Age]] &lt;= 55, "Seniors", "Elderly")) ))</f>
        <v>Seniors</v>
      </c>
      <c r="J884" s="7" t="s">
        <v>16</v>
      </c>
      <c r="K884" s="8">
        <v>4</v>
      </c>
      <c r="L884" s="8" t="str">
        <f>IF(Table2[[#This Row],[Quantity]]=1, "Single Order", IF(Table2[[#This Row],[Quantity]]=2, "Small Order", IF(Table2[[#This Row],[Quantity]]=3, "Medium Order", "Bulk Order")))</f>
        <v>Bulk Order</v>
      </c>
      <c r="M884" s="10">
        <v>25</v>
      </c>
      <c r="N884" s="10">
        <v>100</v>
      </c>
    </row>
    <row r="885" spans="1:14" x14ac:dyDescent="0.2">
      <c r="A885">
        <v>715</v>
      </c>
      <c r="B885" s="5">
        <v>45256</v>
      </c>
      <c r="C885" s="5" t="str">
        <f>TEXT(Table2[[#This Row],[Date]], "MMM")</f>
        <v>Nov</v>
      </c>
      <c r="D885" s="8">
        <f>MONTH(Table2[[#This Row],[Date]])</f>
        <v>11</v>
      </c>
      <c r="E885" s="8">
        <f>YEAR(Table2[[#This Row],[Date]])</f>
        <v>2023</v>
      </c>
      <c r="F885" s="7" t="s">
        <v>728</v>
      </c>
      <c r="G885" s="7" t="s">
        <v>13</v>
      </c>
      <c r="H885" s="8">
        <v>42</v>
      </c>
      <c r="I885" s="8" t="str">
        <f>IF(Table2[[#This Row],[Age]] &lt; 19, "Teenagers", IF(Table2[[#This Row],[Age]] &lt;= 34, "Young Adults", IF(Table2[[#This Row],[Age]] &lt;= 45, "Adults", IF(Table2[[#This Row],[Age]] &lt;= 55, "Seniors", "Elderly")) ))</f>
        <v>Adults</v>
      </c>
      <c r="J885" s="7" t="s">
        <v>11</v>
      </c>
      <c r="K885" s="8">
        <v>4</v>
      </c>
      <c r="L885" s="8" t="str">
        <f>IF(Table2[[#This Row],[Quantity]]=1, "Single Order", IF(Table2[[#This Row],[Quantity]]=2, "Small Order", IF(Table2[[#This Row],[Quantity]]=3, "Medium Order", "Bulk Order")))</f>
        <v>Bulk Order</v>
      </c>
      <c r="M885" s="10">
        <v>25</v>
      </c>
      <c r="N885" s="10">
        <v>100</v>
      </c>
    </row>
    <row r="886" spans="1:14" x14ac:dyDescent="0.2">
      <c r="A886">
        <v>739</v>
      </c>
      <c r="B886" s="5">
        <v>45259</v>
      </c>
      <c r="C886" s="5" t="str">
        <f>TEXT(Table2[[#This Row],[Date]], "MMM")</f>
        <v>Nov</v>
      </c>
      <c r="D886" s="8">
        <f>MONTH(Table2[[#This Row],[Date]])</f>
        <v>11</v>
      </c>
      <c r="E886" s="8">
        <f>YEAR(Table2[[#This Row],[Date]])</f>
        <v>2023</v>
      </c>
      <c r="F886" s="7" t="s">
        <v>752</v>
      </c>
      <c r="G886" s="7" t="s">
        <v>10</v>
      </c>
      <c r="H886" s="8">
        <v>36</v>
      </c>
      <c r="I886" s="8" t="str">
        <f>IF(Table2[[#This Row],[Age]] &lt; 19, "Teenagers", IF(Table2[[#This Row],[Age]] &lt;= 34, "Young Adults", IF(Table2[[#This Row],[Age]] &lt;= 45, "Adults", IF(Table2[[#This Row],[Age]] &lt;= 55, "Seniors", "Elderly")) ))</f>
        <v>Adults</v>
      </c>
      <c r="J886" s="7" t="s">
        <v>11</v>
      </c>
      <c r="K886" s="8">
        <v>1</v>
      </c>
      <c r="L886" s="8" t="str">
        <f>IF(Table2[[#This Row],[Quantity]]=1, "Single Order", IF(Table2[[#This Row],[Quantity]]=2, "Small Order", IF(Table2[[#This Row],[Quantity]]=3, "Medium Order", "Bulk Order")))</f>
        <v>Single Order</v>
      </c>
      <c r="M886" s="10">
        <v>25</v>
      </c>
      <c r="N886" s="10">
        <v>25</v>
      </c>
    </row>
    <row r="887" spans="1:14" x14ac:dyDescent="0.2">
      <c r="A887">
        <v>741</v>
      </c>
      <c r="B887" s="5">
        <v>45260</v>
      </c>
      <c r="C887" s="5" t="str">
        <f>TEXT(Table2[[#This Row],[Date]], "MMM")</f>
        <v>Nov</v>
      </c>
      <c r="D887" s="8">
        <f>MONTH(Table2[[#This Row],[Date]])</f>
        <v>11</v>
      </c>
      <c r="E887" s="8">
        <f>YEAR(Table2[[#This Row],[Date]])</f>
        <v>2023</v>
      </c>
      <c r="F887" s="7" t="s">
        <v>754</v>
      </c>
      <c r="G887" s="7" t="s">
        <v>10</v>
      </c>
      <c r="H887" s="8">
        <v>48</v>
      </c>
      <c r="I887" s="8" t="str">
        <f>IF(Table2[[#This Row],[Age]] &lt; 19, "Teenagers", IF(Table2[[#This Row],[Age]] &lt;= 34, "Young Adults", IF(Table2[[#This Row],[Age]] &lt;= 45, "Adults", IF(Table2[[#This Row],[Age]] &lt;= 55, "Seniors", "Elderly")) ))</f>
        <v>Seniors</v>
      </c>
      <c r="J887" s="7" t="s">
        <v>14</v>
      </c>
      <c r="K887" s="8">
        <v>1</v>
      </c>
      <c r="L887" s="8" t="str">
        <f>IF(Table2[[#This Row],[Quantity]]=1, "Single Order", IF(Table2[[#This Row],[Quantity]]=2, "Small Order", IF(Table2[[#This Row],[Quantity]]=3, "Medium Order", "Bulk Order")))</f>
        <v>Single Order</v>
      </c>
      <c r="M887" s="10">
        <v>300</v>
      </c>
      <c r="N887" s="10">
        <v>300</v>
      </c>
    </row>
    <row r="888" spans="1:14" x14ac:dyDescent="0.2">
      <c r="A888">
        <v>747</v>
      </c>
      <c r="B888" s="5">
        <v>45245</v>
      </c>
      <c r="C888" s="5" t="str">
        <f>TEXT(Table2[[#This Row],[Date]], "MMM")</f>
        <v>Nov</v>
      </c>
      <c r="D888" s="8">
        <f>MONTH(Table2[[#This Row],[Date]])</f>
        <v>11</v>
      </c>
      <c r="E888" s="8">
        <f>YEAR(Table2[[#This Row],[Date]])</f>
        <v>2023</v>
      </c>
      <c r="F888" s="7" t="s">
        <v>760</v>
      </c>
      <c r="G888" s="7" t="s">
        <v>10</v>
      </c>
      <c r="H888" s="8">
        <v>23</v>
      </c>
      <c r="I888" s="8" t="str">
        <f>IF(Table2[[#This Row],[Age]] &lt; 19, "Teenagers", IF(Table2[[#This Row],[Age]] &lt;= 34, "Young Adults", IF(Table2[[#This Row],[Age]] &lt;= 45, "Adults", IF(Table2[[#This Row],[Age]] &lt;= 55, "Seniors", "Elderly")) ))</f>
        <v>Young Adults</v>
      </c>
      <c r="J888" s="7" t="s">
        <v>11</v>
      </c>
      <c r="K888" s="8">
        <v>1</v>
      </c>
      <c r="L888" s="8" t="str">
        <f>IF(Table2[[#This Row],[Quantity]]=1, "Single Order", IF(Table2[[#This Row],[Quantity]]=2, "Small Order", IF(Table2[[#This Row],[Quantity]]=3, "Medium Order", "Bulk Order")))</f>
        <v>Single Order</v>
      </c>
      <c r="M888" s="10">
        <v>30</v>
      </c>
      <c r="N888" s="10">
        <v>30</v>
      </c>
    </row>
    <row r="889" spans="1:14" x14ac:dyDescent="0.2">
      <c r="A889">
        <v>761</v>
      </c>
      <c r="B889" s="5">
        <v>45237</v>
      </c>
      <c r="C889" s="5" t="str">
        <f>TEXT(Table2[[#This Row],[Date]], "MMM")</f>
        <v>Nov</v>
      </c>
      <c r="D889" s="8">
        <f>MONTH(Table2[[#This Row],[Date]])</f>
        <v>11</v>
      </c>
      <c r="E889" s="8">
        <f>YEAR(Table2[[#This Row],[Date]])</f>
        <v>2023</v>
      </c>
      <c r="F889" s="7" t="s">
        <v>774</v>
      </c>
      <c r="G889" s="7" t="s">
        <v>13</v>
      </c>
      <c r="H889" s="8">
        <v>33</v>
      </c>
      <c r="I889" s="8" t="str">
        <f>IF(Table2[[#This Row],[Age]] &lt; 19, "Teenagers", IF(Table2[[#This Row],[Age]] &lt;= 34, "Young Adults", IF(Table2[[#This Row],[Age]] &lt;= 45, "Adults", IF(Table2[[#This Row],[Age]] &lt;= 55, "Seniors", "Elderly")) ))</f>
        <v>Young Adults</v>
      </c>
      <c r="J889" s="7" t="s">
        <v>14</v>
      </c>
      <c r="K889" s="8">
        <v>1</v>
      </c>
      <c r="L889" s="8" t="str">
        <f>IF(Table2[[#This Row],[Quantity]]=1, "Single Order", IF(Table2[[#This Row],[Quantity]]=2, "Small Order", IF(Table2[[#This Row],[Quantity]]=3, "Medium Order", "Bulk Order")))</f>
        <v>Single Order</v>
      </c>
      <c r="M889" s="10">
        <v>500</v>
      </c>
      <c r="N889" s="10">
        <v>500</v>
      </c>
    </row>
    <row r="890" spans="1:14" x14ac:dyDescent="0.2">
      <c r="A890">
        <v>762</v>
      </c>
      <c r="B890" s="5">
        <v>45237</v>
      </c>
      <c r="C890" s="5" t="str">
        <f>TEXT(Table2[[#This Row],[Date]], "MMM")</f>
        <v>Nov</v>
      </c>
      <c r="D890" s="8">
        <f>MONTH(Table2[[#This Row],[Date]])</f>
        <v>11</v>
      </c>
      <c r="E890" s="8">
        <f>YEAR(Table2[[#This Row],[Date]])</f>
        <v>2023</v>
      </c>
      <c r="F890" s="7" t="s">
        <v>775</v>
      </c>
      <c r="G890" s="7" t="s">
        <v>13</v>
      </c>
      <c r="H890" s="8">
        <v>24</v>
      </c>
      <c r="I890" s="8" t="str">
        <f>IF(Table2[[#This Row],[Age]] &lt; 19, "Teenagers", IF(Table2[[#This Row],[Age]] &lt;= 34, "Young Adults", IF(Table2[[#This Row],[Age]] &lt;= 45, "Adults", IF(Table2[[#This Row],[Age]] &lt;= 55, "Seniors", "Elderly")) ))</f>
        <v>Young Adults</v>
      </c>
      <c r="J890" s="7" t="s">
        <v>16</v>
      </c>
      <c r="K890" s="8">
        <v>2</v>
      </c>
      <c r="L890" s="8" t="str">
        <f>IF(Table2[[#This Row],[Quantity]]=1, "Single Order", IF(Table2[[#This Row],[Quantity]]=2, "Small Order", IF(Table2[[#This Row],[Quantity]]=3, "Medium Order", "Bulk Order")))</f>
        <v>Small Order</v>
      </c>
      <c r="M890" s="10">
        <v>25</v>
      </c>
      <c r="N890" s="10">
        <v>50</v>
      </c>
    </row>
    <row r="891" spans="1:14" x14ac:dyDescent="0.2">
      <c r="A891">
        <v>778</v>
      </c>
      <c r="B891" s="5">
        <v>45248</v>
      </c>
      <c r="C891" s="5" t="str">
        <f>TEXT(Table2[[#This Row],[Date]], "MMM")</f>
        <v>Nov</v>
      </c>
      <c r="D891" s="8">
        <f>MONTH(Table2[[#This Row],[Date]])</f>
        <v>11</v>
      </c>
      <c r="E891" s="8">
        <f>YEAR(Table2[[#This Row],[Date]])</f>
        <v>2023</v>
      </c>
      <c r="F891" s="7" t="s">
        <v>791</v>
      </c>
      <c r="G891" s="7" t="s">
        <v>13</v>
      </c>
      <c r="H891" s="8">
        <v>47</v>
      </c>
      <c r="I891" s="8" t="str">
        <f>IF(Table2[[#This Row],[Age]] &lt; 19, "Teenagers", IF(Table2[[#This Row],[Age]] &lt;= 34, "Young Adults", IF(Table2[[#This Row],[Age]] &lt;= 45, "Adults", IF(Table2[[#This Row],[Age]] &lt;= 55, "Seniors", "Elderly")) ))</f>
        <v>Seniors</v>
      </c>
      <c r="J891" s="7" t="s">
        <v>11</v>
      </c>
      <c r="K891" s="8">
        <v>4</v>
      </c>
      <c r="L891" s="8" t="str">
        <f>IF(Table2[[#This Row],[Quantity]]=1, "Single Order", IF(Table2[[#This Row],[Quantity]]=2, "Small Order", IF(Table2[[#This Row],[Quantity]]=3, "Medium Order", "Bulk Order")))</f>
        <v>Bulk Order</v>
      </c>
      <c r="M891" s="10">
        <v>25</v>
      </c>
      <c r="N891" s="10">
        <v>100</v>
      </c>
    </row>
    <row r="892" spans="1:14" x14ac:dyDescent="0.2">
      <c r="A892">
        <v>784</v>
      </c>
      <c r="B892" s="5">
        <v>45234</v>
      </c>
      <c r="C892" s="5" t="str">
        <f>TEXT(Table2[[#This Row],[Date]], "MMM")</f>
        <v>Nov</v>
      </c>
      <c r="D892" s="8">
        <f>MONTH(Table2[[#This Row],[Date]])</f>
        <v>11</v>
      </c>
      <c r="E892" s="8">
        <f>YEAR(Table2[[#This Row],[Date]])</f>
        <v>2023</v>
      </c>
      <c r="F892" s="7" t="s">
        <v>797</v>
      </c>
      <c r="G892" s="7" t="s">
        <v>13</v>
      </c>
      <c r="H892" s="8">
        <v>34</v>
      </c>
      <c r="I892" s="8" t="str">
        <f>IF(Table2[[#This Row],[Age]] &lt; 19, "Teenagers", IF(Table2[[#This Row],[Age]] &lt;= 34, "Young Adults", IF(Table2[[#This Row],[Age]] &lt;= 45, "Adults", IF(Table2[[#This Row],[Age]] &lt;= 55, "Seniors", "Elderly")) ))</f>
        <v>Young Adults</v>
      </c>
      <c r="J892" s="7" t="s">
        <v>16</v>
      </c>
      <c r="K892" s="8">
        <v>1</v>
      </c>
      <c r="L892" s="8" t="str">
        <f>IF(Table2[[#This Row],[Quantity]]=1, "Single Order", IF(Table2[[#This Row],[Quantity]]=2, "Small Order", IF(Table2[[#This Row],[Quantity]]=3, "Medium Order", "Bulk Order")))</f>
        <v>Single Order</v>
      </c>
      <c r="M892" s="10">
        <v>500</v>
      </c>
      <c r="N892" s="10">
        <v>500</v>
      </c>
    </row>
    <row r="893" spans="1:14" x14ac:dyDescent="0.2">
      <c r="A893">
        <v>795</v>
      </c>
      <c r="B893" s="5">
        <v>45258</v>
      </c>
      <c r="C893" s="5" t="str">
        <f>TEXT(Table2[[#This Row],[Date]], "MMM")</f>
        <v>Nov</v>
      </c>
      <c r="D893" s="8">
        <f>MONTH(Table2[[#This Row],[Date]])</f>
        <v>11</v>
      </c>
      <c r="E893" s="8">
        <f>YEAR(Table2[[#This Row],[Date]])</f>
        <v>2023</v>
      </c>
      <c r="F893" s="7" t="s">
        <v>808</v>
      </c>
      <c r="G893" s="7" t="s">
        <v>10</v>
      </c>
      <c r="H893" s="8">
        <v>57</v>
      </c>
      <c r="I893" s="8" t="str">
        <f>IF(Table2[[#This Row],[Age]] &lt; 19, "Teenagers", IF(Table2[[#This Row],[Age]] &lt;= 34, "Young Adults", IF(Table2[[#This Row],[Age]] &lt;= 45, "Adults", IF(Table2[[#This Row],[Age]] &lt;= 55, "Seniors", "Elderly")) ))</f>
        <v>Elderly</v>
      </c>
      <c r="J893" s="7" t="s">
        <v>16</v>
      </c>
      <c r="K893" s="8">
        <v>1</v>
      </c>
      <c r="L893" s="8" t="str">
        <f>IF(Table2[[#This Row],[Quantity]]=1, "Single Order", IF(Table2[[#This Row],[Quantity]]=2, "Small Order", IF(Table2[[#This Row],[Quantity]]=3, "Medium Order", "Bulk Order")))</f>
        <v>Single Order</v>
      </c>
      <c r="M893" s="10">
        <v>300</v>
      </c>
      <c r="N893" s="10">
        <v>300</v>
      </c>
    </row>
    <row r="894" spans="1:14" x14ac:dyDescent="0.2">
      <c r="A894">
        <v>803</v>
      </c>
      <c r="B894" s="5">
        <v>45252</v>
      </c>
      <c r="C894" s="5" t="str">
        <f>TEXT(Table2[[#This Row],[Date]], "MMM")</f>
        <v>Nov</v>
      </c>
      <c r="D894" s="8">
        <f>MONTH(Table2[[#This Row],[Date]])</f>
        <v>11</v>
      </c>
      <c r="E894" s="8">
        <f>YEAR(Table2[[#This Row],[Date]])</f>
        <v>2023</v>
      </c>
      <c r="F894" s="7" t="s">
        <v>816</v>
      </c>
      <c r="G894" s="7" t="s">
        <v>10</v>
      </c>
      <c r="H894" s="8">
        <v>39</v>
      </c>
      <c r="I894" s="8" t="str">
        <f>IF(Table2[[#This Row],[Age]] &lt; 19, "Teenagers", IF(Table2[[#This Row],[Age]] &lt;= 34, "Young Adults", IF(Table2[[#This Row],[Age]] &lt;= 45, "Adults", IF(Table2[[#This Row],[Age]] &lt;= 55, "Seniors", "Elderly")) ))</f>
        <v>Adults</v>
      </c>
      <c r="J894" s="7" t="s">
        <v>14</v>
      </c>
      <c r="K894" s="8">
        <v>4</v>
      </c>
      <c r="L894" s="8" t="str">
        <f>IF(Table2[[#This Row],[Quantity]]=1, "Single Order", IF(Table2[[#This Row],[Quantity]]=2, "Small Order", IF(Table2[[#This Row],[Quantity]]=3, "Medium Order", "Bulk Order")))</f>
        <v>Bulk Order</v>
      </c>
      <c r="M894" s="10">
        <v>25</v>
      </c>
      <c r="N894" s="10">
        <v>100</v>
      </c>
    </row>
    <row r="895" spans="1:14" x14ac:dyDescent="0.2">
      <c r="A895">
        <v>810</v>
      </c>
      <c r="B895" s="5">
        <v>45260</v>
      </c>
      <c r="C895" s="5" t="str">
        <f>TEXT(Table2[[#This Row],[Date]], "MMM")</f>
        <v>Nov</v>
      </c>
      <c r="D895" s="8">
        <f>MONTH(Table2[[#This Row],[Date]])</f>
        <v>11</v>
      </c>
      <c r="E895" s="8">
        <f>YEAR(Table2[[#This Row],[Date]])</f>
        <v>2023</v>
      </c>
      <c r="F895" s="7" t="s">
        <v>823</v>
      </c>
      <c r="G895" s="7" t="s">
        <v>10</v>
      </c>
      <c r="H895" s="8">
        <v>59</v>
      </c>
      <c r="I895" s="8" t="str">
        <f>IF(Table2[[#This Row],[Age]] &lt; 19, "Teenagers", IF(Table2[[#This Row],[Age]] &lt;= 34, "Young Adults", IF(Table2[[#This Row],[Age]] &lt;= 45, "Adults", IF(Table2[[#This Row],[Age]] &lt;= 55, "Seniors", "Elderly")) ))</f>
        <v>Elderly</v>
      </c>
      <c r="J895" s="7" t="s">
        <v>16</v>
      </c>
      <c r="K895" s="8">
        <v>4</v>
      </c>
      <c r="L895" s="8" t="str">
        <f>IF(Table2[[#This Row],[Quantity]]=1, "Single Order", IF(Table2[[#This Row],[Quantity]]=2, "Small Order", IF(Table2[[#This Row],[Quantity]]=3, "Medium Order", "Bulk Order")))</f>
        <v>Bulk Order</v>
      </c>
      <c r="M895" s="10">
        <v>25</v>
      </c>
      <c r="N895" s="10">
        <v>100</v>
      </c>
    </row>
    <row r="896" spans="1:14" x14ac:dyDescent="0.2">
      <c r="A896">
        <v>812</v>
      </c>
      <c r="B896" s="5">
        <v>45242</v>
      </c>
      <c r="C896" s="5" t="str">
        <f>TEXT(Table2[[#This Row],[Date]], "MMM")</f>
        <v>Nov</v>
      </c>
      <c r="D896" s="8">
        <f>MONTH(Table2[[#This Row],[Date]])</f>
        <v>11</v>
      </c>
      <c r="E896" s="8">
        <f>YEAR(Table2[[#This Row],[Date]])</f>
        <v>2023</v>
      </c>
      <c r="F896" s="7" t="s">
        <v>825</v>
      </c>
      <c r="G896" s="7" t="s">
        <v>10</v>
      </c>
      <c r="H896" s="8">
        <v>19</v>
      </c>
      <c r="I896" s="8" t="str">
        <f>IF(Table2[[#This Row],[Age]] &lt; 19, "Teenagers", IF(Table2[[#This Row],[Age]] &lt;= 34, "Young Adults", IF(Table2[[#This Row],[Age]] &lt;= 45, "Adults", IF(Table2[[#This Row],[Age]] &lt;= 55, "Seniors", "Elderly")) ))</f>
        <v>Young Adults</v>
      </c>
      <c r="J896" s="7" t="s">
        <v>16</v>
      </c>
      <c r="K896" s="8">
        <v>3</v>
      </c>
      <c r="L896" s="8" t="str">
        <f>IF(Table2[[#This Row],[Quantity]]=1, "Single Order", IF(Table2[[#This Row],[Quantity]]=2, "Small Order", IF(Table2[[#This Row],[Quantity]]=3, "Medium Order", "Bulk Order")))</f>
        <v>Medium Order</v>
      </c>
      <c r="M896" s="10">
        <v>25</v>
      </c>
      <c r="N896" s="10">
        <v>75</v>
      </c>
    </row>
    <row r="897" spans="1:14" x14ac:dyDescent="0.2">
      <c r="A897">
        <v>827</v>
      </c>
      <c r="B897" s="5">
        <v>45239</v>
      </c>
      <c r="C897" s="5" t="str">
        <f>TEXT(Table2[[#This Row],[Date]], "MMM")</f>
        <v>Nov</v>
      </c>
      <c r="D897" s="8">
        <f>MONTH(Table2[[#This Row],[Date]])</f>
        <v>11</v>
      </c>
      <c r="E897" s="8">
        <f>YEAR(Table2[[#This Row],[Date]])</f>
        <v>2023</v>
      </c>
      <c r="F897" s="7" t="s">
        <v>840</v>
      </c>
      <c r="G897" s="7" t="s">
        <v>10</v>
      </c>
      <c r="H897" s="8">
        <v>61</v>
      </c>
      <c r="I897" s="8" t="str">
        <f>IF(Table2[[#This Row],[Age]] &lt; 19, "Teenagers", IF(Table2[[#This Row],[Age]] &lt;= 34, "Young Adults", IF(Table2[[#This Row],[Age]] &lt;= 45, "Adults", IF(Table2[[#This Row],[Age]] &lt;= 55, "Seniors", "Elderly")) ))</f>
        <v>Elderly</v>
      </c>
      <c r="J897" s="7" t="s">
        <v>11</v>
      </c>
      <c r="K897" s="8">
        <v>3</v>
      </c>
      <c r="L897" s="8" t="str">
        <f>IF(Table2[[#This Row],[Quantity]]=1, "Single Order", IF(Table2[[#This Row],[Quantity]]=2, "Small Order", IF(Table2[[#This Row],[Quantity]]=3, "Medium Order", "Bulk Order")))</f>
        <v>Medium Order</v>
      </c>
      <c r="M897" s="10">
        <v>300</v>
      </c>
      <c r="N897" s="10">
        <v>900</v>
      </c>
    </row>
    <row r="898" spans="1:14" x14ac:dyDescent="0.2">
      <c r="A898">
        <v>841</v>
      </c>
      <c r="B898" s="5">
        <v>45232</v>
      </c>
      <c r="C898" s="5" t="str">
        <f>TEXT(Table2[[#This Row],[Date]], "MMM")</f>
        <v>Nov</v>
      </c>
      <c r="D898" s="8">
        <f>MONTH(Table2[[#This Row],[Date]])</f>
        <v>11</v>
      </c>
      <c r="E898" s="8">
        <f>YEAR(Table2[[#This Row],[Date]])</f>
        <v>2023</v>
      </c>
      <c r="F898" s="7" t="s">
        <v>854</v>
      </c>
      <c r="G898" s="7" t="s">
        <v>10</v>
      </c>
      <c r="H898" s="8">
        <v>31</v>
      </c>
      <c r="I898" s="8" t="str">
        <f>IF(Table2[[#This Row],[Age]] &lt; 19, "Teenagers", IF(Table2[[#This Row],[Age]] &lt;= 34, "Young Adults", IF(Table2[[#This Row],[Age]] &lt;= 45, "Adults", IF(Table2[[#This Row],[Age]] &lt;= 55, "Seniors", "Elderly")) ))</f>
        <v>Young Adults</v>
      </c>
      <c r="J898" s="7" t="s">
        <v>16</v>
      </c>
      <c r="K898" s="8">
        <v>4</v>
      </c>
      <c r="L898" s="8" t="str">
        <f>IF(Table2[[#This Row],[Quantity]]=1, "Single Order", IF(Table2[[#This Row],[Quantity]]=2, "Small Order", IF(Table2[[#This Row],[Quantity]]=3, "Medium Order", "Bulk Order")))</f>
        <v>Bulk Order</v>
      </c>
      <c r="M898" s="10">
        <v>25</v>
      </c>
      <c r="N898" s="10">
        <v>100</v>
      </c>
    </row>
    <row r="899" spans="1:14" x14ac:dyDescent="0.2">
      <c r="A899">
        <v>856</v>
      </c>
      <c r="B899" s="5">
        <v>45257</v>
      </c>
      <c r="C899" s="5" t="str">
        <f>TEXT(Table2[[#This Row],[Date]], "MMM")</f>
        <v>Nov</v>
      </c>
      <c r="D899" s="8">
        <f>MONTH(Table2[[#This Row],[Date]])</f>
        <v>11</v>
      </c>
      <c r="E899" s="8">
        <f>YEAR(Table2[[#This Row],[Date]])</f>
        <v>2023</v>
      </c>
      <c r="F899" s="7" t="s">
        <v>869</v>
      </c>
      <c r="G899" s="7" t="s">
        <v>10</v>
      </c>
      <c r="H899" s="8">
        <v>54</v>
      </c>
      <c r="I899" s="8" t="str">
        <f>IF(Table2[[#This Row],[Age]] &lt; 19, "Teenagers", IF(Table2[[#This Row],[Age]] &lt;= 34, "Young Adults", IF(Table2[[#This Row],[Age]] &lt;= 45, "Adults", IF(Table2[[#This Row],[Age]] &lt;= 55, "Seniors", "Elderly")) ))</f>
        <v>Seniors</v>
      </c>
      <c r="J899" s="7" t="s">
        <v>16</v>
      </c>
      <c r="K899" s="8">
        <v>4</v>
      </c>
      <c r="L899" s="8" t="str">
        <f>IF(Table2[[#This Row],[Quantity]]=1, "Single Order", IF(Table2[[#This Row],[Quantity]]=2, "Small Order", IF(Table2[[#This Row],[Quantity]]=3, "Medium Order", "Bulk Order")))</f>
        <v>Bulk Order</v>
      </c>
      <c r="M899" s="10">
        <v>30</v>
      </c>
      <c r="N899" s="10">
        <v>120</v>
      </c>
    </row>
    <row r="900" spans="1:14" x14ac:dyDescent="0.2">
      <c r="A900">
        <v>898</v>
      </c>
      <c r="B900" s="5">
        <v>45232</v>
      </c>
      <c r="C900" s="5" t="str">
        <f>TEXT(Table2[[#This Row],[Date]], "MMM")</f>
        <v>Nov</v>
      </c>
      <c r="D900" s="8">
        <f>MONTH(Table2[[#This Row],[Date]])</f>
        <v>11</v>
      </c>
      <c r="E900" s="8">
        <f>YEAR(Table2[[#This Row],[Date]])</f>
        <v>2023</v>
      </c>
      <c r="F900" s="7" t="s">
        <v>911</v>
      </c>
      <c r="G900" s="7" t="s">
        <v>13</v>
      </c>
      <c r="H900" s="8">
        <v>42</v>
      </c>
      <c r="I900" s="8" t="str">
        <f>IF(Table2[[#This Row],[Age]] &lt; 19, "Teenagers", IF(Table2[[#This Row],[Age]] &lt;= 34, "Young Adults", IF(Table2[[#This Row],[Age]] &lt;= 45, "Adults", IF(Table2[[#This Row],[Age]] &lt;= 55, "Seniors", "Elderly")) ))</f>
        <v>Adults</v>
      </c>
      <c r="J900" s="7" t="s">
        <v>14</v>
      </c>
      <c r="K900" s="8">
        <v>3</v>
      </c>
      <c r="L900" s="8" t="str">
        <f>IF(Table2[[#This Row],[Quantity]]=1, "Single Order", IF(Table2[[#This Row],[Quantity]]=2, "Small Order", IF(Table2[[#This Row],[Quantity]]=3, "Medium Order", "Bulk Order")))</f>
        <v>Medium Order</v>
      </c>
      <c r="M900" s="10">
        <v>30</v>
      </c>
      <c r="N900" s="10">
        <v>90</v>
      </c>
    </row>
    <row r="901" spans="1:14" x14ac:dyDescent="0.2">
      <c r="A901">
        <v>918</v>
      </c>
      <c r="B901" s="5">
        <v>45253</v>
      </c>
      <c r="C901" s="5" t="str">
        <f>TEXT(Table2[[#This Row],[Date]], "MMM")</f>
        <v>Nov</v>
      </c>
      <c r="D901" s="8">
        <f>MONTH(Table2[[#This Row],[Date]])</f>
        <v>11</v>
      </c>
      <c r="E901" s="8">
        <f>YEAR(Table2[[#This Row],[Date]])</f>
        <v>2023</v>
      </c>
      <c r="F901" s="7" t="s">
        <v>931</v>
      </c>
      <c r="G901" s="7" t="s">
        <v>13</v>
      </c>
      <c r="H901" s="8">
        <v>42</v>
      </c>
      <c r="I901" s="8" t="str">
        <f>IF(Table2[[#This Row],[Age]] &lt; 19, "Teenagers", IF(Table2[[#This Row],[Age]] &lt;= 34, "Young Adults", IF(Table2[[#This Row],[Age]] &lt;= 45, "Adults", IF(Table2[[#This Row],[Age]] &lt;= 55, "Seniors", "Elderly")) ))</f>
        <v>Adults</v>
      </c>
      <c r="J901" s="7" t="s">
        <v>16</v>
      </c>
      <c r="K901" s="8">
        <v>3</v>
      </c>
      <c r="L901" s="8" t="str">
        <f>IF(Table2[[#This Row],[Quantity]]=1, "Single Order", IF(Table2[[#This Row],[Quantity]]=2, "Small Order", IF(Table2[[#This Row],[Quantity]]=3, "Medium Order", "Bulk Order")))</f>
        <v>Medium Order</v>
      </c>
      <c r="M901" s="10">
        <v>30</v>
      </c>
      <c r="N901" s="10">
        <v>90</v>
      </c>
    </row>
    <row r="902" spans="1:14" x14ac:dyDescent="0.2">
      <c r="A902">
        <v>938</v>
      </c>
      <c r="B902" s="5">
        <v>45249</v>
      </c>
      <c r="C902" s="5" t="str">
        <f>TEXT(Table2[[#This Row],[Date]], "MMM")</f>
        <v>Nov</v>
      </c>
      <c r="D902" s="8">
        <f>MONTH(Table2[[#This Row],[Date]])</f>
        <v>11</v>
      </c>
      <c r="E902" s="8">
        <f>YEAR(Table2[[#This Row],[Date]])</f>
        <v>2023</v>
      </c>
      <c r="F902" s="7" t="s">
        <v>951</v>
      </c>
      <c r="G902" s="7" t="s">
        <v>10</v>
      </c>
      <c r="H902" s="8">
        <v>49</v>
      </c>
      <c r="I902" s="8" t="str">
        <f>IF(Table2[[#This Row],[Age]] &lt; 19, "Teenagers", IF(Table2[[#This Row],[Age]] &lt;= 34, "Young Adults", IF(Table2[[#This Row],[Age]] &lt;= 45, "Adults", IF(Table2[[#This Row],[Age]] &lt;= 55, "Seniors", "Elderly")) ))</f>
        <v>Seniors</v>
      </c>
      <c r="J902" s="7" t="s">
        <v>14</v>
      </c>
      <c r="K902" s="8">
        <v>4</v>
      </c>
      <c r="L902" s="8" t="str">
        <f>IF(Table2[[#This Row],[Quantity]]=1, "Single Order", IF(Table2[[#This Row],[Quantity]]=2, "Small Order", IF(Table2[[#This Row],[Quantity]]=3, "Medium Order", "Bulk Order")))</f>
        <v>Bulk Order</v>
      </c>
      <c r="M902" s="10">
        <v>50</v>
      </c>
      <c r="N902" s="10">
        <v>200</v>
      </c>
    </row>
    <row r="903" spans="1:14" x14ac:dyDescent="0.2">
      <c r="A903">
        <v>950</v>
      </c>
      <c r="B903" s="5">
        <v>45237</v>
      </c>
      <c r="C903" s="5" t="str">
        <f>TEXT(Table2[[#This Row],[Date]], "MMM")</f>
        <v>Nov</v>
      </c>
      <c r="D903" s="8">
        <f>MONTH(Table2[[#This Row],[Date]])</f>
        <v>11</v>
      </c>
      <c r="E903" s="8">
        <f>YEAR(Table2[[#This Row],[Date]])</f>
        <v>2023</v>
      </c>
      <c r="F903" s="7" t="s">
        <v>963</v>
      </c>
      <c r="G903" s="7" t="s">
        <v>10</v>
      </c>
      <c r="H903" s="8">
        <v>36</v>
      </c>
      <c r="I903" s="8" t="str">
        <f>IF(Table2[[#This Row],[Age]] &lt; 19, "Teenagers", IF(Table2[[#This Row],[Age]] &lt;= 34, "Young Adults", IF(Table2[[#This Row],[Age]] &lt;= 45, "Adults", IF(Table2[[#This Row],[Age]] &lt;= 55, "Seniors", "Elderly")) ))</f>
        <v>Adults</v>
      </c>
      <c r="J903" s="7" t="s">
        <v>14</v>
      </c>
      <c r="K903" s="8">
        <v>3</v>
      </c>
      <c r="L903" s="8" t="str">
        <f>IF(Table2[[#This Row],[Quantity]]=1, "Single Order", IF(Table2[[#This Row],[Quantity]]=2, "Small Order", IF(Table2[[#This Row],[Quantity]]=3, "Medium Order", "Bulk Order")))</f>
        <v>Medium Order</v>
      </c>
      <c r="M903" s="10">
        <v>300</v>
      </c>
      <c r="N903" s="10">
        <v>900</v>
      </c>
    </row>
    <row r="904" spans="1:14" x14ac:dyDescent="0.2">
      <c r="A904">
        <v>951</v>
      </c>
      <c r="B904" s="5">
        <v>45232</v>
      </c>
      <c r="C904" s="5" t="str">
        <f>TEXT(Table2[[#This Row],[Date]], "MMM")</f>
        <v>Nov</v>
      </c>
      <c r="D904" s="8">
        <f>MONTH(Table2[[#This Row],[Date]])</f>
        <v>11</v>
      </c>
      <c r="E904" s="8">
        <f>YEAR(Table2[[#This Row],[Date]])</f>
        <v>2023</v>
      </c>
      <c r="F904" s="7" t="s">
        <v>964</v>
      </c>
      <c r="G904" s="7" t="s">
        <v>10</v>
      </c>
      <c r="H904" s="8">
        <v>33</v>
      </c>
      <c r="I904" s="8" t="str">
        <f>IF(Table2[[#This Row],[Age]] &lt; 19, "Teenagers", IF(Table2[[#This Row],[Age]] &lt;= 34, "Young Adults", IF(Table2[[#This Row],[Age]] &lt;= 45, "Adults", IF(Table2[[#This Row],[Age]] &lt;= 55, "Seniors", "Elderly")) ))</f>
        <v>Young Adults</v>
      </c>
      <c r="J904" s="7" t="s">
        <v>11</v>
      </c>
      <c r="K904" s="8">
        <v>2</v>
      </c>
      <c r="L904" s="8" t="str">
        <f>IF(Table2[[#This Row],[Quantity]]=1, "Single Order", IF(Table2[[#This Row],[Quantity]]=2, "Small Order", IF(Table2[[#This Row],[Quantity]]=3, "Medium Order", "Bulk Order")))</f>
        <v>Small Order</v>
      </c>
      <c r="M904" s="10">
        <v>50</v>
      </c>
      <c r="N904" s="10">
        <v>100</v>
      </c>
    </row>
    <row r="905" spans="1:14" x14ac:dyDescent="0.2">
      <c r="A905">
        <v>952</v>
      </c>
      <c r="B905" s="5">
        <v>45243</v>
      </c>
      <c r="C905" s="5" t="str">
        <f>TEXT(Table2[[#This Row],[Date]], "MMM")</f>
        <v>Nov</v>
      </c>
      <c r="D905" s="8">
        <f>MONTH(Table2[[#This Row],[Date]])</f>
        <v>11</v>
      </c>
      <c r="E905" s="8">
        <f>YEAR(Table2[[#This Row],[Date]])</f>
        <v>2023</v>
      </c>
      <c r="F905" s="7" t="s">
        <v>965</v>
      </c>
      <c r="G905" s="7" t="s">
        <v>13</v>
      </c>
      <c r="H905" s="8">
        <v>57</v>
      </c>
      <c r="I905" s="8" t="str">
        <f>IF(Table2[[#This Row],[Age]] &lt; 19, "Teenagers", IF(Table2[[#This Row],[Age]] &lt;= 34, "Young Adults", IF(Table2[[#This Row],[Age]] &lt;= 45, "Adults", IF(Table2[[#This Row],[Age]] &lt;= 55, "Seniors", "Elderly")) ))</f>
        <v>Elderly</v>
      </c>
      <c r="J905" s="7" t="s">
        <v>14</v>
      </c>
      <c r="K905" s="8">
        <v>1</v>
      </c>
      <c r="L905" s="8" t="str">
        <f>IF(Table2[[#This Row],[Quantity]]=1, "Single Order", IF(Table2[[#This Row],[Quantity]]=2, "Small Order", IF(Table2[[#This Row],[Quantity]]=3, "Medium Order", "Bulk Order")))</f>
        <v>Single Order</v>
      </c>
      <c r="M905" s="10">
        <v>25</v>
      </c>
      <c r="N905" s="10">
        <v>25</v>
      </c>
    </row>
    <row r="906" spans="1:14" x14ac:dyDescent="0.2">
      <c r="A906">
        <v>963</v>
      </c>
      <c r="B906" s="5">
        <v>45244</v>
      </c>
      <c r="C906" s="5" t="str">
        <f>TEXT(Table2[[#This Row],[Date]], "MMM")</f>
        <v>Nov</v>
      </c>
      <c r="D906" s="8">
        <f>MONTH(Table2[[#This Row],[Date]])</f>
        <v>11</v>
      </c>
      <c r="E906" s="8">
        <f>YEAR(Table2[[#This Row],[Date]])</f>
        <v>2023</v>
      </c>
      <c r="F906" s="7" t="s">
        <v>976</v>
      </c>
      <c r="G906" s="7" t="s">
        <v>13</v>
      </c>
      <c r="H906" s="8">
        <v>55</v>
      </c>
      <c r="I906" s="8" t="str">
        <f>IF(Table2[[#This Row],[Age]] &lt; 19, "Teenagers", IF(Table2[[#This Row],[Age]] &lt;= 34, "Young Adults", IF(Table2[[#This Row],[Age]] &lt;= 45, "Adults", IF(Table2[[#This Row],[Age]] &lt;= 55, "Seniors", "Elderly")) ))</f>
        <v>Seniors</v>
      </c>
      <c r="J906" s="7" t="s">
        <v>11</v>
      </c>
      <c r="K906" s="8">
        <v>1</v>
      </c>
      <c r="L906" s="8" t="str">
        <f>IF(Table2[[#This Row],[Quantity]]=1, "Single Order", IF(Table2[[#This Row],[Quantity]]=2, "Small Order", IF(Table2[[#This Row],[Quantity]]=3, "Medium Order", "Bulk Order")))</f>
        <v>Single Order</v>
      </c>
      <c r="M906" s="10">
        <v>50</v>
      </c>
      <c r="N906" s="10">
        <v>50</v>
      </c>
    </row>
    <row r="907" spans="1:14" x14ac:dyDescent="0.2">
      <c r="A907">
        <v>965</v>
      </c>
      <c r="B907" s="5">
        <v>45239</v>
      </c>
      <c r="C907" s="5" t="str">
        <f>TEXT(Table2[[#This Row],[Date]], "MMM")</f>
        <v>Nov</v>
      </c>
      <c r="D907" s="8">
        <f>MONTH(Table2[[#This Row],[Date]])</f>
        <v>11</v>
      </c>
      <c r="E907" s="8">
        <f>YEAR(Table2[[#This Row],[Date]])</f>
        <v>2023</v>
      </c>
      <c r="F907" s="7" t="s">
        <v>978</v>
      </c>
      <c r="G907" s="7" t="s">
        <v>10</v>
      </c>
      <c r="H907" s="8">
        <v>22</v>
      </c>
      <c r="I907" s="8" t="str">
        <f>IF(Table2[[#This Row],[Age]] &lt; 19, "Teenagers", IF(Table2[[#This Row],[Age]] &lt;= 34, "Young Adults", IF(Table2[[#This Row],[Age]] &lt;= 45, "Adults", IF(Table2[[#This Row],[Age]] &lt;= 55, "Seniors", "Elderly")) ))</f>
        <v>Young Adults</v>
      </c>
      <c r="J907" s="7" t="s">
        <v>14</v>
      </c>
      <c r="K907" s="8">
        <v>4</v>
      </c>
      <c r="L907" s="8" t="str">
        <f>IF(Table2[[#This Row],[Quantity]]=1, "Single Order", IF(Table2[[#This Row],[Quantity]]=2, "Small Order", IF(Table2[[#This Row],[Quantity]]=3, "Medium Order", "Bulk Order")))</f>
        <v>Bulk Order</v>
      </c>
      <c r="M907" s="10">
        <v>50</v>
      </c>
      <c r="N907" s="10">
        <v>200</v>
      </c>
    </row>
    <row r="908" spans="1:14" x14ac:dyDescent="0.2">
      <c r="A908">
        <v>968</v>
      </c>
      <c r="B908" s="5">
        <v>45247</v>
      </c>
      <c r="C908" s="5" t="str">
        <f>TEXT(Table2[[#This Row],[Date]], "MMM")</f>
        <v>Nov</v>
      </c>
      <c r="D908" s="8">
        <f>MONTH(Table2[[#This Row],[Date]])</f>
        <v>11</v>
      </c>
      <c r="E908" s="8">
        <f>YEAR(Table2[[#This Row],[Date]])</f>
        <v>2023</v>
      </c>
      <c r="F908" s="7" t="s">
        <v>981</v>
      </c>
      <c r="G908" s="7" t="s">
        <v>13</v>
      </c>
      <c r="H908" s="8">
        <v>48</v>
      </c>
      <c r="I908" s="8" t="str">
        <f>IF(Table2[[#This Row],[Age]] &lt; 19, "Teenagers", IF(Table2[[#This Row],[Age]] &lt;= 34, "Young Adults", IF(Table2[[#This Row],[Age]] &lt;= 45, "Adults", IF(Table2[[#This Row],[Age]] &lt;= 55, "Seniors", "Elderly")) ))</f>
        <v>Seniors</v>
      </c>
      <c r="J908" s="7" t="s">
        <v>14</v>
      </c>
      <c r="K908" s="8">
        <v>3</v>
      </c>
      <c r="L908" s="8" t="str">
        <f>IF(Table2[[#This Row],[Quantity]]=1, "Single Order", IF(Table2[[#This Row],[Quantity]]=2, "Small Order", IF(Table2[[#This Row],[Quantity]]=3, "Medium Order", "Bulk Order")))</f>
        <v>Medium Order</v>
      </c>
      <c r="M908" s="10">
        <v>300</v>
      </c>
      <c r="N908" s="10">
        <v>900</v>
      </c>
    </row>
    <row r="909" spans="1:14" x14ac:dyDescent="0.2">
      <c r="A909">
        <v>983</v>
      </c>
      <c r="B909" s="5">
        <v>45231</v>
      </c>
      <c r="C909" s="5" t="str">
        <f>TEXT(Table2[[#This Row],[Date]], "MMM")</f>
        <v>Nov</v>
      </c>
      <c r="D909" s="8">
        <f>MONTH(Table2[[#This Row],[Date]])</f>
        <v>11</v>
      </c>
      <c r="E909" s="8">
        <f>YEAR(Table2[[#This Row],[Date]])</f>
        <v>2023</v>
      </c>
      <c r="F909" s="7" t="s">
        <v>996</v>
      </c>
      <c r="G909" s="7" t="s">
        <v>13</v>
      </c>
      <c r="H909" s="8">
        <v>29</v>
      </c>
      <c r="I909" s="8" t="str">
        <f>IF(Table2[[#This Row],[Age]] &lt; 19, "Teenagers", IF(Table2[[#This Row],[Age]] &lt;= 34, "Young Adults", IF(Table2[[#This Row],[Age]] &lt;= 45, "Adults", IF(Table2[[#This Row],[Age]] &lt;= 55, "Seniors", "Elderly")) ))</f>
        <v>Young Adults</v>
      </c>
      <c r="J909" s="7" t="s">
        <v>14</v>
      </c>
      <c r="K909" s="8">
        <v>1</v>
      </c>
      <c r="L909" s="8" t="str">
        <f>IF(Table2[[#This Row],[Quantity]]=1, "Single Order", IF(Table2[[#This Row],[Quantity]]=2, "Small Order", IF(Table2[[#This Row],[Quantity]]=3, "Medium Order", "Bulk Order")))</f>
        <v>Single Order</v>
      </c>
      <c r="M909" s="10">
        <v>300</v>
      </c>
      <c r="N909" s="10">
        <v>300</v>
      </c>
    </row>
    <row r="910" spans="1:14" x14ac:dyDescent="0.2">
      <c r="A910">
        <v>997</v>
      </c>
      <c r="B910" s="5">
        <v>45247</v>
      </c>
      <c r="C910" s="5" t="str">
        <f>TEXT(Table2[[#This Row],[Date]], "MMM")</f>
        <v>Nov</v>
      </c>
      <c r="D910" s="8">
        <f>MONTH(Table2[[#This Row],[Date]])</f>
        <v>11</v>
      </c>
      <c r="E910" s="8">
        <f>YEAR(Table2[[#This Row],[Date]])</f>
        <v>2023</v>
      </c>
      <c r="F910" s="7" t="s">
        <v>1010</v>
      </c>
      <c r="G910" s="7" t="s">
        <v>10</v>
      </c>
      <c r="H910" s="8">
        <v>52</v>
      </c>
      <c r="I910" s="8" t="str">
        <f>IF(Table2[[#This Row],[Age]] &lt; 19, "Teenagers", IF(Table2[[#This Row],[Age]] &lt;= 34, "Young Adults", IF(Table2[[#This Row],[Age]] &lt;= 45, "Adults", IF(Table2[[#This Row],[Age]] &lt;= 55, "Seniors", "Elderly")) ))</f>
        <v>Seniors</v>
      </c>
      <c r="J910" s="7" t="s">
        <v>11</v>
      </c>
      <c r="K910" s="8">
        <v>3</v>
      </c>
      <c r="L910" s="8" t="str">
        <f>IF(Table2[[#This Row],[Quantity]]=1, "Single Order", IF(Table2[[#This Row],[Quantity]]=2, "Small Order", IF(Table2[[#This Row],[Quantity]]=3, "Medium Order", "Bulk Order")))</f>
        <v>Medium Order</v>
      </c>
      <c r="M910" s="10">
        <v>30</v>
      </c>
      <c r="N910" s="10">
        <v>90</v>
      </c>
    </row>
    <row r="911" spans="1:14" x14ac:dyDescent="0.2">
      <c r="A911">
        <v>9</v>
      </c>
      <c r="B911" s="5">
        <v>45273</v>
      </c>
      <c r="C911" s="5" t="str">
        <f>TEXT(Table2[[#This Row],[Date]], "MMM")</f>
        <v>Dec</v>
      </c>
      <c r="D911" s="8">
        <f>MONTH(Table2[[#This Row],[Date]])</f>
        <v>12</v>
      </c>
      <c r="E911" s="8">
        <f>YEAR(Table2[[#This Row],[Date]])</f>
        <v>2023</v>
      </c>
      <c r="F911" s="7" t="s">
        <v>22</v>
      </c>
      <c r="G911" s="7" t="s">
        <v>10</v>
      </c>
      <c r="H911" s="8">
        <v>63</v>
      </c>
      <c r="I911" s="8" t="str">
        <f>IF(Table2[[#This Row],[Age]] &lt; 19, "Teenagers", IF(Table2[[#This Row],[Age]] &lt;= 34, "Young Adults", IF(Table2[[#This Row],[Age]] &lt;= 45, "Adults", IF(Table2[[#This Row],[Age]] &lt;= 55, "Seniors", "Elderly")) ))</f>
        <v>Elderly</v>
      </c>
      <c r="J911" s="7" t="s">
        <v>16</v>
      </c>
      <c r="K911" s="8">
        <v>2</v>
      </c>
      <c r="L911" s="8" t="str">
        <f>IF(Table2[[#This Row],[Quantity]]=1, "Single Order", IF(Table2[[#This Row],[Quantity]]=2, "Small Order", IF(Table2[[#This Row],[Quantity]]=3, "Medium Order", "Bulk Order")))</f>
        <v>Small Order</v>
      </c>
      <c r="M911" s="10">
        <v>300</v>
      </c>
      <c r="N911" s="10">
        <v>600</v>
      </c>
    </row>
    <row r="912" spans="1:14" x14ac:dyDescent="0.2">
      <c r="A912">
        <v>25</v>
      </c>
      <c r="B912" s="5">
        <v>45286</v>
      </c>
      <c r="C912" s="5" t="str">
        <f>TEXT(Table2[[#This Row],[Date]], "MMM")</f>
        <v>Dec</v>
      </c>
      <c r="D912" s="8">
        <f>MONTH(Table2[[#This Row],[Date]])</f>
        <v>12</v>
      </c>
      <c r="E912" s="8">
        <f>YEAR(Table2[[#This Row],[Date]])</f>
        <v>2023</v>
      </c>
      <c r="F912" s="7" t="s">
        <v>38</v>
      </c>
      <c r="G912" s="7" t="s">
        <v>13</v>
      </c>
      <c r="H912" s="8">
        <v>64</v>
      </c>
      <c r="I912" s="8" t="str">
        <f>IF(Table2[[#This Row],[Age]] &lt; 19, "Teenagers", IF(Table2[[#This Row],[Age]] &lt;= 34, "Young Adults", IF(Table2[[#This Row],[Age]] &lt;= 45, "Adults", IF(Table2[[#This Row],[Age]] &lt;= 55, "Seniors", "Elderly")) ))</f>
        <v>Elderly</v>
      </c>
      <c r="J912" s="7" t="s">
        <v>11</v>
      </c>
      <c r="K912" s="8">
        <v>1</v>
      </c>
      <c r="L912" s="8" t="str">
        <f>IF(Table2[[#This Row],[Quantity]]=1, "Single Order", IF(Table2[[#This Row],[Quantity]]=2, "Small Order", IF(Table2[[#This Row],[Quantity]]=3, "Medium Order", "Bulk Order")))</f>
        <v>Single Order</v>
      </c>
      <c r="M912" s="10">
        <v>50</v>
      </c>
      <c r="N912" s="10">
        <v>50</v>
      </c>
    </row>
    <row r="913" spans="1:14" x14ac:dyDescent="0.2">
      <c r="A913">
        <v>34</v>
      </c>
      <c r="B913" s="5">
        <v>45284</v>
      </c>
      <c r="C913" s="5" t="str">
        <f>TEXT(Table2[[#This Row],[Date]], "MMM")</f>
        <v>Dec</v>
      </c>
      <c r="D913" s="8">
        <f>MONTH(Table2[[#This Row],[Date]])</f>
        <v>12</v>
      </c>
      <c r="E913" s="8">
        <f>YEAR(Table2[[#This Row],[Date]])</f>
        <v>2023</v>
      </c>
      <c r="F913" s="7" t="s">
        <v>47</v>
      </c>
      <c r="G913" s="7" t="s">
        <v>13</v>
      </c>
      <c r="H913" s="8">
        <v>51</v>
      </c>
      <c r="I913" s="8" t="str">
        <f>IF(Table2[[#This Row],[Age]] &lt; 19, "Teenagers", IF(Table2[[#This Row],[Age]] &lt;= 34, "Young Adults", IF(Table2[[#This Row],[Age]] &lt;= 45, "Adults", IF(Table2[[#This Row],[Age]] &lt;= 55, "Seniors", "Elderly")) ))</f>
        <v>Seniors</v>
      </c>
      <c r="J913" s="7" t="s">
        <v>14</v>
      </c>
      <c r="K913" s="8">
        <v>3</v>
      </c>
      <c r="L913" s="8" t="str">
        <f>IF(Table2[[#This Row],[Quantity]]=1, "Single Order", IF(Table2[[#This Row],[Quantity]]=2, "Small Order", IF(Table2[[#This Row],[Quantity]]=3, "Medium Order", "Bulk Order")))</f>
        <v>Medium Order</v>
      </c>
      <c r="M913" s="10">
        <v>50</v>
      </c>
      <c r="N913" s="10">
        <v>150</v>
      </c>
    </row>
    <row r="914" spans="1:14" x14ac:dyDescent="0.2">
      <c r="A914">
        <v>62</v>
      </c>
      <c r="B914" s="5">
        <v>45287</v>
      </c>
      <c r="C914" s="5" t="str">
        <f>TEXT(Table2[[#This Row],[Date]], "MMM")</f>
        <v>Dec</v>
      </c>
      <c r="D914" s="8">
        <f>MONTH(Table2[[#This Row],[Date]])</f>
        <v>12</v>
      </c>
      <c r="E914" s="8">
        <f>YEAR(Table2[[#This Row],[Date]])</f>
        <v>2023</v>
      </c>
      <c r="F914" s="7" t="s">
        <v>75</v>
      </c>
      <c r="G914" s="7" t="s">
        <v>10</v>
      </c>
      <c r="H914" s="8">
        <v>18</v>
      </c>
      <c r="I914" s="8" t="str">
        <f>IF(Table2[[#This Row],[Age]] &lt; 19, "Teenagers", IF(Table2[[#This Row],[Age]] &lt;= 34, "Young Adults", IF(Table2[[#This Row],[Age]] &lt;= 45, "Adults", IF(Table2[[#This Row],[Age]] &lt;= 55, "Seniors", "Elderly")) ))</f>
        <v>Teenagers</v>
      </c>
      <c r="J914" s="7" t="s">
        <v>11</v>
      </c>
      <c r="K914" s="8">
        <v>2</v>
      </c>
      <c r="L914" s="8" t="str">
        <f>IF(Table2[[#This Row],[Quantity]]=1, "Single Order", IF(Table2[[#This Row],[Quantity]]=2, "Small Order", IF(Table2[[#This Row],[Quantity]]=3, "Medium Order", "Bulk Order")))</f>
        <v>Small Order</v>
      </c>
      <c r="M914" s="10">
        <v>50</v>
      </c>
      <c r="N914" s="10">
        <v>100</v>
      </c>
    </row>
    <row r="915" spans="1:14" x14ac:dyDescent="0.2">
      <c r="A915">
        <v>65</v>
      </c>
      <c r="B915" s="5">
        <v>45265</v>
      </c>
      <c r="C915" s="5" t="str">
        <f>TEXT(Table2[[#This Row],[Date]], "MMM")</f>
        <v>Dec</v>
      </c>
      <c r="D915" s="8">
        <f>MONTH(Table2[[#This Row],[Date]])</f>
        <v>12</v>
      </c>
      <c r="E915" s="8">
        <f>YEAR(Table2[[#This Row],[Date]])</f>
        <v>2023</v>
      </c>
      <c r="F915" s="7" t="s">
        <v>78</v>
      </c>
      <c r="G915" s="7" t="s">
        <v>10</v>
      </c>
      <c r="H915" s="8">
        <v>51</v>
      </c>
      <c r="I915" s="8" t="str">
        <f>IF(Table2[[#This Row],[Age]] &lt; 19, "Teenagers", IF(Table2[[#This Row],[Age]] &lt;= 34, "Young Adults", IF(Table2[[#This Row],[Age]] &lt;= 45, "Adults", IF(Table2[[#This Row],[Age]] &lt;= 55, "Seniors", "Elderly")) ))</f>
        <v>Seniors</v>
      </c>
      <c r="J915" s="7" t="s">
        <v>16</v>
      </c>
      <c r="K915" s="8">
        <v>4</v>
      </c>
      <c r="L915" s="8" t="str">
        <f>IF(Table2[[#This Row],[Quantity]]=1, "Single Order", IF(Table2[[#This Row],[Quantity]]=2, "Small Order", IF(Table2[[#This Row],[Quantity]]=3, "Medium Order", "Bulk Order")))</f>
        <v>Bulk Order</v>
      </c>
      <c r="M915" s="10">
        <v>500</v>
      </c>
      <c r="N915" s="10">
        <v>2000</v>
      </c>
    </row>
    <row r="916" spans="1:14" x14ac:dyDescent="0.2">
      <c r="A916">
        <v>80</v>
      </c>
      <c r="B916" s="5">
        <v>45270</v>
      </c>
      <c r="C916" s="5" t="str">
        <f>TEXT(Table2[[#This Row],[Date]], "MMM")</f>
        <v>Dec</v>
      </c>
      <c r="D916" s="8">
        <f>MONTH(Table2[[#This Row],[Date]])</f>
        <v>12</v>
      </c>
      <c r="E916" s="8">
        <f>YEAR(Table2[[#This Row],[Date]])</f>
        <v>2023</v>
      </c>
      <c r="F916" s="7" t="s">
        <v>93</v>
      </c>
      <c r="G916" s="7" t="s">
        <v>13</v>
      </c>
      <c r="H916" s="8">
        <v>64</v>
      </c>
      <c r="I916" s="8" t="str">
        <f>IF(Table2[[#This Row],[Age]] &lt; 19, "Teenagers", IF(Table2[[#This Row],[Age]] &lt;= 34, "Young Adults", IF(Table2[[#This Row],[Age]] &lt;= 45, "Adults", IF(Table2[[#This Row],[Age]] &lt;= 55, "Seniors", "Elderly")) ))</f>
        <v>Elderly</v>
      </c>
      <c r="J916" s="7" t="s">
        <v>14</v>
      </c>
      <c r="K916" s="8">
        <v>2</v>
      </c>
      <c r="L916" s="8" t="str">
        <f>IF(Table2[[#This Row],[Quantity]]=1, "Single Order", IF(Table2[[#This Row],[Quantity]]=2, "Small Order", IF(Table2[[#This Row],[Quantity]]=3, "Medium Order", "Bulk Order")))</f>
        <v>Small Order</v>
      </c>
      <c r="M916" s="10">
        <v>30</v>
      </c>
      <c r="N916" s="10">
        <v>60</v>
      </c>
    </row>
    <row r="917" spans="1:14" x14ac:dyDescent="0.2">
      <c r="A917">
        <v>82</v>
      </c>
      <c r="B917" s="5">
        <v>45286</v>
      </c>
      <c r="C917" s="5" t="str">
        <f>TEXT(Table2[[#This Row],[Date]], "MMM")</f>
        <v>Dec</v>
      </c>
      <c r="D917" s="8">
        <f>MONTH(Table2[[#This Row],[Date]])</f>
        <v>12</v>
      </c>
      <c r="E917" s="8">
        <f>YEAR(Table2[[#This Row],[Date]])</f>
        <v>2023</v>
      </c>
      <c r="F917" s="7" t="s">
        <v>95</v>
      </c>
      <c r="G917" s="7" t="s">
        <v>13</v>
      </c>
      <c r="H917" s="8">
        <v>32</v>
      </c>
      <c r="I917" s="8" t="str">
        <f>IF(Table2[[#This Row],[Age]] &lt; 19, "Teenagers", IF(Table2[[#This Row],[Age]] &lt;= 34, "Young Adults", IF(Table2[[#This Row],[Age]] &lt;= 45, "Adults", IF(Table2[[#This Row],[Age]] &lt;= 55, "Seniors", "Elderly")) ))</f>
        <v>Young Adults</v>
      </c>
      <c r="J917" s="7" t="s">
        <v>11</v>
      </c>
      <c r="K917" s="8">
        <v>4</v>
      </c>
      <c r="L917" s="8" t="str">
        <f>IF(Table2[[#This Row],[Quantity]]=1, "Single Order", IF(Table2[[#This Row],[Quantity]]=2, "Small Order", IF(Table2[[#This Row],[Quantity]]=3, "Medium Order", "Bulk Order")))</f>
        <v>Bulk Order</v>
      </c>
      <c r="M917" s="10">
        <v>50</v>
      </c>
      <c r="N917" s="10">
        <v>200</v>
      </c>
    </row>
    <row r="918" spans="1:14" x14ac:dyDescent="0.2">
      <c r="A918">
        <v>83</v>
      </c>
      <c r="B918" s="5">
        <v>45276</v>
      </c>
      <c r="C918" s="5" t="str">
        <f>TEXT(Table2[[#This Row],[Date]], "MMM")</f>
        <v>Dec</v>
      </c>
      <c r="D918" s="8">
        <f>MONTH(Table2[[#This Row],[Date]])</f>
        <v>12</v>
      </c>
      <c r="E918" s="8">
        <f>YEAR(Table2[[#This Row],[Date]])</f>
        <v>2023</v>
      </c>
      <c r="F918" s="7" t="s">
        <v>96</v>
      </c>
      <c r="G918" s="7" t="s">
        <v>10</v>
      </c>
      <c r="H918" s="8">
        <v>54</v>
      </c>
      <c r="I918" s="8" t="str">
        <f>IF(Table2[[#This Row],[Age]] &lt; 19, "Teenagers", IF(Table2[[#This Row],[Age]] &lt;= 34, "Young Adults", IF(Table2[[#This Row],[Age]] &lt;= 45, "Adults", IF(Table2[[#This Row],[Age]] &lt;= 55, "Seniors", "Elderly")) ))</f>
        <v>Seniors</v>
      </c>
      <c r="J918" s="7" t="s">
        <v>16</v>
      </c>
      <c r="K918" s="8">
        <v>2</v>
      </c>
      <c r="L918" s="8" t="str">
        <f>IF(Table2[[#This Row],[Quantity]]=1, "Single Order", IF(Table2[[#This Row],[Quantity]]=2, "Small Order", IF(Table2[[#This Row],[Quantity]]=3, "Medium Order", "Bulk Order")))</f>
        <v>Small Order</v>
      </c>
      <c r="M918" s="10">
        <v>50</v>
      </c>
      <c r="N918" s="10">
        <v>100</v>
      </c>
    </row>
    <row r="919" spans="1:14" x14ac:dyDescent="0.2">
      <c r="A919">
        <v>96</v>
      </c>
      <c r="B919" s="5">
        <v>45279</v>
      </c>
      <c r="C919" s="5" t="str">
        <f>TEXT(Table2[[#This Row],[Date]], "MMM")</f>
        <v>Dec</v>
      </c>
      <c r="D919" s="8">
        <f>MONTH(Table2[[#This Row],[Date]])</f>
        <v>12</v>
      </c>
      <c r="E919" s="8">
        <f>YEAR(Table2[[#This Row],[Date]])</f>
        <v>2023</v>
      </c>
      <c r="F919" s="7" t="s">
        <v>109</v>
      </c>
      <c r="G919" s="7" t="s">
        <v>13</v>
      </c>
      <c r="H919" s="8">
        <v>44</v>
      </c>
      <c r="I919" s="8" t="str">
        <f>IF(Table2[[#This Row],[Age]] &lt; 19, "Teenagers", IF(Table2[[#This Row],[Age]] &lt;= 34, "Young Adults", IF(Table2[[#This Row],[Age]] &lt;= 45, "Adults", IF(Table2[[#This Row],[Age]] &lt;= 55, "Seniors", "Elderly")) ))</f>
        <v>Adults</v>
      </c>
      <c r="J919" s="7" t="s">
        <v>14</v>
      </c>
      <c r="K919" s="8">
        <v>2</v>
      </c>
      <c r="L919" s="8" t="str">
        <f>IF(Table2[[#This Row],[Quantity]]=1, "Single Order", IF(Table2[[#This Row],[Quantity]]=2, "Small Order", IF(Table2[[#This Row],[Quantity]]=3, "Medium Order", "Bulk Order")))</f>
        <v>Small Order</v>
      </c>
      <c r="M919" s="10">
        <v>300</v>
      </c>
      <c r="N919" s="10">
        <v>600</v>
      </c>
    </row>
    <row r="920" spans="1:14" x14ac:dyDescent="0.2">
      <c r="A920">
        <v>99</v>
      </c>
      <c r="B920" s="5">
        <v>45277</v>
      </c>
      <c r="C920" s="5" t="str">
        <f>TEXT(Table2[[#This Row],[Date]], "MMM")</f>
        <v>Dec</v>
      </c>
      <c r="D920" s="8">
        <f>MONTH(Table2[[#This Row],[Date]])</f>
        <v>12</v>
      </c>
      <c r="E920" s="8">
        <f>YEAR(Table2[[#This Row],[Date]])</f>
        <v>2023</v>
      </c>
      <c r="F920" s="7" t="s">
        <v>112</v>
      </c>
      <c r="G920" s="7" t="s">
        <v>13</v>
      </c>
      <c r="H920" s="8">
        <v>50</v>
      </c>
      <c r="I920" s="8" t="str">
        <f>IF(Table2[[#This Row],[Age]] &lt; 19, "Teenagers", IF(Table2[[#This Row],[Age]] &lt;= 34, "Young Adults", IF(Table2[[#This Row],[Age]] &lt;= 45, "Adults", IF(Table2[[#This Row],[Age]] &lt;= 55, "Seniors", "Elderly")) ))</f>
        <v>Seniors</v>
      </c>
      <c r="J920" s="7" t="s">
        <v>16</v>
      </c>
      <c r="K920" s="8">
        <v>4</v>
      </c>
      <c r="L920" s="8" t="str">
        <f>IF(Table2[[#This Row],[Quantity]]=1, "Single Order", IF(Table2[[#This Row],[Quantity]]=2, "Small Order", IF(Table2[[#This Row],[Quantity]]=3, "Medium Order", "Bulk Order")))</f>
        <v>Bulk Order</v>
      </c>
      <c r="M920" s="10">
        <v>300</v>
      </c>
      <c r="N920" s="10">
        <v>1200</v>
      </c>
    </row>
    <row r="921" spans="1:14" x14ac:dyDescent="0.2">
      <c r="A921">
        <v>112</v>
      </c>
      <c r="B921" s="5">
        <v>45262</v>
      </c>
      <c r="C921" s="5" t="str">
        <f>TEXT(Table2[[#This Row],[Date]], "MMM")</f>
        <v>Dec</v>
      </c>
      <c r="D921" s="8">
        <f>MONTH(Table2[[#This Row],[Date]])</f>
        <v>12</v>
      </c>
      <c r="E921" s="8">
        <f>YEAR(Table2[[#This Row],[Date]])</f>
        <v>2023</v>
      </c>
      <c r="F921" s="7" t="s">
        <v>125</v>
      </c>
      <c r="G921" s="7" t="s">
        <v>10</v>
      </c>
      <c r="H921" s="8">
        <v>37</v>
      </c>
      <c r="I921" s="8" t="str">
        <f>IF(Table2[[#This Row],[Age]] &lt; 19, "Teenagers", IF(Table2[[#This Row],[Age]] &lt;= 34, "Young Adults", IF(Table2[[#This Row],[Age]] &lt;= 45, "Adults", IF(Table2[[#This Row],[Age]] &lt;= 55, "Seniors", "Elderly")) ))</f>
        <v>Adults</v>
      </c>
      <c r="J921" s="7" t="s">
        <v>14</v>
      </c>
      <c r="K921" s="8">
        <v>3</v>
      </c>
      <c r="L921" s="8" t="str">
        <f>IF(Table2[[#This Row],[Quantity]]=1, "Single Order", IF(Table2[[#This Row],[Quantity]]=2, "Small Order", IF(Table2[[#This Row],[Quantity]]=3, "Medium Order", "Bulk Order")))</f>
        <v>Medium Order</v>
      </c>
      <c r="M921" s="10">
        <v>500</v>
      </c>
      <c r="N921" s="10">
        <v>1500</v>
      </c>
    </row>
    <row r="922" spans="1:14" x14ac:dyDescent="0.2">
      <c r="A922">
        <v>139</v>
      </c>
      <c r="B922" s="5">
        <v>45275</v>
      </c>
      <c r="C922" s="5" t="str">
        <f>TEXT(Table2[[#This Row],[Date]], "MMM")</f>
        <v>Dec</v>
      </c>
      <c r="D922" s="8">
        <f>MONTH(Table2[[#This Row],[Date]])</f>
        <v>12</v>
      </c>
      <c r="E922" s="8">
        <f>YEAR(Table2[[#This Row],[Date]])</f>
        <v>2023</v>
      </c>
      <c r="F922" s="7" t="s">
        <v>152</v>
      </c>
      <c r="G922" s="7" t="s">
        <v>10</v>
      </c>
      <c r="H922" s="8">
        <v>36</v>
      </c>
      <c r="I922" s="8" t="str">
        <f>IF(Table2[[#This Row],[Age]] &lt; 19, "Teenagers", IF(Table2[[#This Row],[Age]] &lt;= 34, "Young Adults", IF(Table2[[#This Row],[Age]] &lt;= 45, "Adults", IF(Table2[[#This Row],[Age]] &lt;= 55, "Seniors", "Elderly")) ))</f>
        <v>Adults</v>
      </c>
      <c r="J922" s="7" t="s">
        <v>11</v>
      </c>
      <c r="K922" s="8">
        <v>4</v>
      </c>
      <c r="L922" s="8" t="str">
        <f>IF(Table2[[#This Row],[Quantity]]=1, "Single Order", IF(Table2[[#This Row],[Quantity]]=2, "Small Order", IF(Table2[[#This Row],[Quantity]]=3, "Medium Order", "Bulk Order")))</f>
        <v>Bulk Order</v>
      </c>
      <c r="M922" s="10">
        <v>500</v>
      </c>
      <c r="N922" s="10">
        <v>2000</v>
      </c>
    </row>
    <row r="923" spans="1:14" x14ac:dyDescent="0.2">
      <c r="A923">
        <v>151</v>
      </c>
      <c r="B923" s="5">
        <v>45275</v>
      </c>
      <c r="C923" s="5" t="str">
        <f>TEXT(Table2[[#This Row],[Date]], "MMM")</f>
        <v>Dec</v>
      </c>
      <c r="D923" s="8">
        <f>MONTH(Table2[[#This Row],[Date]])</f>
        <v>12</v>
      </c>
      <c r="E923" s="8">
        <f>YEAR(Table2[[#This Row],[Date]])</f>
        <v>2023</v>
      </c>
      <c r="F923" s="7" t="s">
        <v>164</v>
      </c>
      <c r="G923" s="7" t="s">
        <v>10</v>
      </c>
      <c r="H923" s="8">
        <v>29</v>
      </c>
      <c r="I923" s="8" t="str">
        <f>IF(Table2[[#This Row],[Age]] &lt; 19, "Teenagers", IF(Table2[[#This Row],[Age]] &lt;= 34, "Young Adults", IF(Table2[[#This Row],[Age]] &lt;= 45, "Adults", IF(Table2[[#This Row],[Age]] &lt;= 55, "Seniors", "Elderly")) ))</f>
        <v>Young Adults</v>
      </c>
      <c r="J923" s="7" t="s">
        <v>14</v>
      </c>
      <c r="K923" s="8">
        <v>1</v>
      </c>
      <c r="L923" s="8" t="str">
        <f>IF(Table2[[#This Row],[Quantity]]=1, "Single Order", IF(Table2[[#This Row],[Quantity]]=2, "Small Order", IF(Table2[[#This Row],[Quantity]]=3, "Medium Order", "Bulk Order")))</f>
        <v>Single Order</v>
      </c>
      <c r="M923" s="10">
        <v>50</v>
      </c>
      <c r="N923" s="10">
        <v>50</v>
      </c>
    </row>
    <row r="924" spans="1:14" x14ac:dyDescent="0.2">
      <c r="A924">
        <v>153</v>
      </c>
      <c r="B924" s="5">
        <v>45276</v>
      </c>
      <c r="C924" s="5" t="str">
        <f>TEXT(Table2[[#This Row],[Date]], "MMM")</f>
        <v>Dec</v>
      </c>
      <c r="D924" s="8">
        <f>MONTH(Table2[[#This Row],[Date]])</f>
        <v>12</v>
      </c>
      <c r="E924" s="8">
        <f>YEAR(Table2[[#This Row],[Date]])</f>
        <v>2023</v>
      </c>
      <c r="F924" s="7" t="s">
        <v>166</v>
      </c>
      <c r="G924" s="7" t="s">
        <v>10</v>
      </c>
      <c r="H924" s="8">
        <v>63</v>
      </c>
      <c r="I924" s="8" t="str">
        <f>IF(Table2[[#This Row],[Age]] &lt; 19, "Teenagers", IF(Table2[[#This Row],[Age]] &lt;= 34, "Young Adults", IF(Table2[[#This Row],[Age]] &lt;= 45, "Adults", IF(Table2[[#This Row],[Age]] &lt;= 55, "Seniors", "Elderly")) ))</f>
        <v>Elderly</v>
      </c>
      <c r="J924" s="7" t="s">
        <v>16</v>
      </c>
      <c r="K924" s="8">
        <v>2</v>
      </c>
      <c r="L924" s="8" t="str">
        <f>IF(Table2[[#This Row],[Quantity]]=1, "Single Order", IF(Table2[[#This Row],[Quantity]]=2, "Small Order", IF(Table2[[#This Row],[Quantity]]=3, "Medium Order", "Bulk Order")))</f>
        <v>Small Order</v>
      </c>
      <c r="M924" s="10">
        <v>500</v>
      </c>
      <c r="N924" s="10">
        <v>1000</v>
      </c>
    </row>
    <row r="925" spans="1:14" x14ac:dyDescent="0.2">
      <c r="A925">
        <v>199</v>
      </c>
      <c r="B925" s="5">
        <v>45264</v>
      </c>
      <c r="C925" s="5" t="str">
        <f>TEXT(Table2[[#This Row],[Date]], "MMM")</f>
        <v>Dec</v>
      </c>
      <c r="D925" s="8">
        <f>MONTH(Table2[[#This Row],[Date]])</f>
        <v>12</v>
      </c>
      <c r="E925" s="8">
        <f>YEAR(Table2[[#This Row],[Date]])</f>
        <v>2023</v>
      </c>
      <c r="F925" s="7" t="s">
        <v>212</v>
      </c>
      <c r="G925" s="7" t="s">
        <v>10</v>
      </c>
      <c r="H925" s="8">
        <v>45</v>
      </c>
      <c r="I925" s="8" t="str">
        <f>IF(Table2[[#This Row],[Age]] &lt; 19, "Teenagers", IF(Table2[[#This Row],[Age]] &lt;= 34, "Young Adults", IF(Table2[[#This Row],[Age]] &lt;= 45, "Adults", IF(Table2[[#This Row],[Age]] &lt;= 55, "Seniors", "Elderly")) ))</f>
        <v>Adults</v>
      </c>
      <c r="J925" s="7" t="s">
        <v>11</v>
      </c>
      <c r="K925" s="8">
        <v>3</v>
      </c>
      <c r="L925" s="8" t="str">
        <f>IF(Table2[[#This Row],[Quantity]]=1, "Single Order", IF(Table2[[#This Row],[Quantity]]=2, "Small Order", IF(Table2[[#This Row],[Quantity]]=3, "Medium Order", "Bulk Order")))</f>
        <v>Medium Order</v>
      </c>
      <c r="M925" s="10">
        <v>500</v>
      </c>
      <c r="N925" s="10">
        <v>1500</v>
      </c>
    </row>
    <row r="926" spans="1:14" x14ac:dyDescent="0.2">
      <c r="A926">
        <v>209</v>
      </c>
      <c r="B926" s="5">
        <v>45280</v>
      </c>
      <c r="C926" s="5" t="str">
        <f>TEXT(Table2[[#This Row],[Date]], "MMM")</f>
        <v>Dec</v>
      </c>
      <c r="D926" s="8">
        <f>MONTH(Table2[[#This Row],[Date]])</f>
        <v>12</v>
      </c>
      <c r="E926" s="8">
        <f>YEAR(Table2[[#This Row],[Date]])</f>
        <v>2023</v>
      </c>
      <c r="F926" s="7" t="s">
        <v>222</v>
      </c>
      <c r="G926" s="7" t="s">
        <v>13</v>
      </c>
      <c r="H926" s="8">
        <v>30</v>
      </c>
      <c r="I926" s="8" t="str">
        <f>IF(Table2[[#This Row],[Age]] &lt; 19, "Teenagers", IF(Table2[[#This Row],[Age]] &lt;= 34, "Young Adults", IF(Table2[[#This Row],[Age]] &lt;= 45, "Adults", IF(Table2[[#This Row],[Age]] &lt;= 55, "Seniors", "Elderly")) ))</f>
        <v>Young Adults</v>
      </c>
      <c r="J926" s="7" t="s">
        <v>16</v>
      </c>
      <c r="K926" s="8">
        <v>4</v>
      </c>
      <c r="L926" s="8" t="str">
        <f>IF(Table2[[#This Row],[Quantity]]=1, "Single Order", IF(Table2[[#This Row],[Quantity]]=2, "Small Order", IF(Table2[[#This Row],[Quantity]]=3, "Medium Order", "Bulk Order")))</f>
        <v>Bulk Order</v>
      </c>
      <c r="M926" s="10">
        <v>50</v>
      </c>
      <c r="N926" s="10">
        <v>200</v>
      </c>
    </row>
    <row r="927" spans="1:14" x14ac:dyDescent="0.2">
      <c r="A927">
        <v>214</v>
      </c>
      <c r="B927" s="5">
        <v>45270</v>
      </c>
      <c r="C927" s="5" t="str">
        <f>TEXT(Table2[[#This Row],[Date]], "MMM")</f>
        <v>Dec</v>
      </c>
      <c r="D927" s="8">
        <f>MONTH(Table2[[#This Row],[Date]])</f>
        <v>12</v>
      </c>
      <c r="E927" s="8">
        <f>YEAR(Table2[[#This Row],[Date]])</f>
        <v>2023</v>
      </c>
      <c r="F927" s="7" t="s">
        <v>227</v>
      </c>
      <c r="G927" s="7" t="s">
        <v>10</v>
      </c>
      <c r="H927" s="8">
        <v>20</v>
      </c>
      <c r="I927" s="8" t="str">
        <f>IF(Table2[[#This Row],[Age]] &lt; 19, "Teenagers", IF(Table2[[#This Row],[Age]] &lt;= 34, "Young Adults", IF(Table2[[#This Row],[Age]] &lt;= 45, "Adults", IF(Table2[[#This Row],[Age]] &lt;= 55, "Seniors", "Elderly")) ))</f>
        <v>Young Adults</v>
      </c>
      <c r="J927" s="7" t="s">
        <v>11</v>
      </c>
      <c r="K927" s="8">
        <v>2</v>
      </c>
      <c r="L927" s="8" t="str">
        <f>IF(Table2[[#This Row],[Quantity]]=1, "Single Order", IF(Table2[[#This Row],[Quantity]]=2, "Small Order", IF(Table2[[#This Row],[Quantity]]=3, "Medium Order", "Bulk Order")))</f>
        <v>Small Order</v>
      </c>
      <c r="M927" s="10">
        <v>30</v>
      </c>
      <c r="N927" s="10">
        <v>60</v>
      </c>
    </row>
    <row r="928" spans="1:14" x14ac:dyDescent="0.2">
      <c r="A928">
        <v>233</v>
      </c>
      <c r="B928" s="5">
        <v>45289</v>
      </c>
      <c r="C928" s="5" t="str">
        <f>TEXT(Table2[[#This Row],[Date]], "MMM")</f>
        <v>Dec</v>
      </c>
      <c r="D928" s="8">
        <f>MONTH(Table2[[#This Row],[Date]])</f>
        <v>12</v>
      </c>
      <c r="E928" s="8">
        <f>YEAR(Table2[[#This Row],[Date]])</f>
        <v>2023</v>
      </c>
      <c r="F928" s="7" t="s">
        <v>246</v>
      </c>
      <c r="G928" s="7" t="s">
        <v>13</v>
      </c>
      <c r="H928" s="8">
        <v>51</v>
      </c>
      <c r="I928" s="8" t="str">
        <f>IF(Table2[[#This Row],[Age]] &lt; 19, "Teenagers", IF(Table2[[#This Row],[Age]] &lt;= 34, "Young Adults", IF(Table2[[#This Row],[Age]] &lt;= 45, "Adults", IF(Table2[[#This Row],[Age]] &lt;= 55, "Seniors", "Elderly")) ))</f>
        <v>Seniors</v>
      </c>
      <c r="J928" s="7" t="s">
        <v>11</v>
      </c>
      <c r="K928" s="8">
        <v>2</v>
      </c>
      <c r="L928" s="8" t="str">
        <f>IF(Table2[[#This Row],[Quantity]]=1, "Single Order", IF(Table2[[#This Row],[Quantity]]=2, "Small Order", IF(Table2[[#This Row],[Quantity]]=3, "Medium Order", "Bulk Order")))</f>
        <v>Small Order</v>
      </c>
      <c r="M928" s="10">
        <v>300</v>
      </c>
      <c r="N928" s="10">
        <v>600</v>
      </c>
    </row>
    <row r="929" spans="1:14" x14ac:dyDescent="0.2">
      <c r="A929">
        <v>244</v>
      </c>
      <c r="B929" s="5">
        <v>45269</v>
      </c>
      <c r="C929" s="5" t="str">
        <f>TEXT(Table2[[#This Row],[Date]], "MMM")</f>
        <v>Dec</v>
      </c>
      <c r="D929" s="8">
        <f>MONTH(Table2[[#This Row],[Date]])</f>
        <v>12</v>
      </c>
      <c r="E929" s="8">
        <f>YEAR(Table2[[#This Row],[Date]])</f>
        <v>2023</v>
      </c>
      <c r="F929" s="7" t="s">
        <v>257</v>
      </c>
      <c r="G929" s="7" t="s">
        <v>10</v>
      </c>
      <c r="H929" s="8">
        <v>28</v>
      </c>
      <c r="I929" s="8" t="str">
        <f>IF(Table2[[#This Row],[Age]] &lt; 19, "Teenagers", IF(Table2[[#This Row],[Age]] &lt;= 34, "Young Adults", IF(Table2[[#This Row],[Age]] &lt;= 45, "Adults", IF(Table2[[#This Row],[Age]] &lt;= 55, "Seniors", "Elderly")) ))</f>
        <v>Young Adults</v>
      </c>
      <c r="J929" s="7" t="s">
        <v>11</v>
      </c>
      <c r="K929" s="8">
        <v>2</v>
      </c>
      <c r="L929" s="8" t="str">
        <f>IF(Table2[[#This Row],[Quantity]]=1, "Single Order", IF(Table2[[#This Row],[Quantity]]=2, "Small Order", IF(Table2[[#This Row],[Quantity]]=3, "Medium Order", "Bulk Order")))</f>
        <v>Small Order</v>
      </c>
      <c r="M929" s="10">
        <v>50</v>
      </c>
      <c r="N929" s="10">
        <v>100</v>
      </c>
    </row>
    <row r="930" spans="1:14" x14ac:dyDescent="0.2">
      <c r="A930">
        <v>258</v>
      </c>
      <c r="B930" s="5">
        <v>45264</v>
      </c>
      <c r="C930" s="5" t="str">
        <f>TEXT(Table2[[#This Row],[Date]], "MMM")</f>
        <v>Dec</v>
      </c>
      <c r="D930" s="8">
        <f>MONTH(Table2[[#This Row],[Date]])</f>
        <v>12</v>
      </c>
      <c r="E930" s="8">
        <f>YEAR(Table2[[#This Row],[Date]])</f>
        <v>2023</v>
      </c>
      <c r="F930" s="7" t="s">
        <v>271</v>
      </c>
      <c r="G930" s="7" t="s">
        <v>13</v>
      </c>
      <c r="H930" s="8">
        <v>37</v>
      </c>
      <c r="I930" s="8" t="str">
        <f>IF(Table2[[#This Row],[Age]] &lt; 19, "Teenagers", IF(Table2[[#This Row],[Age]] &lt;= 34, "Young Adults", IF(Table2[[#This Row],[Age]] &lt;= 45, "Adults", IF(Table2[[#This Row],[Age]] &lt;= 55, "Seniors", "Elderly")) ))</f>
        <v>Adults</v>
      </c>
      <c r="J930" s="7" t="s">
        <v>14</v>
      </c>
      <c r="K930" s="8">
        <v>1</v>
      </c>
      <c r="L930" s="8" t="str">
        <f>IF(Table2[[#This Row],[Quantity]]=1, "Single Order", IF(Table2[[#This Row],[Quantity]]=2, "Small Order", IF(Table2[[#This Row],[Quantity]]=3, "Medium Order", "Bulk Order")))</f>
        <v>Single Order</v>
      </c>
      <c r="M930" s="10">
        <v>50</v>
      </c>
      <c r="N930" s="10">
        <v>50</v>
      </c>
    </row>
    <row r="931" spans="1:14" x14ac:dyDescent="0.2">
      <c r="A931">
        <v>265</v>
      </c>
      <c r="B931" s="5">
        <v>45271</v>
      </c>
      <c r="C931" s="5" t="str">
        <f>TEXT(Table2[[#This Row],[Date]], "MMM")</f>
        <v>Dec</v>
      </c>
      <c r="D931" s="8">
        <f>MONTH(Table2[[#This Row],[Date]])</f>
        <v>12</v>
      </c>
      <c r="E931" s="8">
        <f>YEAR(Table2[[#This Row],[Date]])</f>
        <v>2023</v>
      </c>
      <c r="F931" s="7" t="s">
        <v>278</v>
      </c>
      <c r="G931" s="7" t="s">
        <v>10</v>
      </c>
      <c r="H931" s="8">
        <v>55</v>
      </c>
      <c r="I931" s="8" t="str">
        <f>IF(Table2[[#This Row],[Age]] &lt; 19, "Teenagers", IF(Table2[[#This Row],[Age]] &lt;= 34, "Young Adults", IF(Table2[[#This Row],[Age]] &lt;= 45, "Adults", IF(Table2[[#This Row],[Age]] &lt;= 55, "Seniors", "Elderly")) ))</f>
        <v>Seniors</v>
      </c>
      <c r="J931" s="7" t="s">
        <v>14</v>
      </c>
      <c r="K931" s="8">
        <v>3</v>
      </c>
      <c r="L931" s="8" t="str">
        <f>IF(Table2[[#This Row],[Quantity]]=1, "Single Order", IF(Table2[[#This Row],[Quantity]]=2, "Small Order", IF(Table2[[#This Row],[Quantity]]=3, "Medium Order", "Bulk Order")))</f>
        <v>Medium Order</v>
      </c>
      <c r="M931" s="10">
        <v>300</v>
      </c>
      <c r="N931" s="10">
        <v>900</v>
      </c>
    </row>
    <row r="932" spans="1:14" x14ac:dyDescent="0.2">
      <c r="A932">
        <v>266</v>
      </c>
      <c r="B932" s="5">
        <v>45261</v>
      </c>
      <c r="C932" s="5" t="str">
        <f>TEXT(Table2[[#This Row],[Date]], "MMM")</f>
        <v>Dec</v>
      </c>
      <c r="D932" s="8">
        <f>MONTH(Table2[[#This Row],[Date]])</f>
        <v>12</v>
      </c>
      <c r="E932" s="8">
        <f>YEAR(Table2[[#This Row],[Date]])</f>
        <v>2023</v>
      </c>
      <c r="F932" s="7" t="s">
        <v>279</v>
      </c>
      <c r="G932" s="7" t="s">
        <v>13</v>
      </c>
      <c r="H932" s="8">
        <v>19</v>
      </c>
      <c r="I932" s="8" t="str">
        <f>IF(Table2[[#This Row],[Age]] &lt; 19, "Teenagers", IF(Table2[[#This Row],[Age]] &lt;= 34, "Young Adults", IF(Table2[[#This Row],[Age]] &lt;= 45, "Adults", IF(Table2[[#This Row],[Age]] &lt;= 55, "Seniors", "Elderly")) ))</f>
        <v>Young Adults</v>
      </c>
      <c r="J932" s="7" t="s">
        <v>16</v>
      </c>
      <c r="K932" s="8">
        <v>2</v>
      </c>
      <c r="L932" s="8" t="str">
        <f>IF(Table2[[#This Row],[Quantity]]=1, "Single Order", IF(Table2[[#This Row],[Quantity]]=2, "Small Order", IF(Table2[[#This Row],[Quantity]]=3, "Medium Order", "Bulk Order")))</f>
        <v>Small Order</v>
      </c>
      <c r="M932" s="10">
        <v>30</v>
      </c>
      <c r="N932" s="10">
        <v>60</v>
      </c>
    </row>
    <row r="933" spans="1:14" x14ac:dyDescent="0.2">
      <c r="A933">
        <v>309</v>
      </c>
      <c r="B933" s="5">
        <v>45283</v>
      </c>
      <c r="C933" s="5" t="str">
        <f>TEXT(Table2[[#This Row],[Date]], "MMM")</f>
        <v>Dec</v>
      </c>
      <c r="D933" s="8">
        <f>MONTH(Table2[[#This Row],[Date]])</f>
        <v>12</v>
      </c>
      <c r="E933" s="8">
        <f>YEAR(Table2[[#This Row],[Date]])</f>
        <v>2023</v>
      </c>
      <c r="F933" s="7" t="s">
        <v>322</v>
      </c>
      <c r="G933" s="7" t="s">
        <v>13</v>
      </c>
      <c r="H933" s="8">
        <v>26</v>
      </c>
      <c r="I933" s="8" t="str">
        <f>IF(Table2[[#This Row],[Age]] &lt; 19, "Teenagers", IF(Table2[[#This Row],[Age]] &lt;= 34, "Young Adults", IF(Table2[[#This Row],[Age]] &lt;= 45, "Adults", IF(Table2[[#This Row],[Age]] &lt;= 55, "Seniors", "Elderly")) ))</f>
        <v>Young Adults</v>
      </c>
      <c r="J933" s="7" t="s">
        <v>11</v>
      </c>
      <c r="K933" s="8">
        <v>1</v>
      </c>
      <c r="L933" s="8" t="str">
        <f>IF(Table2[[#This Row],[Quantity]]=1, "Single Order", IF(Table2[[#This Row],[Quantity]]=2, "Small Order", IF(Table2[[#This Row],[Quantity]]=3, "Medium Order", "Bulk Order")))</f>
        <v>Single Order</v>
      </c>
      <c r="M933" s="10">
        <v>25</v>
      </c>
      <c r="N933" s="10">
        <v>25</v>
      </c>
    </row>
    <row r="934" spans="1:14" x14ac:dyDescent="0.2">
      <c r="A934">
        <v>311</v>
      </c>
      <c r="B934" s="5">
        <v>45265</v>
      </c>
      <c r="C934" s="5" t="str">
        <f>TEXT(Table2[[#This Row],[Date]], "MMM")</f>
        <v>Dec</v>
      </c>
      <c r="D934" s="8">
        <f>MONTH(Table2[[#This Row],[Date]])</f>
        <v>12</v>
      </c>
      <c r="E934" s="8">
        <f>YEAR(Table2[[#This Row],[Date]])</f>
        <v>2023</v>
      </c>
      <c r="F934" s="7" t="s">
        <v>324</v>
      </c>
      <c r="G934" s="7" t="s">
        <v>13</v>
      </c>
      <c r="H934" s="8">
        <v>32</v>
      </c>
      <c r="I934" s="8" t="str">
        <f>IF(Table2[[#This Row],[Age]] &lt; 19, "Teenagers", IF(Table2[[#This Row],[Age]] &lt;= 34, "Young Adults", IF(Table2[[#This Row],[Age]] &lt;= 45, "Adults", IF(Table2[[#This Row],[Age]] &lt;= 55, "Seniors", "Elderly")) ))</f>
        <v>Young Adults</v>
      </c>
      <c r="J934" s="7" t="s">
        <v>11</v>
      </c>
      <c r="K934" s="8">
        <v>4</v>
      </c>
      <c r="L934" s="8" t="str">
        <f>IF(Table2[[#This Row],[Quantity]]=1, "Single Order", IF(Table2[[#This Row],[Quantity]]=2, "Small Order", IF(Table2[[#This Row],[Quantity]]=3, "Medium Order", "Bulk Order")))</f>
        <v>Bulk Order</v>
      </c>
      <c r="M934" s="10">
        <v>25</v>
      </c>
      <c r="N934" s="10">
        <v>100</v>
      </c>
    </row>
    <row r="935" spans="1:14" x14ac:dyDescent="0.2">
      <c r="A935">
        <v>336</v>
      </c>
      <c r="B935" s="5">
        <v>45272</v>
      </c>
      <c r="C935" s="5" t="str">
        <f>TEXT(Table2[[#This Row],[Date]], "MMM")</f>
        <v>Dec</v>
      </c>
      <c r="D935" s="8">
        <f>MONTH(Table2[[#This Row],[Date]])</f>
        <v>12</v>
      </c>
      <c r="E935" s="8">
        <f>YEAR(Table2[[#This Row],[Date]])</f>
        <v>2023</v>
      </c>
      <c r="F935" s="7" t="s">
        <v>349</v>
      </c>
      <c r="G935" s="7" t="s">
        <v>13</v>
      </c>
      <c r="H935" s="8">
        <v>52</v>
      </c>
      <c r="I935" s="8" t="str">
        <f>IF(Table2[[#This Row],[Age]] &lt; 19, "Teenagers", IF(Table2[[#This Row],[Age]] &lt;= 34, "Young Adults", IF(Table2[[#This Row],[Age]] &lt;= 45, "Adults", IF(Table2[[#This Row],[Age]] &lt;= 55, "Seniors", "Elderly")) ))</f>
        <v>Seniors</v>
      </c>
      <c r="J935" s="7" t="s">
        <v>11</v>
      </c>
      <c r="K935" s="8">
        <v>3</v>
      </c>
      <c r="L935" s="8" t="str">
        <f>IF(Table2[[#This Row],[Quantity]]=1, "Single Order", IF(Table2[[#This Row],[Quantity]]=2, "Small Order", IF(Table2[[#This Row],[Quantity]]=3, "Medium Order", "Bulk Order")))</f>
        <v>Medium Order</v>
      </c>
      <c r="M935" s="10">
        <v>50</v>
      </c>
      <c r="N935" s="10">
        <v>150</v>
      </c>
    </row>
    <row r="936" spans="1:14" x14ac:dyDescent="0.2">
      <c r="A936">
        <v>348</v>
      </c>
      <c r="B936" s="5">
        <v>45263</v>
      </c>
      <c r="C936" s="5" t="str">
        <f>TEXT(Table2[[#This Row],[Date]], "MMM")</f>
        <v>Dec</v>
      </c>
      <c r="D936" s="8">
        <f>MONTH(Table2[[#This Row],[Date]])</f>
        <v>12</v>
      </c>
      <c r="E936" s="8">
        <f>YEAR(Table2[[#This Row],[Date]])</f>
        <v>2023</v>
      </c>
      <c r="F936" s="7" t="s">
        <v>361</v>
      </c>
      <c r="G936" s="7" t="s">
        <v>13</v>
      </c>
      <c r="H936" s="8">
        <v>35</v>
      </c>
      <c r="I936" s="8" t="str">
        <f>IF(Table2[[#This Row],[Age]] &lt; 19, "Teenagers", IF(Table2[[#This Row],[Age]] &lt;= 34, "Young Adults", IF(Table2[[#This Row],[Age]] &lt;= 45, "Adults", IF(Table2[[#This Row],[Age]] &lt;= 55, "Seniors", "Elderly")) ))</f>
        <v>Adults</v>
      </c>
      <c r="J936" s="7" t="s">
        <v>16</v>
      </c>
      <c r="K936" s="8">
        <v>2</v>
      </c>
      <c r="L936" s="8" t="str">
        <f>IF(Table2[[#This Row],[Quantity]]=1, "Single Order", IF(Table2[[#This Row],[Quantity]]=2, "Small Order", IF(Table2[[#This Row],[Quantity]]=3, "Medium Order", "Bulk Order")))</f>
        <v>Small Order</v>
      </c>
      <c r="M936" s="10">
        <v>300</v>
      </c>
      <c r="N936" s="10">
        <v>600</v>
      </c>
    </row>
    <row r="937" spans="1:14" x14ac:dyDescent="0.2">
      <c r="A937">
        <v>355</v>
      </c>
      <c r="B937" s="5">
        <v>45269</v>
      </c>
      <c r="C937" s="5" t="str">
        <f>TEXT(Table2[[#This Row],[Date]], "MMM")</f>
        <v>Dec</v>
      </c>
      <c r="D937" s="8">
        <f>MONTH(Table2[[#This Row],[Date]])</f>
        <v>12</v>
      </c>
      <c r="E937" s="8">
        <f>YEAR(Table2[[#This Row],[Date]])</f>
        <v>2023</v>
      </c>
      <c r="F937" s="7" t="s">
        <v>368</v>
      </c>
      <c r="G937" s="7" t="s">
        <v>13</v>
      </c>
      <c r="H937" s="8">
        <v>55</v>
      </c>
      <c r="I937" s="8" t="str">
        <f>IF(Table2[[#This Row],[Age]] &lt; 19, "Teenagers", IF(Table2[[#This Row],[Age]] &lt;= 34, "Young Adults", IF(Table2[[#This Row],[Age]] &lt;= 45, "Adults", IF(Table2[[#This Row],[Age]] &lt;= 55, "Seniors", "Elderly")) ))</f>
        <v>Seniors</v>
      </c>
      <c r="J937" s="7" t="s">
        <v>16</v>
      </c>
      <c r="K937" s="8">
        <v>1</v>
      </c>
      <c r="L937" s="8" t="str">
        <f>IF(Table2[[#This Row],[Quantity]]=1, "Single Order", IF(Table2[[#This Row],[Quantity]]=2, "Small Order", IF(Table2[[#This Row],[Quantity]]=3, "Medium Order", "Bulk Order")))</f>
        <v>Single Order</v>
      </c>
      <c r="M937" s="10">
        <v>500</v>
      </c>
      <c r="N937" s="10">
        <v>500</v>
      </c>
    </row>
    <row r="938" spans="1:14" x14ac:dyDescent="0.2">
      <c r="A938">
        <v>361</v>
      </c>
      <c r="B938" s="5">
        <v>45270</v>
      </c>
      <c r="C938" s="5" t="str">
        <f>TEXT(Table2[[#This Row],[Date]], "MMM")</f>
        <v>Dec</v>
      </c>
      <c r="D938" s="8">
        <f>MONTH(Table2[[#This Row],[Date]])</f>
        <v>12</v>
      </c>
      <c r="E938" s="8">
        <f>YEAR(Table2[[#This Row],[Date]])</f>
        <v>2023</v>
      </c>
      <c r="F938" s="7" t="s">
        <v>374</v>
      </c>
      <c r="G938" s="7" t="s">
        <v>13</v>
      </c>
      <c r="H938" s="8">
        <v>34</v>
      </c>
      <c r="I938" s="8" t="str">
        <f>IF(Table2[[#This Row],[Age]] &lt; 19, "Teenagers", IF(Table2[[#This Row],[Age]] &lt;= 34, "Young Adults", IF(Table2[[#This Row],[Age]] &lt;= 45, "Adults", IF(Table2[[#This Row],[Age]] &lt;= 55, "Seniors", "Elderly")) ))</f>
        <v>Young Adults</v>
      </c>
      <c r="J938" s="7" t="s">
        <v>16</v>
      </c>
      <c r="K938" s="8">
        <v>4</v>
      </c>
      <c r="L938" s="8" t="str">
        <f>IF(Table2[[#This Row],[Quantity]]=1, "Single Order", IF(Table2[[#This Row],[Quantity]]=2, "Small Order", IF(Table2[[#This Row],[Quantity]]=3, "Medium Order", "Bulk Order")))</f>
        <v>Bulk Order</v>
      </c>
      <c r="M938" s="10">
        <v>300</v>
      </c>
      <c r="N938" s="10">
        <v>1200</v>
      </c>
    </row>
    <row r="939" spans="1:14" x14ac:dyDescent="0.2">
      <c r="A939">
        <v>386</v>
      </c>
      <c r="B939" s="5">
        <v>45287</v>
      </c>
      <c r="C939" s="5" t="str">
        <f>TEXT(Table2[[#This Row],[Date]], "MMM")</f>
        <v>Dec</v>
      </c>
      <c r="D939" s="8">
        <f>MONTH(Table2[[#This Row],[Date]])</f>
        <v>12</v>
      </c>
      <c r="E939" s="8">
        <f>YEAR(Table2[[#This Row],[Date]])</f>
        <v>2023</v>
      </c>
      <c r="F939" s="7" t="s">
        <v>399</v>
      </c>
      <c r="G939" s="7" t="s">
        <v>13</v>
      </c>
      <c r="H939" s="8">
        <v>54</v>
      </c>
      <c r="I939" s="8" t="str">
        <f>IF(Table2[[#This Row],[Age]] &lt; 19, "Teenagers", IF(Table2[[#This Row],[Age]] &lt;= 34, "Young Adults", IF(Table2[[#This Row],[Age]] &lt;= 45, "Adults", IF(Table2[[#This Row],[Age]] &lt;= 55, "Seniors", "Elderly")) ))</f>
        <v>Seniors</v>
      </c>
      <c r="J939" s="7" t="s">
        <v>16</v>
      </c>
      <c r="K939" s="8">
        <v>2</v>
      </c>
      <c r="L939" s="8" t="str">
        <f>IF(Table2[[#This Row],[Quantity]]=1, "Single Order", IF(Table2[[#This Row],[Quantity]]=2, "Small Order", IF(Table2[[#This Row],[Quantity]]=3, "Medium Order", "Bulk Order")))</f>
        <v>Small Order</v>
      </c>
      <c r="M939" s="10">
        <v>300</v>
      </c>
      <c r="N939" s="10">
        <v>600</v>
      </c>
    </row>
    <row r="940" spans="1:14" x14ac:dyDescent="0.2">
      <c r="A940">
        <v>389</v>
      </c>
      <c r="B940" s="5">
        <v>45261</v>
      </c>
      <c r="C940" s="5" t="str">
        <f>TEXT(Table2[[#This Row],[Date]], "MMM")</f>
        <v>Dec</v>
      </c>
      <c r="D940" s="8">
        <f>MONTH(Table2[[#This Row],[Date]])</f>
        <v>12</v>
      </c>
      <c r="E940" s="8">
        <f>YEAR(Table2[[#This Row],[Date]])</f>
        <v>2023</v>
      </c>
      <c r="F940" s="7" t="s">
        <v>402</v>
      </c>
      <c r="G940" s="7" t="s">
        <v>10</v>
      </c>
      <c r="H940" s="8">
        <v>21</v>
      </c>
      <c r="I940" s="8" t="str">
        <f>IF(Table2[[#This Row],[Age]] &lt; 19, "Teenagers", IF(Table2[[#This Row],[Age]] &lt;= 34, "Young Adults", IF(Table2[[#This Row],[Age]] &lt;= 45, "Adults", IF(Table2[[#This Row],[Age]] &lt;= 55, "Seniors", "Elderly")) ))</f>
        <v>Young Adults</v>
      </c>
      <c r="J940" s="7" t="s">
        <v>14</v>
      </c>
      <c r="K940" s="8">
        <v>2</v>
      </c>
      <c r="L940" s="8" t="str">
        <f>IF(Table2[[#This Row],[Quantity]]=1, "Single Order", IF(Table2[[#This Row],[Quantity]]=2, "Small Order", IF(Table2[[#This Row],[Quantity]]=3, "Medium Order", "Bulk Order")))</f>
        <v>Small Order</v>
      </c>
      <c r="M940" s="10">
        <v>25</v>
      </c>
      <c r="N940" s="10">
        <v>50</v>
      </c>
    </row>
    <row r="941" spans="1:14" x14ac:dyDescent="0.2">
      <c r="A941">
        <v>392</v>
      </c>
      <c r="B941" s="5">
        <v>45268</v>
      </c>
      <c r="C941" s="5" t="str">
        <f>TEXT(Table2[[#This Row],[Date]], "MMM")</f>
        <v>Dec</v>
      </c>
      <c r="D941" s="8">
        <f>MONTH(Table2[[#This Row],[Date]])</f>
        <v>12</v>
      </c>
      <c r="E941" s="8">
        <f>YEAR(Table2[[#This Row],[Date]])</f>
        <v>2023</v>
      </c>
      <c r="F941" s="7" t="s">
        <v>405</v>
      </c>
      <c r="G941" s="7" t="s">
        <v>10</v>
      </c>
      <c r="H941" s="8">
        <v>27</v>
      </c>
      <c r="I941" s="8" t="str">
        <f>IF(Table2[[#This Row],[Age]] &lt; 19, "Teenagers", IF(Table2[[#This Row],[Age]] &lt;= 34, "Young Adults", IF(Table2[[#This Row],[Age]] &lt;= 45, "Adults", IF(Table2[[#This Row],[Age]] &lt;= 55, "Seniors", "Elderly")) ))</f>
        <v>Young Adults</v>
      </c>
      <c r="J941" s="7" t="s">
        <v>14</v>
      </c>
      <c r="K941" s="8">
        <v>2</v>
      </c>
      <c r="L941" s="8" t="str">
        <f>IF(Table2[[#This Row],[Quantity]]=1, "Single Order", IF(Table2[[#This Row],[Quantity]]=2, "Small Order", IF(Table2[[#This Row],[Quantity]]=3, "Medium Order", "Bulk Order")))</f>
        <v>Small Order</v>
      </c>
      <c r="M941" s="10">
        <v>300</v>
      </c>
      <c r="N941" s="10">
        <v>600</v>
      </c>
    </row>
    <row r="942" spans="1:14" x14ac:dyDescent="0.2">
      <c r="A942">
        <v>395</v>
      </c>
      <c r="B942" s="5">
        <v>45266</v>
      </c>
      <c r="C942" s="5" t="str">
        <f>TEXT(Table2[[#This Row],[Date]], "MMM")</f>
        <v>Dec</v>
      </c>
      <c r="D942" s="8">
        <f>MONTH(Table2[[#This Row],[Date]])</f>
        <v>12</v>
      </c>
      <c r="E942" s="8">
        <f>YEAR(Table2[[#This Row],[Date]])</f>
        <v>2023</v>
      </c>
      <c r="F942" s="7" t="s">
        <v>408</v>
      </c>
      <c r="G942" s="7" t="s">
        <v>10</v>
      </c>
      <c r="H942" s="8">
        <v>50</v>
      </c>
      <c r="I942" s="8" t="str">
        <f>IF(Table2[[#This Row],[Age]] &lt; 19, "Teenagers", IF(Table2[[#This Row],[Age]] &lt;= 34, "Young Adults", IF(Table2[[#This Row],[Age]] &lt;= 45, "Adults", IF(Table2[[#This Row],[Age]] &lt;= 55, "Seniors", "Elderly")) ))</f>
        <v>Seniors</v>
      </c>
      <c r="J942" s="7" t="s">
        <v>16</v>
      </c>
      <c r="K942" s="8">
        <v>2</v>
      </c>
      <c r="L942" s="8" t="str">
        <f>IF(Table2[[#This Row],[Quantity]]=1, "Single Order", IF(Table2[[#This Row],[Quantity]]=2, "Small Order", IF(Table2[[#This Row],[Quantity]]=3, "Medium Order", "Bulk Order")))</f>
        <v>Small Order</v>
      </c>
      <c r="M942" s="10">
        <v>500</v>
      </c>
      <c r="N942" s="10">
        <v>1000</v>
      </c>
    </row>
    <row r="943" spans="1:14" x14ac:dyDescent="0.2">
      <c r="A943">
        <v>409</v>
      </c>
      <c r="B943" s="5">
        <v>45278</v>
      </c>
      <c r="C943" s="5" t="str">
        <f>TEXT(Table2[[#This Row],[Date]], "MMM")</f>
        <v>Dec</v>
      </c>
      <c r="D943" s="8">
        <f>MONTH(Table2[[#This Row],[Date]])</f>
        <v>12</v>
      </c>
      <c r="E943" s="8">
        <f>YEAR(Table2[[#This Row],[Date]])</f>
        <v>2023</v>
      </c>
      <c r="F943" s="7" t="s">
        <v>422</v>
      </c>
      <c r="G943" s="7" t="s">
        <v>13</v>
      </c>
      <c r="H943" s="8">
        <v>21</v>
      </c>
      <c r="I943" s="8" t="str">
        <f>IF(Table2[[#This Row],[Age]] &lt; 19, "Teenagers", IF(Table2[[#This Row],[Age]] &lt;= 34, "Young Adults", IF(Table2[[#This Row],[Age]] &lt;= 45, "Adults", IF(Table2[[#This Row],[Age]] &lt;= 55, "Seniors", "Elderly")) ))</f>
        <v>Young Adults</v>
      </c>
      <c r="J943" s="7" t="s">
        <v>16</v>
      </c>
      <c r="K943" s="8">
        <v>3</v>
      </c>
      <c r="L943" s="8" t="str">
        <f>IF(Table2[[#This Row],[Quantity]]=1, "Single Order", IF(Table2[[#This Row],[Quantity]]=2, "Small Order", IF(Table2[[#This Row],[Quantity]]=3, "Medium Order", "Bulk Order")))</f>
        <v>Medium Order</v>
      </c>
      <c r="M943" s="10">
        <v>300</v>
      </c>
      <c r="N943" s="10">
        <v>900</v>
      </c>
    </row>
    <row r="944" spans="1:14" x14ac:dyDescent="0.2">
      <c r="A944">
        <v>429</v>
      </c>
      <c r="B944" s="5">
        <v>45288</v>
      </c>
      <c r="C944" s="5" t="str">
        <f>TEXT(Table2[[#This Row],[Date]], "MMM")</f>
        <v>Dec</v>
      </c>
      <c r="D944" s="8">
        <f>MONTH(Table2[[#This Row],[Date]])</f>
        <v>12</v>
      </c>
      <c r="E944" s="8">
        <f>YEAR(Table2[[#This Row],[Date]])</f>
        <v>2023</v>
      </c>
      <c r="F944" s="7" t="s">
        <v>442</v>
      </c>
      <c r="G944" s="7" t="s">
        <v>10</v>
      </c>
      <c r="H944" s="8">
        <v>64</v>
      </c>
      <c r="I944" s="8" t="str">
        <f>IF(Table2[[#This Row],[Age]] &lt; 19, "Teenagers", IF(Table2[[#This Row],[Age]] &lt;= 34, "Young Adults", IF(Table2[[#This Row],[Age]] &lt;= 45, "Adults", IF(Table2[[#This Row],[Age]] &lt;= 55, "Seniors", "Elderly")) ))</f>
        <v>Elderly</v>
      </c>
      <c r="J944" s="7" t="s">
        <v>16</v>
      </c>
      <c r="K944" s="8">
        <v>2</v>
      </c>
      <c r="L944" s="8" t="str">
        <f>IF(Table2[[#This Row],[Quantity]]=1, "Single Order", IF(Table2[[#This Row],[Quantity]]=2, "Small Order", IF(Table2[[#This Row],[Quantity]]=3, "Medium Order", "Bulk Order")))</f>
        <v>Small Order</v>
      </c>
      <c r="M944" s="10">
        <v>25</v>
      </c>
      <c r="N944" s="10">
        <v>50</v>
      </c>
    </row>
    <row r="945" spans="1:14" x14ac:dyDescent="0.2">
      <c r="A945">
        <v>435</v>
      </c>
      <c r="B945" s="5">
        <v>45280</v>
      </c>
      <c r="C945" s="5" t="str">
        <f>TEXT(Table2[[#This Row],[Date]], "MMM")</f>
        <v>Dec</v>
      </c>
      <c r="D945" s="8">
        <f>MONTH(Table2[[#This Row],[Date]])</f>
        <v>12</v>
      </c>
      <c r="E945" s="8">
        <f>YEAR(Table2[[#This Row],[Date]])</f>
        <v>2023</v>
      </c>
      <c r="F945" s="7" t="s">
        <v>448</v>
      </c>
      <c r="G945" s="7" t="s">
        <v>13</v>
      </c>
      <c r="H945" s="8">
        <v>30</v>
      </c>
      <c r="I945" s="8" t="str">
        <f>IF(Table2[[#This Row],[Age]] &lt; 19, "Teenagers", IF(Table2[[#This Row],[Age]] &lt;= 34, "Young Adults", IF(Table2[[#This Row],[Age]] &lt;= 45, "Adults", IF(Table2[[#This Row],[Age]] &lt;= 55, "Seniors", "Elderly")) ))</f>
        <v>Young Adults</v>
      </c>
      <c r="J945" s="7" t="s">
        <v>11</v>
      </c>
      <c r="K945" s="8">
        <v>3</v>
      </c>
      <c r="L945" s="8" t="str">
        <f>IF(Table2[[#This Row],[Quantity]]=1, "Single Order", IF(Table2[[#This Row],[Quantity]]=2, "Small Order", IF(Table2[[#This Row],[Quantity]]=3, "Medium Order", "Bulk Order")))</f>
        <v>Medium Order</v>
      </c>
      <c r="M945" s="10">
        <v>300</v>
      </c>
      <c r="N945" s="10">
        <v>900</v>
      </c>
    </row>
    <row r="946" spans="1:14" x14ac:dyDescent="0.2">
      <c r="A946">
        <v>451</v>
      </c>
      <c r="B946" s="5">
        <v>45276</v>
      </c>
      <c r="C946" s="5" t="str">
        <f>TEXT(Table2[[#This Row],[Date]], "MMM")</f>
        <v>Dec</v>
      </c>
      <c r="D946" s="8">
        <f>MONTH(Table2[[#This Row],[Date]])</f>
        <v>12</v>
      </c>
      <c r="E946" s="8">
        <f>YEAR(Table2[[#This Row],[Date]])</f>
        <v>2023</v>
      </c>
      <c r="F946" s="7" t="s">
        <v>464</v>
      </c>
      <c r="G946" s="7" t="s">
        <v>13</v>
      </c>
      <c r="H946" s="8">
        <v>45</v>
      </c>
      <c r="I946" s="8" t="str">
        <f>IF(Table2[[#This Row],[Age]] &lt; 19, "Teenagers", IF(Table2[[#This Row],[Age]] &lt;= 34, "Young Adults", IF(Table2[[#This Row],[Age]] &lt;= 45, "Adults", IF(Table2[[#This Row],[Age]] &lt;= 55, "Seniors", "Elderly")) ))</f>
        <v>Adults</v>
      </c>
      <c r="J946" s="7" t="s">
        <v>16</v>
      </c>
      <c r="K946" s="8">
        <v>1</v>
      </c>
      <c r="L946" s="8" t="str">
        <f>IF(Table2[[#This Row],[Quantity]]=1, "Single Order", IF(Table2[[#This Row],[Quantity]]=2, "Small Order", IF(Table2[[#This Row],[Quantity]]=3, "Medium Order", "Bulk Order")))</f>
        <v>Single Order</v>
      </c>
      <c r="M946" s="10">
        <v>30</v>
      </c>
      <c r="N946" s="10">
        <v>30</v>
      </c>
    </row>
    <row r="947" spans="1:14" x14ac:dyDescent="0.2">
      <c r="A947">
        <v>453</v>
      </c>
      <c r="B947" s="5">
        <v>45268</v>
      </c>
      <c r="C947" s="5" t="str">
        <f>TEXT(Table2[[#This Row],[Date]], "MMM")</f>
        <v>Dec</v>
      </c>
      <c r="D947" s="8">
        <f>MONTH(Table2[[#This Row],[Date]])</f>
        <v>12</v>
      </c>
      <c r="E947" s="8">
        <f>YEAR(Table2[[#This Row],[Date]])</f>
        <v>2023</v>
      </c>
      <c r="F947" s="7" t="s">
        <v>466</v>
      </c>
      <c r="G947" s="7" t="s">
        <v>13</v>
      </c>
      <c r="H947" s="8">
        <v>26</v>
      </c>
      <c r="I947" s="8" t="str">
        <f>IF(Table2[[#This Row],[Age]] &lt; 19, "Teenagers", IF(Table2[[#This Row],[Age]] &lt;= 34, "Young Adults", IF(Table2[[#This Row],[Age]] &lt;= 45, "Adults", IF(Table2[[#This Row],[Age]] &lt;= 55, "Seniors", "Elderly")) ))</f>
        <v>Young Adults</v>
      </c>
      <c r="J947" s="7" t="s">
        <v>14</v>
      </c>
      <c r="K947" s="8">
        <v>2</v>
      </c>
      <c r="L947" s="8" t="str">
        <f>IF(Table2[[#This Row],[Quantity]]=1, "Single Order", IF(Table2[[#This Row],[Quantity]]=2, "Small Order", IF(Table2[[#This Row],[Quantity]]=3, "Medium Order", "Bulk Order")))</f>
        <v>Small Order</v>
      </c>
      <c r="M947" s="10">
        <v>500</v>
      </c>
      <c r="N947" s="10">
        <v>1000</v>
      </c>
    </row>
    <row r="948" spans="1:14" x14ac:dyDescent="0.2">
      <c r="A948">
        <v>468</v>
      </c>
      <c r="B948" s="5">
        <v>45269</v>
      </c>
      <c r="C948" s="5" t="str">
        <f>TEXT(Table2[[#This Row],[Date]], "MMM")</f>
        <v>Dec</v>
      </c>
      <c r="D948" s="8">
        <f>MONTH(Table2[[#This Row],[Date]])</f>
        <v>12</v>
      </c>
      <c r="E948" s="8">
        <f>YEAR(Table2[[#This Row],[Date]])</f>
        <v>2023</v>
      </c>
      <c r="F948" s="7" t="s">
        <v>481</v>
      </c>
      <c r="G948" s="7" t="s">
        <v>10</v>
      </c>
      <c r="H948" s="8">
        <v>40</v>
      </c>
      <c r="I948" s="8" t="str">
        <f>IF(Table2[[#This Row],[Age]] &lt; 19, "Teenagers", IF(Table2[[#This Row],[Age]] &lt;= 34, "Young Adults", IF(Table2[[#This Row],[Age]] &lt;= 45, "Adults", IF(Table2[[#This Row],[Age]] &lt;= 55, "Seniors", "Elderly")) ))</f>
        <v>Adults</v>
      </c>
      <c r="J948" s="7" t="s">
        <v>16</v>
      </c>
      <c r="K948" s="8">
        <v>1</v>
      </c>
      <c r="L948" s="8" t="str">
        <f>IF(Table2[[#This Row],[Quantity]]=1, "Single Order", IF(Table2[[#This Row],[Quantity]]=2, "Small Order", IF(Table2[[#This Row],[Quantity]]=3, "Medium Order", "Bulk Order")))</f>
        <v>Single Order</v>
      </c>
      <c r="M948" s="10">
        <v>25</v>
      </c>
      <c r="N948" s="10">
        <v>25</v>
      </c>
    </row>
    <row r="949" spans="1:14" x14ac:dyDescent="0.2">
      <c r="A949">
        <v>472</v>
      </c>
      <c r="B949" s="5">
        <v>45286</v>
      </c>
      <c r="C949" s="5" t="str">
        <f>TEXT(Table2[[#This Row],[Date]], "MMM")</f>
        <v>Dec</v>
      </c>
      <c r="D949" s="8">
        <f>MONTH(Table2[[#This Row],[Date]])</f>
        <v>12</v>
      </c>
      <c r="E949" s="8">
        <f>YEAR(Table2[[#This Row],[Date]])</f>
        <v>2023</v>
      </c>
      <c r="F949" s="7" t="s">
        <v>485</v>
      </c>
      <c r="G949" s="7" t="s">
        <v>13</v>
      </c>
      <c r="H949" s="8">
        <v>38</v>
      </c>
      <c r="I949" s="8" t="str">
        <f>IF(Table2[[#This Row],[Age]] &lt; 19, "Teenagers", IF(Table2[[#This Row],[Age]] &lt;= 34, "Young Adults", IF(Table2[[#This Row],[Age]] &lt;= 45, "Adults", IF(Table2[[#This Row],[Age]] &lt;= 55, "Seniors", "Elderly")) ))</f>
        <v>Adults</v>
      </c>
      <c r="J949" s="7" t="s">
        <v>11</v>
      </c>
      <c r="K949" s="8">
        <v>3</v>
      </c>
      <c r="L949" s="8" t="str">
        <f>IF(Table2[[#This Row],[Quantity]]=1, "Single Order", IF(Table2[[#This Row],[Quantity]]=2, "Small Order", IF(Table2[[#This Row],[Quantity]]=3, "Medium Order", "Bulk Order")))</f>
        <v>Medium Order</v>
      </c>
      <c r="M949" s="10">
        <v>300</v>
      </c>
      <c r="N949" s="10">
        <v>900</v>
      </c>
    </row>
    <row r="950" spans="1:14" x14ac:dyDescent="0.2">
      <c r="A950">
        <v>485</v>
      </c>
      <c r="B950" s="5">
        <v>45264</v>
      </c>
      <c r="C950" s="5" t="str">
        <f>TEXT(Table2[[#This Row],[Date]], "MMM")</f>
        <v>Dec</v>
      </c>
      <c r="D950" s="8">
        <f>MONTH(Table2[[#This Row],[Date]])</f>
        <v>12</v>
      </c>
      <c r="E950" s="8">
        <f>YEAR(Table2[[#This Row],[Date]])</f>
        <v>2023</v>
      </c>
      <c r="F950" s="7" t="s">
        <v>498</v>
      </c>
      <c r="G950" s="7" t="s">
        <v>10</v>
      </c>
      <c r="H950" s="8">
        <v>24</v>
      </c>
      <c r="I950" s="8" t="str">
        <f>IF(Table2[[#This Row],[Age]] &lt; 19, "Teenagers", IF(Table2[[#This Row],[Age]] &lt;= 34, "Young Adults", IF(Table2[[#This Row],[Age]] &lt;= 45, "Adults", IF(Table2[[#This Row],[Age]] &lt;= 55, "Seniors", "Elderly")) ))</f>
        <v>Young Adults</v>
      </c>
      <c r="J950" s="7" t="s">
        <v>16</v>
      </c>
      <c r="K950" s="8">
        <v>1</v>
      </c>
      <c r="L950" s="8" t="str">
        <f>IF(Table2[[#This Row],[Quantity]]=1, "Single Order", IF(Table2[[#This Row],[Quantity]]=2, "Small Order", IF(Table2[[#This Row],[Quantity]]=3, "Medium Order", "Bulk Order")))</f>
        <v>Single Order</v>
      </c>
      <c r="M950" s="10">
        <v>30</v>
      </c>
      <c r="N950" s="10">
        <v>30</v>
      </c>
    </row>
    <row r="951" spans="1:14" x14ac:dyDescent="0.2">
      <c r="A951">
        <v>496</v>
      </c>
      <c r="B951" s="5">
        <v>45274</v>
      </c>
      <c r="C951" s="5" t="str">
        <f>TEXT(Table2[[#This Row],[Date]], "MMM")</f>
        <v>Dec</v>
      </c>
      <c r="D951" s="8">
        <f>MONTH(Table2[[#This Row],[Date]])</f>
        <v>12</v>
      </c>
      <c r="E951" s="8">
        <f>YEAR(Table2[[#This Row],[Date]])</f>
        <v>2023</v>
      </c>
      <c r="F951" s="7" t="s">
        <v>509</v>
      </c>
      <c r="G951" s="7" t="s">
        <v>10</v>
      </c>
      <c r="H951" s="8">
        <v>23</v>
      </c>
      <c r="I951" s="8" t="str">
        <f>IF(Table2[[#This Row],[Age]] &lt; 19, "Teenagers", IF(Table2[[#This Row],[Age]] &lt;= 34, "Young Adults", IF(Table2[[#This Row],[Age]] &lt;= 45, "Adults", IF(Table2[[#This Row],[Age]] &lt;= 55, "Seniors", "Elderly")) ))</f>
        <v>Young Adults</v>
      </c>
      <c r="J951" s="7" t="s">
        <v>14</v>
      </c>
      <c r="K951" s="8">
        <v>2</v>
      </c>
      <c r="L951" s="8" t="str">
        <f>IF(Table2[[#This Row],[Quantity]]=1, "Single Order", IF(Table2[[#This Row],[Quantity]]=2, "Small Order", IF(Table2[[#This Row],[Quantity]]=3, "Medium Order", "Bulk Order")))</f>
        <v>Small Order</v>
      </c>
      <c r="M951" s="10">
        <v>300</v>
      </c>
      <c r="N951" s="10">
        <v>600</v>
      </c>
    </row>
    <row r="952" spans="1:14" x14ac:dyDescent="0.2">
      <c r="A952">
        <v>520</v>
      </c>
      <c r="B952" s="5">
        <v>45289</v>
      </c>
      <c r="C952" s="5" t="str">
        <f>TEXT(Table2[[#This Row],[Date]], "MMM")</f>
        <v>Dec</v>
      </c>
      <c r="D952" s="8">
        <f>MONTH(Table2[[#This Row],[Date]])</f>
        <v>12</v>
      </c>
      <c r="E952" s="8">
        <f>YEAR(Table2[[#This Row],[Date]])</f>
        <v>2023</v>
      </c>
      <c r="F952" s="7" t="s">
        <v>533</v>
      </c>
      <c r="G952" s="7" t="s">
        <v>13</v>
      </c>
      <c r="H952" s="8">
        <v>49</v>
      </c>
      <c r="I952" s="8" t="str">
        <f>IF(Table2[[#This Row],[Age]] &lt; 19, "Teenagers", IF(Table2[[#This Row],[Age]] &lt;= 34, "Young Adults", IF(Table2[[#This Row],[Age]] &lt;= 45, "Adults", IF(Table2[[#This Row],[Age]] &lt;= 55, "Seniors", "Elderly")) ))</f>
        <v>Seniors</v>
      </c>
      <c r="J952" s="7" t="s">
        <v>16</v>
      </c>
      <c r="K952" s="8">
        <v>4</v>
      </c>
      <c r="L952" s="8" t="str">
        <f>IF(Table2[[#This Row],[Quantity]]=1, "Single Order", IF(Table2[[#This Row],[Quantity]]=2, "Small Order", IF(Table2[[#This Row],[Quantity]]=3, "Medium Order", "Bulk Order")))</f>
        <v>Bulk Order</v>
      </c>
      <c r="M952" s="10">
        <v>25</v>
      </c>
      <c r="N952" s="10">
        <v>100</v>
      </c>
    </row>
    <row r="953" spans="1:14" x14ac:dyDescent="0.2">
      <c r="A953">
        <v>525</v>
      </c>
      <c r="B953" s="5">
        <v>45278</v>
      </c>
      <c r="C953" s="5" t="str">
        <f>TEXT(Table2[[#This Row],[Date]], "MMM")</f>
        <v>Dec</v>
      </c>
      <c r="D953" s="8">
        <f>MONTH(Table2[[#This Row],[Date]])</f>
        <v>12</v>
      </c>
      <c r="E953" s="8">
        <f>YEAR(Table2[[#This Row],[Date]])</f>
        <v>2023</v>
      </c>
      <c r="F953" s="7" t="s">
        <v>538</v>
      </c>
      <c r="G953" s="7" t="s">
        <v>13</v>
      </c>
      <c r="H953" s="8">
        <v>47</v>
      </c>
      <c r="I953" s="8" t="str">
        <f>IF(Table2[[#This Row],[Age]] &lt; 19, "Teenagers", IF(Table2[[#This Row],[Age]] &lt;= 34, "Young Adults", IF(Table2[[#This Row],[Age]] &lt;= 45, "Adults", IF(Table2[[#This Row],[Age]] &lt;= 55, "Seniors", "Elderly")) ))</f>
        <v>Seniors</v>
      </c>
      <c r="J953" s="7" t="s">
        <v>11</v>
      </c>
      <c r="K953" s="8">
        <v>2</v>
      </c>
      <c r="L953" s="8" t="str">
        <f>IF(Table2[[#This Row],[Quantity]]=1, "Single Order", IF(Table2[[#This Row],[Quantity]]=2, "Small Order", IF(Table2[[#This Row],[Quantity]]=3, "Medium Order", "Bulk Order")))</f>
        <v>Small Order</v>
      </c>
      <c r="M953" s="10">
        <v>25</v>
      </c>
      <c r="N953" s="10">
        <v>50</v>
      </c>
    </row>
    <row r="954" spans="1:14" x14ac:dyDescent="0.2">
      <c r="A954">
        <v>526</v>
      </c>
      <c r="B954" s="5">
        <v>45270</v>
      </c>
      <c r="C954" s="5" t="str">
        <f>TEXT(Table2[[#This Row],[Date]], "MMM")</f>
        <v>Dec</v>
      </c>
      <c r="D954" s="8">
        <f>MONTH(Table2[[#This Row],[Date]])</f>
        <v>12</v>
      </c>
      <c r="E954" s="8">
        <f>YEAR(Table2[[#This Row],[Date]])</f>
        <v>2023</v>
      </c>
      <c r="F954" s="7" t="s">
        <v>539</v>
      </c>
      <c r="G954" s="7" t="s">
        <v>10</v>
      </c>
      <c r="H954" s="8">
        <v>33</v>
      </c>
      <c r="I954" s="8" t="str">
        <f>IF(Table2[[#This Row],[Age]] &lt; 19, "Teenagers", IF(Table2[[#This Row],[Age]] &lt;= 34, "Young Adults", IF(Table2[[#This Row],[Age]] &lt;= 45, "Adults", IF(Table2[[#This Row],[Age]] &lt;= 55, "Seniors", "Elderly")) ))</f>
        <v>Young Adults</v>
      </c>
      <c r="J954" s="7" t="s">
        <v>14</v>
      </c>
      <c r="K954" s="8">
        <v>2</v>
      </c>
      <c r="L954" s="8" t="str">
        <f>IF(Table2[[#This Row],[Quantity]]=1, "Single Order", IF(Table2[[#This Row],[Quantity]]=2, "Small Order", IF(Table2[[#This Row],[Quantity]]=3, "Medium Order", "Bulk Order")))</f>
        <v>Small Order</v>
      </c>
      <c r="M954" s="10">
        <v>50</v>
      </c>
      <c r="N954" s="10">
        <v>100</v>
      </c>
    </row>
    <row r="955" spans="1:14" x14ac:dyDescent="0.2">
      <c r="A955">
        <v>531</v>
      </c>
      <c r="B955" s="5">
        <v>45267</v>
      </c>
      <c r="C955" s="5" t="str">
        <f>TEXT(Table2[[#This Row],[Date]], "MMM")</f>
        <v>Dec</v>
      </c>
      <c r="D955" s="8">
        <f>MONTH(Table2[[#This Row],[Date]])</f>
        <v>12</v>
      </c>
      <c r="E955" s="8">
        <f>YEAR(Table2[[#This Row],[Date]])</f>
        <v>2023</v>
      </c>
      <c r="F955" s="7" t="s">
        <v>544</v>
      </c>
      <c r="G955" s="7" t="s">
        <v>10</v>
      </c>
      <c r="H955" s="8">
        <v>31</v>
      </c>
      <c r="I955" s="8" t="str">
        <f>IF(Table2[[#This Row],[Age]] &lt; 19, "Teenagers", IF(Table2[[#This Row],[Age]] &lt;= 34, "Young Adults", IF(Table2[[#This Row],[Age]] &lt;= 45, "Adults", IF(Table2[[#This Row],[Age]] &lt;= 55, "Seniors", "Elderly")) ))</f>
        <v>Young Adults</v>
      </c>
      <c r="J955" s="7" t="s">
        <v>16</v>
      </c>
      <c r="K955" s="8">
        <v>1</v>
      </c>
      <c r="L955" s="8" t="str">
        <f>IF(Table2[[#This Row],[Quantity]]=1, "Single Order", IF(Table2[[#This Row],[Quantity]]=2, "Small Order", IF(Table2[[#This Row],[Quantity]]=3, "Medium Order", "Bulk Order")))</f>
        <v>Single Order</v>
      </c>
      <c r="M955" s="10">
        <v>500</v>
      </c>
      <c r="N955" s="10">
        <v>500</v>
      </c>
    </row>
    <row r="956" spans="1:14" x14ac:dyDescent="0.2">
      <c r="A956">
        <v>535</v>
      </c>
      <c r="B956" s="5">
        <v>45266</v>
      </c>
      <c r="C956" s="5" t="str">
        <f>TEXT(Table2[[#This Row],[Date]], "MMM")</f>
        <v>Dec</v>
      </c>
      <c r="D956" s="8">
        <f>MONTH(Table2[[#This Row],[Date]])</f>
        <v>12</v>
      </c>
      <c r="E956" s="8">
        <f>YEAR(Table2[[#This Row],[Date]])</f>
        <v>2023</v>
      </c>
      <c r="F956" s="7" t="s">
        <v>548</v>
      </c>
      <c r="G956" s="7" t="s">
        <v>10</v>
      </c>
      <c r="H956" s="8">
        <v>47</v>
      </c>
      <c r="I956" s="8" t="str">
        <f>IF(Table2[[#This Row],[Age]] &lt; 19, "Teenagers", IF(Table2[[#This Row],[Age]] &lt;= 34, "Young Adults", IF(Table2[[#This Row],[Age]] &lt;= 45, "Adults", IF(Table2[[#This Row],[Age]] &lt;= 55, "Seniors", "Elderly")) ))</f>
        <v>Seniors</v>
      </c>
      <c r="J956" s="7" t="s">
        <v>11</v>
      </c>
      <c r="K956" s="8">
        <v>3</v>
      </c>
      <c r="L956" s="8" t="str">
        <f>IF(Table2[[#This Row],[Quantity]]=1, "Single Order", IF(Table2[[#This Row],[Quantity]]=2, "Small Order", IF(Table2[[#This Row],[Quantity]]=3, "Medium Order", "Bulk Order")))</f>
        <v>Medium Order</v>
      </c>
      <c r="M956" s="10">
        <v>30</v>
      </c>
      <c r="N956" s="10">
        <v>90</v>
      </c>
    </row>
    <row r="957" spans="1:14" x14ac:dyDescent="0.2">
      <c r="A957">
        <v>540</v>
      </c>
      <c r="B957" s="5">
        <v>45268</v>
      </c>
      <c r="C957" s="5" t="str">
        <f>TEXT(Table2[[#This Row],[Date]], "MMM")</f>
        <v>Dec</v>
      </c>
      <c r="D957" s="8">
        <f>MONTH(Table2[[#This Row],[Date]])</f>
        <v>12</v>
      </c>
      <c r="E957" s="8">
        <f>YEAR(Table2[[#This Row],[Date]])</f>
        <v>2023</v>
      </c>
      <c r="F957" s="7" t="s">
        <v>553</v>
      </c>
      <c r="G957" s="7" t="s">
        <v>13</v>
      </c>
      <c r="H957" s="8">
        <v>46</v>
      </c>
      <c r="I957" s="8" t="str">
        <f>IF(Table2[[#This Row],[Age]] &lt; 19, "Teenagers", IF(Table2[[#This Row],[Age]] &lt;= 34, "Young Adults", IF(Table2[[#This Row],[Age]] &lt;= 45, "Adults", IF(Table2[[#This Row],[Age]] &lt;= 55, "Seniors", "Elderly")) ))</f>
        <v>Seniors</v>
      </c>
      <c r="J957" s="7" t="s">
        <v>16</v>
      </c>
      <c r="K957" s="8">
        <v>3</v>
      </c>
      <c r="L957" s="8" t="str">
        <f>IF(Table2[[#This Row],[Quantity]]=1, "Single Order", IF(Table2[[#This Row],[Quantity]]=2, "Small Order", IF(Table2[[#This Row],[Quantity]]=3, "Medium Order", "Bulk Order")))</f>
        <v>Medium Order</v>
      </c>
      <c r="M957" s="10">
        <v>300</v>
      </c>
      <c r="N957" s="10">
        <v>900</v>
      </c>
    </row>
    <row r="958" spans="1:14" x14ac:dyDescent="0.2">
      <c r="A958">
        <v>544</v>
      </c>
      <c r="B958" s="5">
        <v>45283</v>
      </c>
      <c r="C958" s="5" t="str">
        <f>TEXT(Table2[[#This Row],[Date]], "MMM")</f>
        <v>Dec</v>
      </c>
      <c r="D958" s="8">
        <f>MONTH(Table2[[#This Row],[Date]])</f>
        <v>12</v>
      </c>
      <c r="E958" s="8">
        <f>YEAR(Table2[[#This Row],[Date]])</f>
        <v>2023</v>
      </c>
      <c r="F958" s="7" t="s">
        <v>557</v>
      </c>
      <c r="G958" s="7" t="s">
        <v>13</v>
      </c>
      <c r="H958" s="8">
        <v>27</v>
      </c>
      <c r="I958" s="8" t="str">
        <f>IF(Table2[[#This Row],[Age]] &lt; 19, "Teenagers", IF(Table2[[#This Row],[Age]] &lt;= 34, "Young Adults", IF(Table2[[#This Row],[Age]] &lt;= 45, "Adults", IF(Table2[[#This Row],[Age]] &lt;= 55, "Seniors", "Elderly")) ))</f>
        <v>Young Adults</v>
      </c>
      <c r="J958" s="7" t="s">
        <v>16</v>
      </c>
      <c r="K958" s="8">
        <v>1</v>
      </c>
      <c r="L958" s="8" t="str">
        <f>IF(Table2[[#This Row],[Quantity]]=1, "Single Order", IF(Table2[[#This Row],[Quantity]]=2, "Small Order", IF(Table2[[#This Row],[Quantity]]=3, "Medium Order", "Bulk Order")))</f>
        <v>Single Order</v>
      </c>
      <c r="M958" s="10">
        <v>25</v>
      </c>
      <c r="N958" s="10">
        <v>25</v>
      </c>
    </row>
    <row r="959" spans="1:14" x14ac:dyDescent="0.2">
      <c r="A959">
        <v>550</v>
      </c>
      <c r="B959" s="5">
        <v>45267</v>
      </c>
      <c r="C959" s="5" t="str">
        <f>TEXT(Table2[[#This Row],[Date]], "MMM")</f>
        <v>Dec</v>
      </c>
      <c r="D959" s="8">
        <f>MONTH(Table2[[#This Row],[Date]])</f>
        <v>12</v>
      </c>
      <c r="E959" s="8">
        <f>YEAR(Table2[[#This Row],[Date]])</f>
        <v>2023</v>
      </c>
      <c r="F959" s="7" t="s">
        <v>563</v>
      </c>
      <c r="G959" s="7" t="s">
        <v>10</v>
      </c>
      <c r="H959" s="8">
        <v>40</v>
      </c>
      <c r="I959" s="8" t="str">
        <f>IF(Table2[[#This Row],[Age]] &lt; 19, "Teenagers", IF(Table2[[#This Row],[Age]] &lt;= 34, "Young Adults", IF(Table2[[#This Row],[Age]] &lt;= 45, "Adults", IF(Table2[[#This Row],[Age]] &lt;= 55, "Seniors", "Elderly")) ))</f>
        <v>Adults</v>
      </c>
      <c r="J959" s="7" t="s">
        <v>14</v>
      </c>
      <c r="K959" s="8">
        <v>3</v>
      </c>
      <c r="L959" s="8" t="str">
        <f>IF(Table2[[#This Row],[Quantity]]=1, "Single Order", IF(Table2[[#This Row],[Quantity]]=2, "Small Order", IF(Table2[[#This Row],[Quantity]]=3, "Medium Order", "Bulk Order")))</f>
        <v>Medium Order</v>
      </c>
      <c r="M959" s="10">
        <v>300</v>
      </c>
      <c r="N959" s="10">
        <v>900</v>
      </c>
    </row>
    <row r="960" spans="1:14" x14ac:dyDescent="0.2">
      <c r="A960">
        <v>552</v>
      </c>
      <c r="B960" s="5">
        <v>45273</v>
      </c>
      <c r="C960" s="5" t="str">
        <f>TEXT(Table2[[#This Row],[Date]], "MMM")</f>
        <v>Dec</v>
      </c>
      <c r="D960" s="8">
        <f>MONTH(Table2[[#This Row],[Date]])</f>
        <v>12</v>
      </c>
      <c r="E960" s="8">
        <f>YEAR(Table2[[#This Row],[Date]])</f>
        <v>2023</v>
      </c>
      <c r="F960" s="7" t="s">
        <v>565</v>
      </c>
      <c r="G960" s="7" t="s">
        <v>13</v>
      </c>
      <c r="H960" s="8">
        <v>49</v>
      </c>
      <c r="I960" s="8" t="str">
        <f>IF(Table2[[#This Row],[Age]] &lt; 19, "Teenagers", IF(Table2[[#This Row],[Age]] &lt;= 34, "Young Adults", IF(Table2[[#This Row],[Age]] &lt;= 45, "Adults", IF(Table2[[#This Row],[Age]] &lt;= 55, "Seniors", "Elderly")) ))</f>
        <v>Seniors</v>
      </c>
      <c r="J960" s="7" t="s">
        <v>16</v>
      </c>
      <c r="K960" s="8">
        <v>3</v>
      </c>
      <c r="L960" s="8" t="str">
        <f>IF(Table2[[#This Row],[Quantity]]=1, "Single Order", IF(Table2[[#This Row],[Quantity]]=2, "Small Order", IF(Table2[[#This Row],[Quantity]]=3, "Medium Order", "Bulk Order")))</f>
        <v>Medium Order</v>
      </c>
      <c r="M960" s="10">
        <v>25</v>
      </c>
      <c r="N960" s="10">
        <v>75</v>
      </c>
    </row>
    <row r="961" spans="1:14" x14ac:dyDescent="0.2">
      <c r="A961">
        <v>566</v>
      </c>
      <c r="B961" s="5">
        <v>45262</v>
      </c>
      <c r="C961" s="5" t="str">
        <f>TEXT(Table2[[#This Row],[Date]], "MMM")</f>
        <v>Dec</v>
      </c>
      <c r="D961" s="8">
        <f>MONTH(Table2[[#This Row],[Date]])</f>
        <v>12</v>
      </c>
      <c r="E961" s="8">
        <f>YEAR(Table2[[#This Row],[Date]])</f>
        <v>2023</v>
      </c>
      <c r="F961" s="7" t="s">
        <v>579</v>
      </c>
      <c r="G961" s="7" t="s">
        <v>13</v>
      </c>
      <c r="H961" s="8">
        <v>64</v>
      </c>
      <c r="I961" s="8" t="str">
        <f>IF(Table2[[#This Row],[Age]] &lt; 19, "Teenagers", IF(Table2[[#This Row],[Age]] &lt;= 34, "Young Adults", IF(Table2[[#This Row],[Age]] &lt;= 45, "Adults", IF(Table2[[#This Row],[Age]] &lt;= 55, "Seniors", "Elderly")) ))</f>
        <v>Elderly</v>
      </c>
      <c r="J961" s="7" t="s">
        <v>14</v>
      </c>
      <c r="K961" s="8">
        <v>1</v>
      </c>
      <c r="L961" s="8" t="str">
        <f>IF(Table2[[#This Row],[Quantity]]=1, "Single Order", IF(Table2[[#This Row],[Quantity]]=2, "Small Order", IF(Table2[[#This Row],[Quantity]]=3, "Medium Order", "Bulk Order")))</f>
        <v>Single Order</v>
      </c>
      <c r="M961" s="10">
        <v>30</v>
      </c>
      <c r="N961" s="10">
        <v>30</v>
      </c>
    </row>
    <row r="962" spans="1:14" x14ac:dyDescent="0.2">
      <c r="A962">
        <v>571</v>
      </c>
      <c r="B962" s="5">
        <v>45272</v>
      </c>
      <c r="C962" s="5" t="str">
        <f>TEXT(Table2[[#This Row],[Date]], "MMM")</f>
        <v>Dec</v>
      </c>
      <c r="D962" s="8">
        <f>MONTH(Table2[[#This Row],[Date]])</f>
        <v>12</v>
      </c>
      <c r="E962" s="8">
        <f>YEAR(Table2[[#This Row],[Date]])</f>
        <v>2023</v>
      </c>
      <c r="F962" s="7" t="s">
        <v>584</v>
      </c>
      <c r="G962" s="7" t="s">
        <v>13</v>
      </c>
      <c r="H962" s="8">
        <v>41</v>
      </c>
      <c r="I962" s="8" t="str">
        <f>IF(Table2[[#This Row],[Age]] &lt; 19, "Teenagers", IF(Table2[[#This Row],[Age]] &lt;= 34, "Young Adults", IF(Table2[[#This Row],[Age]] &lt;= 45, "Adults", IF(Table2[[#This Row],[Age]] &lt;= 55, "Seniors", "Elderly")) ))</f>
        <v>Adults</v>
      </c>
      <c r="J962" s="7" t="s">
        <v>16</v>
      </c>
      <c r="K962" s="8">
        <v>1</v>
      </c>
      <c r="L962" s="8" t="str">
        <f>IF(Table2[[#This Row],[Quantity]]=1, "Single Order", IF(Table2[[#This Row],[Quantity]]=2, "Small Order", IF(Table2[[#This Row],[Quantity]]=3, "Medium Order", "Bulk Order")))</f>
        <v>Single Order</v>
      </c>
      <c r="M962" s="10">
        <v>50</v>
      </c>
      <c r="N962" s="10">
        <v>50</v>
      </c>
    </row>
    <row r="963" spans="1:14" x14ac:dyDescent="0.2">
      <c r="A963">
        <v>576</v>
      </c>
      <c r="B963" s="5">
        <v>45264</v>
      </c>
      <c r="C963" s="5" t="str">
        <f>TEXT(Table2[[#This Row],[Date]], "MMM")</f>
        <v>Dec</v>
      </c>
      <c r="D963" s="8">
        <f>MONTH(Table2[[#This Row],[Date]])</f>
        <v>12</v>
      </c>
      <c r="E963" s="8">
        <f>YEAR(Table2[[#This Row],[Date]])</f>
        <v>2023</v>
      </c>
      <c r="F963" s="7" t="s">
        <v>589</v>
      </c>
      <c r="G963" s="7" t="s">
        <v>13</v>
      </c>
      <c r="H963" s="8">
        <v>33</v>
      </c>
      <c r="I963" s="8" t="str">
        <f>IF(Table2[[#This Row],[Age]] &lt; 19, "Teenagers", IF(Table2[[#This Row],[Age]] &lt;= 34, "Young Adults", IF(Table2[[#This Row],[Age]] &lt;= 45, "Adults", IF(Table2[[#This Row],[Age]] &lt;= 55, "Seniors", "Elderly")) ))</f>
        <v>Young Adults</v>
      </c>
      <c r="J963" s="7" t="s">
        <v>11</v>
      </c>
      <c r="K963" s="8">
        <v>3</v>
      </c>
      <c r="L963" s="8" t="str">
        <f>IF(Table2[[#This Row],[Quantity]]=1, "Single Order", IF(Table2[[#This Row],[Quantity]]=2, "Small Order", IF(Table2[[#This Row],[Quantity]]=3, "Medium Order", "Bulk Order")))</f>
        <v>Medium Order</v>
      </c>
      <c r="M963" s="10">
        <v>50</v>
      </c>
      <c r="N963" s="10">
        <v>150</v>
      </c>
    </row>
    <row r="964" spans="1:14" x14ac:dyDescent="0.2">
      <c r="A964">
        <v>580</v>
      </c>
      <c r="B964" s="5">
        <v>45266</v>
      </c>
      <c r="C964" s="5" t="str">
        <f>TEXT(Table2[[#This Row],[Date]], "MMM")</f>
        <v>Dec</v>
      </c>
      <c r="D964" s="8">
        <f>MONTH(Table2[[#This Row],[Date]])</f>
        <v>12</v>
      </c>
      <c r="E964" s="8">
        <f>YEAR(Table2[[#This Row],[Date]])</f>
        <v>2023</v>
      </c>
      <c r="F964" s="7" t="s">
        <v>593</v>
      </c>
      <c r="G964" s="7" t="s">
        <v>13</v>
      </c>
      <c r="H964" s="8">
        <v>31</v>
      </c>
      <c r="I964" s="8" t="str">
        <f>IF(Table2[[#This Row],[Age]] &lt; 19, "Teenagers", IF(Table2[[#This Row],[Age]] &lt;= 34, "Young Adults", IF(Table2[[#This Row],[Age]] &lt;= 45, "Adults", IF(Table2[[#This Row],[Age]] &lt;= 55, "Seniors", "Elderly")) ))</f>
        <v>Young Adults</v>
      </c>
      <c r="J964" s="7" t="s">
        <v>14</v>
      </c>
      <c r="K964" s="8">
        <v>3</v>
      </c>
      <c r="L964" s="8" t="str">
        <f>IF(Table2[[#This Row],[Quantity]]=1, "Single Order", IF(Table2[[#This Row],[Quantity]]=2, "Small Order", IF(Table2[[#This Row],[Quantity]]=3, "Medium Order", "Bulk Order")))</f>
        <v>Medium Order</v>
      </c>
      <c r="M964" s="10">
        <v>500</v>
      </c>
      <c r="N964" s="10">
        <v>1500</v>
      </c>
    </row>
    <row r="965" spans="1:14" x14ac:dyDescent="0.2">
      <c r="A965">
        <v>586</v>
      </c>
      <c r="B965" s="5">
        <v>45271</v>
      </c>
      <c r="C965" s="5" t="str">
        <f>TEXT(Table2[[#This Row],[Date]], "MMM")</f>
        <v>Dec</v>
      </c>
      <c r="D965" s="8">
        <f>MONTH(Table2[[#This Row],[Date]])</f>
        <v>12</v>
      </c>
      <c r="E965" s="8">
        <f>YEAR(Table2[[#This Row],[Date]])</f>
        <v>2023</v>
      </c>
      <c r="F965" s="7" t="s">
        <v>599</v>
      </c>
      <c r="G965" s="7" t="s">
        <v>10</v>
      </c>
      <c r="H965" s="8">
        <v>50</v>
      </c>
      <c r="I965" s="8" t="str">
        <f>IF(Table2[[#This Row],[Age]] &lt; 19, "Teenagers", IF(Table2[[#This Row],[Age]] &lt;= 34, "Young Adults", IF(Table2[[#This Row],[Age]] &lt;= 45, "Adults", IF(Table2[[#This Row],[Age]] &lt;= 55, "Seniors", "Elderly")) ))</f>
        <v>Seniors</v>
      </c>
      <c r="J965" s="7" t="s">
        <v>16</v>
      </c>
      <c r="K965" s="8">
        <v>1</v>
      </c>
      <c r="L965" s="8" t="str">
        <f>IF(Table2[[#This Row],[Quantity]]=1, "Single Order", IF(Table2[[#This Row],[Quantity]]=2, "Small Order", IF(Table2[[#This Row],[Quantity]]=3, "Medium Order", "Bulk Order")))</f>
        <v>Single Order</v>
      </c>
      <c r="M965" s="10">
        <v>50</v>
      </c>
      <c r="N965" s="10">
        <v>50</v>
      </c>
    </row>
    <row r="966" spans="1:14" x14ac:dyDescent="0.2">
      <c r="A966">
        <v>602</v>
      </c>
      <c r="B966" s="5">
        <v>45283</v>
      </c>
      <c r="C966" s="5" t="str">
        <f>TEXT(Table2[[#This Row],[Date]], "MMM")</f>
        <v>Dec</v>
      </c>
      <c r="D966" s="8">
        <f>MONTH(Table2[[#This Row],[Date]])</f>
        <v>12</v>
      </c>
      <c r="E966" s="8">
        <f>YEAR(Table2[[#This Row],[Date]])</f>
        <v>2023</v>
      </c>
      <c r="F966" s="7" t="s">
        <v>615</v>
      </c>
      <c r="G966" s="7" t="s">
        <v>13</v>
      </c>
      <c r="H966" s="8">
        <v>20</v>
      </c>
      <c r="I966" s="8" t="str">
        <f>IF(Table2[[#This Row],[Age]] &lt; 19, "Teenagers", IF(Table2[[#This Row],[Age]] &lt;= 34, "Young Adults", IF(Table2[[#This Row],[Age]] &lt;= 45, "Adults", IF(Table2[[#This Row],[Age]] &lt;= 55, "Seniors", "Elderly")) ))</f>
        <v>Young Adults</v>
      </c>
      <c r="J966" s="7" t="s">
        <v>16</v>
      </c>
      <c r="K966" s="8">
        <v>1</v>
      </c>
      <c r="L966" s="8" t="str">
        <f>IF(Table2[[#This Row],[Quantity]]=1, "Single Order", IF(Table2[[#This Row],[Quantity]]=2, "Small Order", IF(Table2[[#This Row],[Quantity]]=3, "Medium Order", "Bulk Order")))</f>
        <v>Single Order</v>
      </c>
      <c r="M966" s="10">
        <v>300</v>
      </c>
      <c r="N966" s="10">
        <v>300</v>
      </c>
    </row>
    <row r="967" spans="1:14" x14ac:dyDescent="0.2">
      <c r="A967">
        <v>608</v>
      </c>
      <c r="B967" s="5">
        <v>45262</v>
      </c>
      <c r="C967" s="5" t="str">
        <f>TEXT(Table2[[#This Row],[Date]], "MMM")</f>
        <v>Dec</v>
      </c>
      <c r="D967" s="8">
        <f>MONTH(Table2[[#This Row],[Date]])</f>
        <v>12</v>
      </c>
      <c r="E967" s="8">
        <f>YEAR(Table2[[#This Row],[Date]])</f>
        <v>2023</v>
      </c>
      <c r="F967" s="7" t="s">
        <v>621</v>
      </c>
      <c r="G967" s="7" t="s">
        <v>13</v>
      </c>
      <c r="H967" s="8">
        <v>55</v>
      </c>
      <c r="I967" s="8" t="str">
        <f>IF(Table2[[#This Row],[Age]] &lt; 19, "Teenagers", IF(Table2[[#This Row],[Age]] &lt;= 34, "Young Adults", IF(Table2[[#This Row],[Age]] &lt;= 45, "Adults", IF(Table2[[#This Row],[Age]] &lt;= 55, "Seniors", "Elderly")) ))</f>
        <v>Seniors</v>
      </c>
      <c r="J967" s="7" t="s">
        <v>16</v>
      </c>
      <c r="K967" s="8">
        <v>3</v>
      </c>
      <c r="L967" s="8" t="str">
        <f>IF(Table2[[#This Row],[Quantity]]=1, "Single Order", IF(Table2[[#This Row],[Quantity]]=2, "Small Order", IF(Table2[[#This Row],[Quantity]]=3, "Medium Order", "Bulk Order")))</f>
        <v>Medium Order</v>
      </c>
      <c r="M967" s="10">
        <v>500</v>
      </c>
      <c r="N967" s="10">
        <v>1500</v>
      </c>
    </row>
    <row r="968" spans="1:14" x14ac:dyDescent="0.2">
      <c r="A968">
        <v>609</v>
      </c>
      <c r="B968" s="5">
        <v>45279</v>
      </c>
      <c r="C968" s="5" t="str">
        <f>TEXT(Table2[[#This Row],[Date]], "MMM")</f>
        <v>Dec</v>
      </c>
      <c r="D968" s="8">
        <f>MONTH(Table2[[#This Row],[Date]])</f>
        <v>12</v>
      </c>
      <c r="E968" s="8">
        <f>YEAR(Table2[[#This Row],[Date]])</f>
        <v>2023</v>
      </c>
      <c r="F968" s="7" t="s">
        <v>622</v>
      </c>
      <c r="G968" s="7" t="s">
        <v>13</v>
      </c>
      <c r="H968" s="8">
        <v>47</v>
      </c>
      <c r="I968" s="8" t="str">
        <f>IF(Table2[[#This Row],[Age]] &lt; 19, "Teenagers", IF(Table2[[#This Row],[Age]] &lt;= 34, "Young Adults", IF(Table2[[#This Row],[Age]] &lt;= 45, "Adults", IF(Table2[[#This Row],[Age]] &lt;= 55, "Seniors", "Elderly")) ))</f>
        <v>Seniors</v>
      </c>
      <c r="J968" s="7" t="s">
        <v>14</v>
      </c>
      <c r="K968" s="8">
        <v>2</v>
      </c>
      <c r="L968" s="8" t="str">
        <f>IF(Table2[[#This Row],[Quantity]]=1, "Single Order", IF(Table2[[#This Row],[Quantity]]=2, "Small Order", IF(Table2[[#This Row],[Quantity]]=3, "Medium Order", "Bulk Order")))</f>
        <v>Small Order</v>
      </c>
      <c r="M968" s="10">
        <v>50</v>
      </c>
      <c r="N968" s="10">
        <v>100</v>
      </c>
    </row>
    <row r="969" spans="1:14" x14ac:dyDescent="0.2">
      <c r="A969">
        <v>615</v>
      </c>
      <c r="B969" s="5">
        <v>45283</v>
      </c>
      <c r="C969" s="5" t="str">
        <f>TEXT(Table2[[#This Row],[Date]], "MMM")</f>
        <v>Dec</v>
      </c>
      <c r="D969" s="8">
        <f>MONTH(Table2[[#This Row],[Date]])</f>
        <v>12</v>
      </c>
      <c r="E969" s="8">
        <f>YEAR(Table2[[#This Row],[Date]])</f>
        <v>2023</v>
      </c>
      <c r="F969" s="7" t="s">
        <v>628</v>
      </c>
      <c r="G969" s="7" t="s">
        <v>13</v>
      </c>
      <c r="H969" s="8">
        <v>61</v>
      </c>
      <c r="I969" s="8" t="str">
        <f>IF(Table2[[#This Row],[Age]] &lt; 19, "Teenagers", IF(Table2[[#This Row],[Age]] &lt;= 34, "Young Adults", IF(Table2[[#This Row],[Age]] &lt;= 45, "Adults", IF(Table2[[#This Row],[Age]] &lt;= 55, "Seniors", "Elderly")) ))</f>
        <v>Elderly</v>
      </c>
      <c r="J969" s="7" t="s">
        <v>14</v>
      </c>
      <c r="K969" s="8">
        <v>4</v>
      </c>
      <c r="L969" s="8" t="str">
        <f>IF(Table2[[#This Row],[Quantity]]=1, "Single Order", IF(Table2[[#This Row],[Quantity]]=2, "Small Order", IF(Table2[[#This Row],[Quantity]]=3, "Medium Order", "Bulk Order")))</f>
        <v>Bulk Order</v>
      </c>
      <c r="M969" s="10">
        <v>25</v>
      </c>
      <c r="N969" s="10">
        <v>100</v>
      </c>
    </row>
    <row r="970" spans="1:14" x14ac:dyDescent="0.2">
      <c r="A970">
        <v>625</v>
      </c>
      <c r="B970" s="5">
        <v>45268</v>
      </c>
      <c r="C970" s="5" t="str">
        <f>TEXT(Table2[[#This Row],[Date]], "MMM")</f>
        <v>Dec</v>
      </c>
      <c r="D970" s="8">
        <f>MONTH(Table2[[#This Row],[Date]])</f>
        <v>12</v>
      </c>
      <c r="E970" s="8">
        <f>YEAR(Table2[[#This Row],[Date]])</f>
        <v>2023</v>
      </c>
      <c r="F970" s="7" t="s">
        <v>638</v>
      </c>
      <c r="G970" s="7" t="s">
        <v>10</v>
      </c>
      <c r="H970" s="8">
        <v>31</v>
      </c>
      <c r="I970" s="8" t="str">
        <f>IF(Table2[[#This Row],[Age]] &lt; 19, "Teenagers", IF(Table2[[#This Row],[Age]] &lt;= 34, "Young Adults", IF(Table2[[#This Row],[Age]] &lt;= 45, "Adults", IF(Table2[[#This Row],[Age]] &lt;= 55, "Seniors", "Elderly")) ))</f>
        <v>Young Adults</v>
      </c>
      <c r="J970" s="7" t="s">
        <v>14</v>
      </c>
      <c r="K970" s="8">
        <v>1</v>
      </c>
      <c r="L970" s="8" t="str">
        <f>IF(Table2[[#This Row],[Quantity]]=1, "Single Order", IF(Table2[[#This Row],[Quantity]]=2, "Small Order", IF(Table2[[#This Row],[Quantity]]=3, "Medium Order", "Bulk Order")))</f>
        <v>Single Order</v>
      </c>
      <c r="M970" s="10">
        <v>300</v>
      </c>
      <c r="N970" s="10">
        <v>300</v>
      </c>
    </row>
    <row r="971" spans="1:14" x14ac:dyDescent="0.2">
      <c r="A971">
        <v>662</v>
      </c>
      <c r="B971" s="5">
        <v>45282</v>
      </c>
      <c r="C971" s="5" t="str">
        <f>TEXT(Table2[[#This Row],[Date]], "MMM")</f>
        <v>Dec</v>
      </c>
      <c r="D971" s="8">
        <f>MONTH(Table2[[#This Row],[Date]])</f>
        <v>12</v>
      </c>
      <c r="E971" s="8">
        <f>YEAR(Table2[[#This Row],[Date]])</f>
        <v>2023</v>
      </c>
      <c r="F971" s="7" t="s">
        <v>675</v>
      </c>
      <c r="G971" s="7" t="s">
        <v>10</v>
      </c>
      <c r="H971" s="8">
        <v>48</v>
      </c>
      <c r="I971" s="8" t="str">
        <f>IF(Table2[[#This Row],[Age]] &lt; 19, "Teenagers", IF(Table2[[#This Row],[Age]] &lt;= 34, "Young Adults", IF(Table2[[#This Row],[Age]] &lt;= 45, "Adults", IF(Table2[[#This Row],[Age]] &lt;= 55, "Seniors", "Elderly")) ))</f>
        <v>Seniors</v>
      </c>
      <c r="J971" s="7" t="s">
        <v>11</v>
      </c>
      <c r="K971" s="8">
        <v>2</v>
      </c>
      <c r="L971" s="8" t="str">
        <f>IF(Table2[[#This Row],[Quantity]]=1, "Single Order", IF(Table2[[#This Row],[Quantity]]=2, "Small Order", IF(Table2[[#This Row],[Quantity]]=3, "Medium Order", "Bulk Order")))</f>
        <v>Small Order</v>
      </c>
      <c r="M971" s="10">
        <v>500</v>
      </c>
      <c r="N971" s="10">
        <v>1000</v>
      </c>
    </row>
    <row r="972" spans="1:14" x14ac:dyDescent="0.2">
      <c r="A972">
        <v>664</v>
      </c>
      <c r="B972" s="5">
        <v>45288</v>
      </c>
      <c r="C972" s="5" t="str">
        <f>TEXT(Table2[[#This Row],[Date]], "MMM")</f>
        <v>Dec</v>
      </c>
      <c r="D972" s="8">
        <f>MONTH(Table2[[#This Row],[Date]])</f>
        <v>12</v>
      </c>
      <c r="E972" s="8">
        <f>YEAR(Table2[[#This Row],[Date]])</f>
        <v>2023</v>
      </c>
      <c r="F972" s="7" t="s">
        <v>677</v>
      </c>
      <c r="G972" s="7" t="s">
        <v>13</v>
      </c>
      <c r="H972" s="8">
        <v>44</v>
      </c>
      <c r="I972" s="8" t="str">
        <f>IF(Table2[[#This Row],[Age]] &lt; 19, "Teenagers", IF(Table2[[#This Row],[Age]] &lt;= 34, "Young Adults", IF(Table2[[#This Row],[Age]] &lt;= 45, "Adults", IF(Table2[[#This Row],[Age]] &lt;= 55, "Seniors", "Elderly")) ))</f>
        <v>Adults</v>
      </c>
      <c r="J972" s="7" t="s">
        <v>14</v>
      </c>
      <c r="K972" s="8">
        <v>4</v>
      </c>
      <c r="L972" s="8" t="str">
        <f>IF(Table2[[#This Row],[Quantity]]=1, "Single Order", IF(Table2[[#This Row],[Quantity]]=2, "Small Order", IF(Table2[[#This Row],[Quantity]]=3, "Medium Order", "Bulk Order")))</f>
        <v>Bulk Order</v>
      </c>
      <c r="M972" s="10">
        <v>500</v>
      </c>
      <c r="N972" s="10">
        <v>2000</v>
      </c>
    </row>
    <row r="973" spans="1:14" x14ac:dyDescent="0.2">
      <c r="A973">
        <v>678</v>
      </c>
      <c r="B973" s="5">
        <v>45283</v>
      </c>
      <c r="C973" s="5" t="str">
        <f>TEXT(Table2[[#This Row],[Date]], "MMM")</f>
        <v>Dec</v>
      </c>
      <c r="D973" s="8">
        <f>MONTH(Table2[[#This Row],[Date]])</f>
        <v>12</v>
      </c>
      <c r="E973" s="8">
        <f>YEAR(Table2[[#This Row],[Date]])</f>
        <v>2023</v>
      </c>
      <c r="F973" s="7" t="s">
        <v>691</v>
      </c>
      <c r="G973" s="7" t="s">
        <v>13</v>
      </c>
      <c r="H973" s="8">
        <v>60</v>
      </c>
      <c r="I973" s="8" t="str">
        <f>IF(Table2[[#This Row],[Age]] &lt; 19, "Teenagers", IF(Table2[[#This Row],[Age]] &lt;= 34, "Young Adults", IF(Table2[[#This Row],[Age]] &lt;= 45, "Adults", IF(Table2[[#This Row],[Age]] &lt;= 55, "Seniors", "Elderly")) ))</f>
        <v>Elderly</v>
      </c>
      <c r="J973" s="7" t="s">
        <v>16</v>
      </c>
      <c r="K973" s="8">
        <v>3</v>
      </c>
      <c r="L973" s="8" t="str">
        <f>IF(Table2[[#This Row],[Quantity]]=1, "Single Order", IF(Table2[[#This Row],[Quantity]]=2, "Small Order", IF(Table2[[#This Row],[Quantity]]=3, "Medium Order", "Bulk Order")))</f>
        <v>Medium Order</v>
      </c>
      <c r="M973" s="10">
        <v>300</v>
      </c>
      <c r="N973" s="10">
        <v>900</v>
      </c>
    </row>
    <row r="974" spans="1:14" x14ac:dyDescent="0.2">
      <c r="A974">
        <v>700</v>
      </c>
      <c r="B974" s="5">
        <v>45269</v>
      </c>
      <c r="C974" s="5" t="str">
        <f>TEXT(Table2[[#This Row],[Date]], "MMM")</f>
        <v>Dec</v>
      </c>
      <c r="D974" s="8">
        <f>MONTH(Table2[[#This Row],[Date]])</f>
        <v>12</v>
      </c>
      <c r="E974" s="8">
        <f>YEAR(Table2[[#This Row],[Date]])</f>
        <v>2023</v>
      </c>
      <c r="F974" s="7" t="s">
        <v>713</v>
      </c>
      <c r="G974" s="7" t="s">
        <v>10</v>
      </c>
      <c r="H974" s="8">
        <v>36</v>
      </c>
      <c r="I974" s="8" t="str">
        <f>IF(Table2[[#This Row],[Age]] &lt; 19, "Teenagers", IF(Table2[[#This Row],[Age]] &lt;= 34, "Young Adults", IF(Table2[[#This Row],[Age]] &lt;= 45, "Adults", IF(Table2[[#This Row],[Age]] &lt;= 55, "Seniors", "Elderly")) ))</f>
        <v>Adults</v>
      </c>
      <c r="J974" s="7" t="s">
        <v>16</v>
      </c>
      <c r="K974" s="8">
        <v>4</v>
      </c>
      <c r="L974" s="8" t="str">
        <f>IF(Table2[[#This Row],[Quantity]]=1, "Single Order", IF(Table2[[#This Row],[Quantity]]=2, "Small Order", IF(Table2[[#This Row],[Quantity]]=3, "Medium Order", "Bulk Order")))</f>
        <v>Bulk Order</v>
      </c>
      <c r="M974" s="10">
        <v>500</v>
      </c>
      <c r="N974" s="10">
        <v>2000</v>
      </c>
    </row>
    <row r="975" spans="1:14" x14ac:dyDescent="0.2">
      <c r="A975">
        <v>701</v>
      </c>
      <c r="B975" s="5">
        <v>45274</v>
      </c>
      <c r="C975" s="5" t="str">
        <f>TEXT(Table2[[#This Row],[Date]], "MMM")</f>
        <v>Dec</v>
      </c>
      <c r="D975" s="8">
        <f>MONTH(Table2[[#This Row],[Date]])</f>
        <v>12</v>
      </c>
      <c r="E975" s="8">
        <f>YEAR(Table2[[#This Row],[Date]])</f>
        <v>2023</v>
      </c>
      <c r="F975" s="7" t="s">
        <v>714</v>
      </c>
      <c r="G975" s="7" t="s">
        <v>13</v>
      </c>
      <c r="H975" s="8">
        <v>52</v>
      </c>
      <c r="I975" s="8" t="str">
        <f>IF(Table2[[#This Row],[Age]] &lt; 19, "Teenagers", IF(Table2[[#This Row],[Age]] &lt;= 34, "Young Adults", IF(Table2[[#This Row],[Age]] &lt;= 45, "Adults", IF(Table2[[#This Row],[Age]] &lt;= 55, "Seniors", "Elderly")) ))</f>
        <v>Seniors</v>
      </c>
      <c r="J975" s="7" t="s">
        <v>11</v>
      </c>
      <c r="K975" s="8">
        <v>2</v>
      </c>
      <c r="L975" s="8" t="str">
        <f>IF(Table2[[#This Row],[Quantity]]=1, "Single Order", IF(Table2[[#This Row],[Quantity]]=2, "Small Order", IF(Table2[[#This Row],[Quantity]]=3, "Medium Order", "Bulk Order")))</f>
        <v>Small Order</v>
      </c>
      <c r="M975" s="10">
        <v>30</v>
      </c>
      <c r="N975" s="10">
        <v>60</v>
      </c>
    </row>
    <row r="976" spans="1:14" x14ac:dyDescent="0.2">
      <c r="A976">
        <v>712</v>
      </c>
      <c r="B976" s="5">
        <v>45266</v>
      </c>
      <c r="C976" s="5" t="str">
        <f>TEXT(Table2[[#This Row],[Date]], "MMM")</f>
        <v>Dec</v>
      </c>
      <c r="D976" s="8">
        <f>MONTH(Table2[[#This Row],[Date]])</f>
        <v>12</v>
      </c>
      <c r="E976" s="8">
        <f>YEAR(Table2[[#This Row],[Date]])</f>
        <v>2023</v>
      </c>
      <c r="F976" s="7" t="s">
        <v>725</v>
      </c>
      <c r="G976" s="7" t="s">
        <v>13</v>
      </c>
      <c r="H976" s="8">
        <v>57</v>
      </c>
      <c r="I976" s="8" t="str">
        <f>IF(Table2[[#This Row],[Age]] &lt; 19, "Teenagers", IF(Table2[[#This Row],[Age]] &lt;= 34, "Young Adults", IF(Table2[[#This Row],[Age]] &lt;= 45, "Adults", IF(Table2[[#This Row],[Age]] &lt;= 55, "Seniors", "Elderly")) ))</f>
        <v>Elderly</v>
      </c>
      <c r="J976" s="7" t="s">
        <v>11</v>
      </c>
      <c r="K976" s="8">
        <v>2</v>
      </c>
      <c r="L976" s="8" t="str">
        <f>IF(Table2[[#This Row],[Quantity]]=1, "Single Order", IF(Table2[[#This Row],[Quantity]]=2, "Small Order", IF(Table2[[#This Row],[Quantity]]=3, "Medium Order", "Bulk Order")))</f>
        <v>Small Order</v>
      </c>
      <c r="M976" s="10">
        <v>25</v>
      </c>
      <c r="N976" s="10">
        <v>50</v>
      </c>
    </row>
    <row r="977" spans="1:14" x14ac:dyDescent="0.2">
      <c r="A977">
        <v>752</v>
      </c>
      <c r="B977" s="5">
        <v>45269</v>
      </c>
      <c r="C977" s="5" t="str">
        <f>TEXT(Table2[[#This Row],[Date]], "MMM")</f>
        <v>Dec</v>
      </c>
      <c r="D977" s="8">
        <f>MONTH(Table2[[#This Row],[Date]])</f>
        <v>12</v>
      </c>
      <c r="E977" s="8">
        <f>YEAR(Table2[[#This Row],[Date]])</f>
        <v>2023</v>
      </c>
      <c r="F977" s="7" t="s">
        <v>765</v>
      </c>
      <c r="G977" s="7" t="s">
        <v>10</v>
      </c>
      <c r="H977" s="8">
        <v>29</v>
      </c>
      <c r="I977" s="8" t="str">
        <f>IF(Table2[[#This Row],[Age]] &lt; 19, "Teenagers", IF(Table2[[#This Row],[Age]] &lt;= 34, "Young Adults", IF(Table2[[#This Row],[Age]] &lt;= 45, "Adults", IF(Table2[[#This Row],[Age]] &lt;= 55, "Seniors", "Elderly")) ))</f>
        <v>Young Adults</v>
      </c>
      <c r="J977" s="7" t="s">
        <v>14</v>
      </c>
      <c r="K977" s="8">
        <v>2</v>
      </c>
      <c r="L977" s="8" t="str">
        <f>IF(Table2[[#This Row],[Quantity]]=1, "Single Order", IF(Table2[[#This Row],[Quantity]]=2, "Small Order", IF(Table2[[#This Row],[Quantity]]=3, "Medium Order", "Bulk Order")))</f>
        <v>Small Order</v>
      </c>
      <c r="M977" s="10">
        <v>50</v>
      </c>
      <c r="N977" s="10">
        <v>100</v>
      </c>
    </row>
    <row r="978" spans="1:14" x14ac:dyDescent="0.2">
      <c r="A978">
        <v>757</v>
      </c>
      <c r="B978" s="5">
        <v>45285</v>
      </c>
      <c r="C978" s="5" t="str">
        <f>TEXT(Table2[[#This Row],[Date]], "MMM")</f>
        <v>Dec</v>
      </c>
      <c r="D978" s="8">
        <f>MONTH(Table2[[#This Row],[Date]])</f>
        <v>12</v>
      </c>
      <c r="E978" s="8">
        <f>YEAR(Table2[[#This Row],[Date]])</f>
        <v>2023</v>
      </c>
      <c r="F978" s="7" t="s">
        <v>770</v>
      </c>
      <c r="G978" s="7" t="s">
        <v>13</v>
      </c>
      <c r="H978" s="8">
        <v>43</v>
      </c>
      <c r="I978" s="8" t="str">
        <f>IF(Table2[[#This Row],[Age]] &lt; 19, "Teenagers", IF(Table2[[#This Row],[Age]] &lt;= 34, "Young Adults", IF(Table2[[#This Row],[Age]] &lt;= 45, "Adults", IF(Table2[[#This Row],[Age]] &lt;= 55, "Seniors", "Elderly")) ))</f>
        <v>Adults</v>
      </c>
      <c r="J978" s="7" t="s">
        <v>16</v>
      </c>
      <c r="K978" s="8">
        <v>4</v>
      </c>
      <c r="L978" s="8" t="str">
        <f>IF(Table2[[#This Row],[Quantity]]=1, "Single Order", IF(Table2[[#This Row],[Quantity]]=2, "Small Order", IF(Table2[[#This Row],[Quantity]]=3, "Medium Order", "Bulk Order")))</f>
        <v>Bulk Order</v>
      </c>
      <c r="M978" s="10">
        <v>300</v>
      </c>
      <c r="N978" s="10">
        <v>1200</v>
      </c>
    </row>
    <row r="979" spans="1:14" x14ac:dyDescent="0.2">
      <c r="A979">
        <v>771</v>
      </c>
      <c r="B979" s="5">
        <v>45273</v>
      </c>
      <c r="C979" s="5" t="str">
        <f>TEXT(Table2[[#This Row],[Date]], "MMM")</f>
        <v>Dec</v>
      </c>
      <c r="D979" s="8">
        <f>MONTH(Table2[[#This Row],[Date]])</f>
        <v>12</v>
      </c>
      <c r="E979" s="8">
        <f>YEAR(Table2[[#This Row],[Date]])</f>
        <v>2023</v>
      </c>
      <c r="F979" s="7" t="s">
        <v>784</v>
      </c>
      <c r="G979" s="7" t="s">
        <v>10</v>
      </c>
      <c r="H979" s="8">
        <v>24</v>
      </c>
      <c r="I979" s="8" t="str">
        <f>IF(Table2[[#This Row],[Age]] &lt; 19, "Teenagers", IF(Table2[[#This Row],[Age]] &lt;= 34, "Young Adults", IF(Table2[[#This Row],[Age]] &lt;= 45, "Adults", IF(Table2[[#This Row],[Age]] &lt;= 55, "Seniors", "Elderly")) ))</f>
        <v>Young Adults</v>
      </c>
      <c r="J979" s="7" t="s">
        <v>16</v>
      </c>
      <c r="K979" s="8">
        <v>2</v>
      </c>
      <c r="L979" s="8" t="str">
        <f>IF(Table2[[#This Row],[Quantity]]=1, "Single Order", IF(Table2[[#This Row],[Quantity]]=2, "Small Order", IF(Table2[[#This Row],[Quantity]]=3, "Medium Order", "Bulk Order")))</f>
        <v>Small Order</v>
      </c>
      <c r="M979" s="10">
        <v>25</v>
      </c>
      <c r="N979" s="10">
        <v>50</v>
      </c>
    </row>
    <row r="980" spans="1:14" x14ac:dyDescent="0.2">
      <c r="A980">
        <v>777</v>
      </c>
      <c r="B980" s="5">
        <v>45280</v>
      </c>
      <c r="C980" s="5" t="str">
        <f>TEXT(Table2[[#This Row],[Date]], "MMM")</f>
        <v>Dec</v>
      </c>
      <c r="D980" s="8">
        <f>MONTH(Table2[[#This Row],[Date]])</f>
        <v>12</v>
      </c>
      <c r="E980" s="8">
        <f>YEAR(Table2[[#This Row],[Date]])</f>
        <v>2023</v>
      </c>
      <c r="F980" s="7" t="s">
        <v>790</v>
      </c>
      <c r="G980" s="7" t="s">
        <v>10</v>
      </c>
      <c r="H980" s="8">
        <v>48</v>
      </c>
      <c r="I980" s="8" t="str">
        <f>IF(Table2[[#This Row],[Age]] &lt; 19, "Teenagers", IF(Table2[[#This Row],[Age]] &lt;= 34, "Young Adults", IF(Table2[[#This Row],[Age]] &lt;= 45, "Adults", IF(Table2[[#This Row],[Age]] &lt;= 55, "Seniors", "Elderly")) ))</f>
        <v>Seniors</v>
      </c>
      <c r="J980" s="7" t="s">
        <v>16</v>
      </c>
      <c r="K980" s="8">
        <v>3</v>
      </c>
      <c r="L980" s="8" t="str">
        <f>IF(Table2[[#This Row],[Quantity]]=1, "Single Order", IF(Table2[[#This Row],[Quantity]]=2, "Small Order", IF(Table2[[#This Row],[Quantity]]=3, "Medium Order", "Bulk Order")))</f>
        <v>Medium Order</v>
      </c>
      <c r="M980" s="10">
        <v>50</v>
      </c>
      <c r="N980" s="10">
        <v>150</v>
      </c>
    </row>
    <row r="981" spans="1:14" x14ac:dyDescent="0.2">
      <c r="A981">
        <v>781</v>
      </c>
      <c r="B981" s="5">
        <v>45283</v>
      </c>
      <c r="C981" s="5" t="str">
        <f>TEXT(Table2[[#This Row],[Date]], "MMM")</f>
        <v>Dec</v>
      </c>
      <c r="D981" s="8">
        <f>MONTH(Table2[[#This Row],[Date]])</f>
        <v>12</v>
      </c>
      <c r="E981" s="8">
        <f>YEAR(Table2[[#This Row],[Date]])</f>
        <v>2023</v>
      </c>
      <c r="F981" s="7" t="s">
        <v>794</v>
      </c>
      <c r="G981" s="7" t="s">
        <v>10</v>
      </c>
      <c r="H981" s="8">
        <v>35</v>
      </c>
      <c r="I981" s="8" t="str">
        <f>IF(Table2[[#This Row],[Age]] &lt; 19, "Teenagers", IF(Table2[[#This Row],[Age]] &lt;= 34, "Young Adults", IF(Table2[[#This Row],[Age]] &lt;= 45, "Adults", IF(Table2[[#This Row],[Age]] &lt;= 55, "Seniors", "Elderly")) ))</f>
        <v>Adults</v>
      </c>
      <c r="J981" s="7" t="s">
        <v>11</v>
      </c>
      <c r="K981" s="8">
        <v>1</v>
      </c>
      <c r="L981" s="8" t="str">
        <f>IF(Table2[[#This Row],[Quantity]]=1, "Single Order", IF(Table2[[#This Row],[Quantity]]=2, "Small Order", IF(Table2[[#This Row],[Quantity]]=3, "Medium Order", "Bulk Order")))</f>
        <v>Single Order</v>
      </c>
      <c r="M981" s="10">
        <v>500</v>
      </c>
      <c r="N981" s="10">
        <v>500</v>
      </c>
    </row>
    <row r="982" spans="1:14" x14ac:dyDescent="0.2">
      <c r="A982">
        <v>783</v>
      </c>
      <c r="B982" s="5">
        <v>45277</v>
      </c>
      <c r="C982" s="5" t="str">
        <f>TEXT(Table2[[#This Row],[Date]], "MMM")</f>
        <v>Dec</v>
      </c>
      <c r="D982" s="8">
        <f>MONTH(Table2[[#This Row],[Date]])</f>
        <v>12</v>
      </c>
      <c r="E982" s="8">
        <f>YEAR(Table2[[#This Row],[Date]])</f>
        <v>2023</v>
      </c>
      <c r="F982" s="7" t="s">
        <v>796</v>
      </c>
      <c r="G982" s="7" t="s">
        <v>13</v>
      </c>
      <c r="H982" s="8">
        <v>56</v>
      </c>
      <c r="I982" s="8" t="str">
        <f>IF(Table2[[#This Row],[Age]] &lt; 19, "Teenagers", IF(Table2[[#This Row],[Age]] &lt;= 34, "Young Adults", IF(Table2[[#This Row],[Age]] &lt;= 45, "Adults", IF(Table2[[#This Row],[Age]] &lt;= 55, "Seniors", "Elderly")) ))</f>
        <v>Elderly</v>
      </c>
      <c r="J982" s="7" t="s">
        <v>14</v>
      </c>
      <c r="K982" s="8">
        <v>1</v>
      </c>
      <c r="L982" s="8" t="str">
        <f>IF(Table2[[#This Row],[Quantity]]=1, "Single Order", IF(Table2[[#This Row],[Quantity]]=2, "Small Order", IF(Table2[[#This Row],[Quantity]]=3, "Medium Order", "Bulk Order")))</f>
        <v>Single Order</v>
      </c>
      <c r="M982" s="10">
        <v>300</v>
      </c>
      <c r="N982" s="10">
        <v>300</v>
      </c>
    </row>
    <row r="983" spans="1:14" x14ac:dyDescent="0.2">
      <c r="A983">
        <v>791</v>
      </c>
      <c r="B983" s="5">
        <v>45265</v>
      </c>
      <c r="C983" s="5" t="str">
        <f>TEXT(Table2[[#This Row],[Date]], "MMM")</f>
        <v>Dec</v>
      </c>
      <c r="D983" s="8">
        <f>MONTH(Table2[[#This Row],[Date]])</f>
        <v>12</v>
      </c>
      <c r="E983" s="8">
        <f>YEAR(Table2[[#This Row],[Date]])</f>
        <v>2023</v>
      </c>
      <c r="F983" s="7" t="s">
        <v>804</v>
      </c>
      <c r="G983" s="7" t="s">
        <v>13</v>
      </c>
      <c r="H983" s="8">
        <v>51</v>
      </c>
      <c r="I983" s="8" t="str">
        <f>IF(Table2[[#This Row],[Age]] &lt; 19, "Teenagers", IF(Table2[[#This Row],[Age]] &lt;= 34, "Young Adults", IF(Table2[[#This Row],[Age]] &lt;= 45, "Adults", IF(Table2[[#This Row],[Age]] &lt;= 55, "Seniors", "Elderly")) ))</f>
        <v>Seniors</v>
      </c>
      <c r="J983" s="7" t="s">
        <v>11</v>
      </c>
      <c r="K983" s="8">
        <v>1</v>
      </c>
      <c r="L983" s="8" t="str">
        <f>IF(Table2[[#This Row],[Quantity]]=1, "Single Order", IF(Table2[[#This Row],[Quantity]]=2, "Small Order", IF(Table2[[#This Row],[Quantity]]=3, "Medium Order", "Bulk Order")))</f>
        <v>Single Order</v>
      </c>
      <c r="M983" s="10">
        <v>25</v>
      </c>
      <c r="N983" s="10">
        <v>25</v>
      </c>
    </row>
    <row r="984" spans="1:14" x14ac:dyDescent="0.2">
      <c r="A984">
        <v>805</v>
      </c>
      <c r="B984" s="5">
        <v>45289</v>
      </c>
      <c r="C984" s="5" t="str">
        <f>TEXT(Table2[[#This Row],[Date]], "MMM")</f>
        <v>Dec</v>
      </c>
      <c r="D984" s="8">
        <f>MONTH(Table2[[#This Row],[Date]])</f>
        <v>12</v>
      </c>
      <c r="E984" s="8">
        <f>YEAR(Table2[[#This Row],[Date]])</f>
        <v>2023</v>
      </c>
      <c r="F984" s="7" t="s">
        <v>818</v>
      </c>
      <c r="G984" s="7" t="s">
        <v>13</v>
      </c>
      <c r="H984" s="8">
        <v>30</v>
      </c>
      <c r="I984" s="8" t="str">
        <f>IF(Table2[[#This Row],[Age]] &lt; 19, "Teenagers", IF(Table2[[#This Row],[Age]] &lt;= 34, "Young Adults", IF(Table2[[#This Row],[Age]] &lt;= 45, "Adults", IF(Table2[[#This Row],[Age]] &lt;= 55, "Seniors", "Elderly")) ))</f>
        <v>Young Adults</v>
      </c>
      <c r="J984" s="7" t="s">
        <v>11</v>
      </c>
      <c r="K984" s="8">
        <v>3</v>
      </c>
      <c r="L984" s="8" t="str">
        <f>IF(Table2[[#This Row],[Quantity]]=1, "Single Order", IF(Table2[[#This Row],[Quantity]]=2, "Small Order", IF(Table2[[#This Row],[Quantity]]=3, "Medium Order", "Bulk Order")))</f>
        <v>Medium Order</v>
      </c>
      <c r="M984" s="10">
        <v>500</v>
      </c>
      <c r="N984" s="10">
        <v>1500</v>
      </c>
    </row>
    <row r="985" spans="1:14" x14ac:dyDescent="0.2">
      <c r="A985">
        <v>828</v>
      </c>
      <c r="B985" s="5">
        <v>45269</v>
      </c>
      <c r="C985" s="5" t="str">
        <f>TEXT(Table2[[#This Row],[Date]], "MMM")</f>
        <v>Dec</v>
      </c>
      <c r="D985" s="8">
        <f>MONTH(Table2[[#This Row],[Date]])</f>
        <v>12</v>
      </c>
      <c r="E985" s="8">
        <f>YEAR(Table2[[#This Row],[Date]])</f>
        <v>2023</v>
      </c>
      <c r="F985" s="7" t="s">
        <v>841</v>
      </c>
      <c r="G985" s="7" t="s">
        <v>13</v>
      </c>
      <c r="H985" s="8">
        <v>33</v>
      </c>
      <c r="I985" s="8" t="str">
        <f>IF(Table2[[#This Row],[Age]] &lt; 19, "Teenagers", IF(Table2[[#This Row],[Age]] &lt;= 34, "Young Adults", IF(Table2[[#This Row],[Age]] &lt;= 45, "Adults", IF(Table2[[#This Row],[Age]] &lt;= 55, "Seniors", "Elderly")) ))</f>
        <v>Young Adults</v>
      </c>
      <c r="J985" s="7" t="s">
        <v>16</v>
      </c>
      <c r="K985" s="8">
        <v>4</v>
      </c>
      <c r="L985" s="8" t="str">
        <f>IF(Table2[[#This Row],[Quantity]]=1, "Single Order", IF(Table2[[#This Row],[Quantity]]=2, "Small Order", IF(Table2[[#This Row],[Quantity]]=3, "Medium Order", "Bulk Order")))</f>
        <v>Bulk Order</v>
      </c>
      <c r="M985" s="10">
        <v>300</v>
      </c>
      <c r="N985" s="10">
        <v>1200</v>
      </c>
    </row>
    <row r="986" spans="1:14" x14ac:dyDescent="0.2">
      <c r="A986">
        <v>842</v>
      </c>
      <c r="B986" s="5">
        <v>45286</v>
      </c>
      <c r="C986" s="5" t="str">
        <f>TEXT(Table2[[#This Row],[Date]], "MMM")</f>
        <v>Dec</v>
      </c>
      <c r="D986" s="8">
        <f>MONTH(Table2[[#This Row],[Date]])</f>
        <v>12</v>
      </c>
      <c r="E986" s="8">
        <f>YEAR(Table2[[#This Row],[Date]])</f>
        <v>2023</v>
      </c>
      <c r="F986" s="7" t="s">
        <v>855</v>
      </c>
      <c r="G986" s="7" t="s">
        <v>13</v>
      </c>
      <c r="H986" s="8">
        <v>47</v>
      </c>
      <c r="I986" s="8" t="str">
        <f>IF(Table2[[#This Row],[Age]] &lt; 19, "Teenagers", IF(Table2[[#This Row],[Age]] &lt;= 34, "Young Adults", IF(Table2[[#This Row],[Age]] &lt;= 45, "Adults", IF(Table2[[#This Row],[Age]] &lt;= 55, "Seniors", "Elderly")) ))</f>
        <v>Seniors</v>
      </c>
      <c r="J986" s="7" t="s">
        <v>14</v>
      </c>
      <c r="K986" s="8">
        <v>2</v>
      </c>
      <c r="L986" s="8" t="str">
        <f>IF(Table2[[#This Row],[Quantity]]=1, "Single Order", IF(Table2[[#This Row],[Quantity]]=2, "Small Order", IF(Table2[[#This Row],[Quantity]]=3, "Medium Order", "Bulk Order")))</f>
        <v>Small Order</v>
      </c>
      <c r="M986" s="10">
        <v>300</v>
      </c>
      <c r="N986" s="10">
        <v>600</v>
      </c>
    </row>
    <row r="987" spans="1:14" x14ac:dyDescent="0.2">
      <c r="A987">
        <v>854</v>
      </c>
      <c r="B987" s="5">
        <v>45280</v>
      </c>
      <c r="C987" s="5" t="str">
        <f>TEXT(Table2[[#This Row],[Date]], "MMM")</f>
        <v>Dec</v>
      </c>
      <c r="D987" s="8">
        <f>MONTH(Table2[[#This Row],[Date]])</f>
        <v>12</v>
      </c>
      <c r="E987" s="8">
        <f>YEAR(Table2[[#This Row],[Date]])</f>
        <v>2023</v>
      </c>
      <c r="F987" s="7" t="s">
        <v>867</v>
      </c>
      <c r="G987" s="7" t="s">
        <v>10</v>
      </c>
      <c r="H987" s="8">
        <v>29</v>
      </c>
      <c r="I987" s="8" t="str">
        <f>IF(Table2[[#This Row],[Age]] &lt; 19, "Teenagers", IF(Table2[[#This Row],[Age]] &lt;= 34, "Young Adults", IF(Table2[[#This Row],[Age]] &lt;= 45, "Adults", IF(Table2[[#This Row],[Age]] &lt;= 55, "Seniors", "Elderly")) ))</f>
        <v>Young Adults</v>
      </c>
      <c r="J987" s="7" t="s">
        <v>14</v>
      </c>
      <c r="K987" s="8">
        <v>1</v>
      </c>
      <c r="L987" s="8" t="str">
        <f>IF(Table2[[#This Row],[Quantity]]=1, "Single Order", IF(Table2[[#This Row],[Quantity]]=2, "Small Order", IF(Table2[[#This Row],[Quantity]]=3, "Medium Order", "Bulk Order")))</f>
        <v>Single Order</v>
      </c>
      <c r="M987" s="10">
        <v>50</v>
      </c>
      <c r="N987" s="10">
        <v>50</v>
      </c>
    </row>
    <row r="988" spans="1:14" x14ac:dyDescent="0.2">
      <c r="A988">
        <v>857</v>
      </c>
      <c r="B988" s="5">
        <v>45291</v>
      </c>
      <c r="C988" s="5" t="str">
        <f>TEXT(Table2[[#This Row],[Date]], "MMM")</f>
        <v>Dec</v>
      </c>
      <c r="D988" s="8">
        <f>MONTH(Table2[[#This Row],[Date]])</f>
        <v>12</v>
      </c>
      <c r="E988" s="8">
        <f>YEAR(Table2[[#This Row],[Date]])</f>
        <v>2023</v>
      </c>
      <c r="F988" s="7" t="s">
        <v>870</v>
      </c>
      <c r="G988" s="7" t="s">
        <v>10</v>
      </c>
      <c r="H988" s="8">
        <v>60</v>
      </c>
      <c r="I988" s="8" t="str">
        <f>IF(Table2[[#This Row],[Age]] &lt; 19, "Teenagers", IF(Table2[[#This Row],[Age]] &lt;= 34, "Young Adults", IF(Table2[[#This Row],[Age]] &lt;= 45, "Adults", IF(Table2[[#This Row],[Age]] &lt;= 55, "Seniors", "Elderly")) ))</f>
        <v>Elderly</v>
      </c>
      <c r="J988" s="7" t="s">
        <v>16</v>
      </c>
      <c r="K988" s="8">
        <v>2</v>
      </c>
      <c r="L988" s="8" t="str">
        <f>IF(Table2[[#This Row],[Quantity]]=1, "Single Order", IF(Table2[[#This Row],[Quantity]]=2, "Small Order", IF(Table2[[#This Row],[Quantity]]=3, "Medium Order", "Bulk Order")))</f>
        <v>Small Order</v>
      </c>
      <c r="M988" s="10">
        <v>25</v>
      </c>
      <c r="N988" s="10">
        <v>50</v>
      </c>
    </row>
    <row r="989" spans="1:14" x14ac:dyDescent="0.2">
      <c r="A989">
        <v>865</v>
      </c>
      <c r="B989" s="5">
        <v>45281</v>
      </c>
      <c r="C989" s="5" t="str">
        <f>TEXT(Table2[[#This Row],[Date]], "MMM")</f>
        <v>Dec</v>
      </c>
      <c r="D989" s="8">
        <f>MONTH(Table2[[#This Row],[Date]])</f>
        <v>12</v>
      </c>
      <c r="E989" s="8">
        <f>YEAR(Table2[[#This Row],[Date]])</f>
        <v>2023</v>
      </c>
      <c r="F989" s="7" t="s">
        <v>878</v>
      </c>
      <c r="G989" s="7" t="s">
        <v>13</v>
      </c>
      <c r="H989" s="8">
        <v>42</v>
      </c>
      <c r="I989" s="8" t="str">
        <f>IF(Table2[[#This Row],[Age]] &lt; 19, "Teenagers", IF(Table2[[#This Row],[Age]] &lt;= 34, "Young Adults", IF(Table2[[#This Row],[Age]] &lt;= 45, "Adults", IF(Table2[[#This Row],[Age]] &lt;= 55, "Seniors", "Elderly")) ))</f>
        <v>Adults</v>
      </c>
      <c r="J989" s="7" t="s">
        <v>14</v>
      </c>
      <c r="K989" s="8">
        <v>1</v>
      </c>
      <c r="L989" s="8" t="str">
        <f>IF(Table2[[#This Row],[Quantity]]=1, "Single Order", IF(Table2[[#This Row],[Quantity]]=2, "Small Order", IF(Table2[[#This Row],[Quantity]]=3, "Medium Order", "Bulk Order")))</f>
        <v>Single Order</v>
      </c>
      <c r="M989" s="10">
        <v>300</v>
      </c>
      <c r="N989" s="10">
        <v>300</v>
      </c>
    </row>
    <row r="990" spans="1:14" x14ac:dyDescent="0.2">
      <c r="A990">
        <v>868</v>
      </c>
      <c r="B990" s="5">
        <v>45266</v>
      </c>
      <c r="C990" s="5" t="str">
        <f>TEXT(Table2[[#This Row],[Date]], "MMM")</f>
        <v>Dec</v>
      </c>
      <c r="D990" s="8">
        <f>MONTH(Table2[[#This Row],[Date]])</f>
        <v>12</v>
      </c>
      <c r="E990" s="8">
        <f>YEAR(Table2[[#This Row],[Date]])</f>
        <v>2023</v>
      </c>
      <c r="F990" s="7" t="s">
        <v>881</v>
      </c>
      <c r="G990" s="7" t="s">
        <v>13</v>
      </c>
      <c r="H990" s="8">
        <v>25</v>
      </c>
      <c r="I990" s="8" t="str">
        <f>IF(Table2[[#This Row],[Age]] &lt; 19, "Teenagers", IF(Table2[[#This Row],[Age]] &lt;= 34, "Young Adults", IF(Table2[[#This Row],[Age]] &lt;= 45, "Adults", IF(Table2[[#This Row],[Age]] &lt;= 55, "Seniors", "Elderly")) ))</f>
        <v>Young Adults</v>
      </c>
      <c r="J990" s="7" t="s">
        <v>16</v>
      </c>
      <c r="K990" s="8">
        <v>1</v>
      </c>
      <c r="L990" s="8" t="str">
        <f>IF(Table2[[#This Row],[Quantity]]=1, "Single Order", IF(Table2[[#This Row],[Quantity]]=2, "Small Order", IF(Table2[[#This Row],[Quantity]]=3, "Medium Order", "Bulk Order")))</f>
        <v>Single Order</v>
      </c>
      <c r="M990" s="10">
        <v>300</v>
      </c>
      <c r="N990" s="10">
        <v>300</v>
      </c>
    </row>
    <row r="991" spans="1:14" x14ac:dyDescent="0.2">
      <c r="A991">
        <v>879</v>
      </c>
      <c r="B991" s="5">
        <v>45286</v>
      </c>
      <c r="C991" s="5" t="str">
        <f>TEXT(Table2[[#This Row],[Date]], "MMM")</f>
        <v>Dec</v>
      </c>
      <c r="D991" s="8">
        <f>MONTH(Table2[[#This Row],[Date]])</f>
        <v>12</v>
      </c>
      <c r="E991" s="8">
        <f>YEAR(Table2[[#This Row],[Date]])</f>
        <v>2023</v>
      </c>
      <c r="F991" s="7" t="s">
        <v>892</v>
      </c>
      <c r="G991" s="7" t="s">
        <v>10</v>
      </c>
      <c r="H991" s="8">
        <v>23</v>
      </c>
      <c r="I991" s="8" t="str">
        <f>IF(Table2[[#This Row],[Age]] &lt; 19, "Teenagers", IF(Table2[[#This Row],[Age]] &lt;= 34, "Young Adults", IF(Table2[[#This Row],[Age]] &lt;= 45, "Adults", IF(Table2[[#This Row],[Age]] &lt;= 55, "Seniors", "Elderly")) ))</f>
        <v>Young Adults</v>
      </c>
      <c r="J991" s="7" t="s">
        <v>14</v>
      </c>
      <c r="K991" s="8">
        <v>1</v>
      </c>
      <c r="L991" s="8" t="str">
        <f>IF(Table2[[#This Row],[Quantity]]=1, "Single Order", IF(Table2[[#This Row],[Quantity]]=2, "Small Order", IF(Table2[[#This Row],[Quantity]]=3, "Medium Order", "Bulk Order")))</f>
        <v>Single Order</v>
      </c>
      <c r="M991" s="10">
        <v>30</v>
      </c>
      <c r="N991" s="10">
        <v>30</v>
      </c>
    </row>
    <row r="992" spans="1:14" x14ac:dyDescent="0.2">
      <c r="A992">
        <v>890</v>
      </c>
      <c r="B992" s="5">
        <v>45280</v>
      </c>
      <c r="C992" s="5" t="str">
        <f>TEXT(Table2[[#This Row],[Date]], "MMM")</f>
        <v>Dec</v>
      </c>
      <c r="D992" s="8">
        <f>MONTH(Table2[[#This Row],[Date]])</f>
        <v>12</v>
      </c>
      <c r="E992" s="8">
        <f>YEAR(Table2[[#This Row],[Date]])</f>
        <v>2023</v>
      </c>
      <c r="F992" s="7" t="s">
        <v>903</v>
      </c>
      <c r="G992" s="7" t="s">
        <v>10</v>
      </c>
      <c r="H992" s="8">
        <v>34</v>
      </c>
      <c r="I992" s="8" t="str">
        <f>IF(Table2[[#This Row],[Age]] &lt; 19, "Teenagers", IF(Table2[[#This Row],[Age]] &lt;= 34, "Young Adults", IF(Table2[[#This Row],[Age]] &lt;= 45, "Adults", IF(Table2[[#This Row],[Age]] &lt;= 55, "Seniors", "Elderly")) ))</f>
        <v>Young Adults</v>
      </c>
      <c r="J992" s="7" t="s">
        <v>16</v>
      </c>
      <c r="K992" s="8">
        <v>2</v>
      </c>
      <c r="L992" s="8" t="str">
        <f>IF(Table2[[#This Row],[Quantity]]=1, "Single Order", IF(Table2[[#This Row],[Quantity]]=2, "Small Order", IF(Table2[[#This Row],[Quantity]]=3, "Medium Order", "Bulk Order")))</f>
        <v>Small Order</v>
      </c>
      <c r="M992" s="10">
        <v>25</v>
      </c>
      <c r="N992" s="10">
        <v>50</v>
      </c>
    </row>
    <row r="993" spans="1:14" x14ac:dyDescent="0.2">
      <c r="A993">
        <v>908</v>
      </c>
      <c r="B993" s="5">
        <v>45289</v>
      </c>
      <c r="C993" s="5" t="str">
        <f>TEXT(Table2[[#This Row],[Date]], "MMM")</f>
        <v>Dec</v>
      </c>
      <c r="D993" s="8">
        <f>MONTH(Table2[[#This Row],[Date]])</f>
        <v>12</v>
      </c>
      <c r="E993" s="8">
        <f>YEAR(Table2[[#This Row],[Date]])</f>
        <v>2023</v>
      </c>
      <c r="F993" s="7" t="s">
        <v>921</v>
      </c>
      <c r="G993" s="7" t="s">
        <v>10</v>
      </c>
      <c r="H993" s="8">
        <v>46</v>
      </c>
      <c r="I993" s="8" t="str">
        <f>IF(Table2[[#This Row],[Age]] &lt; 19, "Teenagers", IF(Table2[[#This Row],[Age]] &lt;= 34, "Young Adults", IF(Table2[[#This Row],[Age]] &lt;= 45, "Adults", IF(Table2[[#This Row],[Age]] &lt;= 55, "Seniors", "Elderly")) ))</f>
        <v>Seniors</v>
      </c>
      <c r="J993" s="7" t="s">
        <v>11</v>
      </c>
      <c r="K993" s="8">
        <v>4</v>
      </c>
      <c r="L993" s="8" t="str">
        <f>IF(Table2[[#This Row],[Quantity]]=1, "Single Order", IF(Table2[[#This Row],[Quantity]]=2, "Small Order", IF(Table2[[#This Row],[Quantity]]=3, "Medium Order", "Bulk Order")))</f>
        <v>Bulk Order</v>
      </c>
      <c r="M993" s="10">
        <v>300</v>
      </c>
      <c r="N993" s="10">
        <v>1200</v>
      </c>
    </row>
    <row r="994" spans="1:14" x14ac:dyDescent="0.2">
      <c r="A994">
        <v>916</v>
      </c>
      <c r="B994" s="5">
        <v>45284</v>
      </c>
      <c r="C994" s="5" t="str">
        <f>TEXT(Table2[[#This Row],[Date]], "MMM")</f>
        <v>Dec</v>
      </c>
      <c r="D994" s="8">
        <f>MONTH(Table2[[#This Row],[Date]])</f>
        <v>12</v>
      </c>
      <c r="E994" s="8">
        <f>YEAR(Table2[[#This Row],[Date]])</f>
        <v>2023</v>
      </c>
      <c r="F994" s="7" t="s">
        <v>929</v>
      </c>
      <c r="G994" s="7" t="s">
        <v>13</v>
      </c>
      <c r="H994" s="8">
        <v>32</v>
      </c>
      <c r="I994" s="8" t="str">
        <f>IF(Table2[[#This Row],[Age]] &lt; 19, "Teenagers", IF(Table2[[#This Row],[Age]] &lt;= 34, "Young Adults", IF(Table2[[#This Row],[Age]] &lt;= 45, "Adults", IF(Table2[[#This Row],[Age]] &lt;= 55, "Seniors", "Elderly")) ))</f>
        <v>Young Adults</v>
      </c>
      <c r="J994" s="7" t="s">
        <v>16</v>
      </c>
      <c r="K994" s="8">
        <v>1</v>
      </c>
      <c r="L994" s="8" t="str">
        <f>IF(Table2[[#This Row],[Quantity]]=1, "Single Order", IF(Table2[[#This Row],[Quantity]]=2, "Small Order", IF(Table2[[#This Row],[Quantity]]=3, "Medium Order", "Bulk Order")))</f>
        <v>Single Order</v>
      </c>
      <c r="M994" s="10">
        <v>50</v>
      </c>
      <c r="N994" s="10">
        <v>50</v>
      </c>
    </row>
    <row r="995" spans="1:14" x14ac:dyDescent="0.2">
      <c r="A995">
        <v>939</v>
      </c>
      <c r="B995" s="5">
        <v>45278</v>
      </c>
      <c r="C995" s="5" t="str">
        <f>TEXT(Table2[[#This Row],[Date]], "MMM")</f>
        <v>Dec</v>
      </c>
      <c r="D995" s="8">
        <f>MONTH(Table2[[#This Row],[Date]])</f>
        <v>12</v>
      </c>
      <c r="E995" s="8">
        <f>YEAR(Table2[[#This Row],[Date]])</f>
        <v>2023</v>
      </c>
      <c r="F995" s="7" t="s">
        <v>952</v>
      </c>
      <c r="G995" s="7" t="s">
        <v>13</v>
      </c>
      <c r="H995" s="8">
        <v>46</v>
      </c>
      <c r="I995" s="8" t="str">
        <f>IF(Table2[[#This Row],[Age]] &lt; 19, "Teenagers", IF(Table2[[#This Row],[Age]] &lt;= 34, "Young Adults", IF(Table2[[#This Row],[Age]] &lt;= 45, "Adults", IF(Table2[[#This Row],[Age]] &lt;= 55, "Seniors", "Elderly")) ))</f>
        <v>Seniors</v>
      </c>
      <c r="J995" s="7" t="s">
        <v>16</v>
      </c>
      <c r="K995" s="8">
        <v>1</v>
      </c>
      <c r="L995" s="8" t="str">
        <f>IF(Table2[[#This Row],[Quantity]]=1, "Single Order", IF(Table2[[#This Row],[Quantity]]=2, "Small Order", IF(Table2[[#This Row],[Quantity]]=3, "Medium Order", "Bulk Order")))</f>
        <v>Single Order</v>
      </c>
      <c r="M995" s="10">
        <v>300</v>
      </c>
      <c r="N995" s="10">
        <v>300</v>
      </c>
    </row>
    <row r="996" spans="1:14" x14ac:dyDescent="0.2">
      <c r="A996">
        <v>971</v>
      </c>
      <c r="B996" s="5">
        <v>45265</v>
      </c>
      <c r="C996" s="5" t="str">
        <f>TEXT(Table2[[#This Row],[Date]], "MMM")</f>
        <v>Dec</v>
      </c>
      <c r="D996" s="8">
        <f>MONTH(Table2[[#This Row],[Date]])</f>
        <v>12</v>
      </c>
      <c r="E996" s="8">
        <f>YEAR(Table2[[#This Row],[Date]])</f>
        <v>2023</v>
      </c>
      <c r="F996" s="7" t="s">
        <v>984</v>
      </c>
      <c r="G996" s="7" t="s">
        <v>13</v>
      </c>
      <c r="H996" s="8">
        <v>27</v>
      </c>
      <c r="I996" s="8" t="str">
        <f>IF(Table2[[#This Row],[Age]] &lt; 19, "Teenagers", IF(Table2[[#This Row],[Age]] &lt;= 34, "Young Adults", IF(Table2[[#This Row],[Age]] &lt;= 45, "Adults", IF(Table2[[#This Row],[Age]] &lt;= 55, "Seniors", "Elderly")) ))</f>
        <v>Young Adults</v>
      </c>
      <c r="J996" s="7" t="s">
        <v>16</v>
      </c>
      <c r="K996" s="8">
        <v>4</v>
      </c>
      <c r="L996" s="8" t="str">
        <f>IF(Table2[[#This Row],[Quantity]]=1, "Single Order", IF(Table2[[#This Row],[Quantity]]=2, "Small Order", IF(Table2[[#This Row],[Quantity]]=3, "Medium Order", "Bulk Order")))</f>
        <v>Bulk Order</v>
      </c>
      <c r="M996" s="10">
        <v>50</v>
      </c>
      <c r="N996" s="10">
        <v>200</v>
      </c>
    </row>
    <row r="997" spans="1:14" x14ac:dyDescent="0.2">
      <c r="A997">
        <v>982</v>
      </c>
      <c r="B997" s="5">
        <v>45279</v>
      </c>
      <c r="C997" s="5" t="str">
        <f>TEXT(Table2[[#This Row],[Date]], "MMM")</f>
        <v>Dec</v>
      </c>
      <c r="D997" s="8">
        <f>MONTH(Table2[[#This Row],[Date]])</f>
        <v>12</v>
      </c>
      <c r="E997" s="8">
        <f>YEAR(Table2[[#This Row],[Date]])</f>
        <v>2023</v>
      </c>
      <c r="F997" s="7" t="s">
        <v>995</v>
      </c>
      <c r="G997" s="7" t="s">
        <v>13</v>
      </c>
      <c r="H997" s="8">
        <v>46</v>
      </c>
      <c r="I997" s="8" t="str">
        <f>IF(Table2[[#This Row],[Age]] &lt; 19, "Teenagers", IF(Table2[[#This Row],[Age]] &lt;= 34, "Young Adults", IF(Table2[[#This Row],[Age]] &lt;= 45, "Adults", IF(Table2[[#This Row],[Age]] &lt;= 55, "Seniors", "Elderly")) ))</f>
        <v>Seniors</v>
      </c>
      <c r="J997" s="7" t="s">
        <v>11</v>
      </c>
      <c r="K997" s="8">
        <v>3</v>
      </c>
      <c r="L997" s="8" t="str">
        <f>IF(Table2[[#This Row],[Quantity]]=1, "Single Order", IF(Table2[[#This Row],[Quantity]]=2, "Small Order", IF(Table2[[#This Row],[Quantity]]=3, "Medium Order", "Bulk Order")))</f>
        <v>Medium Order</v>
      </c>
      <c r="M997" s="10">
        <v>30</v>
      </c>
      <c r="N997" s="10">
        <v>90</v>
      </c>
    </row>
    <row r="998" spans="1:14" x14ac:dyDescent="0.2">
      <c r="A998">
        <v>989</v>
      </c>
      <c r="B998" s="5">
        <v>45288</v>
      </c>
      <c r="C998" s="5" t="str">
        <f>TEXT(Table2[[#This Row],[Date]], "MMM")</f>
        <v>Dec</v>
      </c>
      <c r="D998" s="8">
        <f>MONTH(Table2[[#This Row],[Date]])</f>
        <v>12</v>
      </c>
      <c r="E998" s="8">
        <f>YEAR(Table2[[#This Row],[Date]])</f>
        <v>2023</v>
      </c>
      <c r="F998" s="7" t="s">
        <v>1002</v>
      </c>
      <c r="G998" s="7" t="s">
        <v>13</v>
      </c>
      <c r="H998" s="8">
        <v>44</v>
      </c>
      <c r="I998" s="8" t="str">
        <f>IF(Table2[[#This Row],[Age]] &lt; 19, "Teenagers", IF(Table2[[#This Row],[Age]] &lt;= 34, "Young Adults", IF(Table2[[#This Row],[Age]] &lt;= 45, "Adults", IF(Table2[[#This Row],[Age]] &lt;= 55, "Seniors", "Elderly")) ))</f>
        <v>Adults</v>
      </c>
      <c r="J998" s="7" t="s">
        <v>16</v>
      </c>
      <c r="K998" s="8">
        <v>1</v>
      </c>
      <c r="L998" s="8" t="str">
        <f>IF(Table2[[#This Row],[Quantity]]=1, "Single Order", IF(Table2[[#This Row],[Quantity]]=2, "Small Order", IF(Table2[[#This Row],[Quantity]]=3, "Medium Order", "Bulk Order")))</f>
        <v>Single Order</v>
      </c>
      <c r="M998" s="10">
        <v>25</v>
      </c>
      <c r="N998" s="10">
        <v>25</v>
      </c>
    </row>
    <row r="999" spans="1:14" x14ac:dyDescent="0.2">
      <c r="A999">
        <v>991</v>
      </c>
      <c r="B999" s="5">
        <v>45286</v>
      </c>
      <c r="C999" s="5" t="str">
        <f>TEXT(Table2[[#This Row],[Date]], "MMM")</f>
        <v>Dec</v>
      </c>
      <c r="D999" s="8">
        <f>MONTH(Table2[[#This Row],[Date]])</f>
        <v>12</v>
      </c>
      <c r="E999" s="8">
        <f>YEAR(Table2[[#This Row],[Date]])</f>
        <v>2023</v>
      </c>
      <c r="F999" s="7" t="s">
        <v>1004</v>
      </c>
      <c r="G999" s="7" t="s">
        <v>13</v>
      </c>
      <c r="H999" s="8">
        <v>34</v>
      </c>
      <c r="I999" s="8" t="str">
        <f>IF(Table2[[#This Row],[Age]] &lt; 19, "Teenagers", IF(Table2[[#This Row],[Age]] &lt;= 34, "Young Adults", IF(Table2[[#This Row],[Age]] &lt;= 45, "Adults", IF(Table2[[#This Row],[Age]] &lt;= 55, "Seniors", "Elderly")) ))</f>
        <v>Young Adults</v>
      </c>
      <c r="J999" s="7" t="s">
        <v>14</v>
      </c>
      <c r="K999" s="8">
        <v>2</v>
      </c>
      <c r="L999" s="8" t="str">
        <f>IF(Table2[[#This Row],[Quantity]]=1, "Single Order", IF(Table2[[#This Row],[Quantity]]=2, "Small Order", IF(Table2[[#This Row],[Quantity]]=3, "Medium Order", "Bulk Order")))</f>
        <v>Small Order</v>
      </c>
      <c r="M999" s="10">
        <v>50</v>
      </c>
      <c r="N999" s="10">
        <v>100</v>
      </c>
    </row>
    <row r="1000" spans="1:14" x14ac:dyDescent="0.2">
      <c r="A1000">
        <v>994</v>
      </c>
      <c r="B1000" s="5">
        <v>45278</v>
      </c>
      <c r="C1000" s="5" t="str">
        <f>TEXT(Table2[[#This Row],[Date]], "MMM")</f>
        <v>Dec</v>
      </c>
      <c r="D1000" s="8">
        <f>MONTH(Table2[[#This Row],[Date]])</f>
        <v>12</v>
      </c>
      <c r="E1000" s="8">
        <f>YEAR(Table2[[#This Row],[Date]])</f>
        <v>2023</v>
      </c>
      <c r="F1000" s="7" t="s">
        <v>1007</v>
      </c>
      <c r="G1000" s="7" t="s">
        <v>13</v>
      </c>
      <c r="H1000" s="8">
        <v>51</v>
      </c>
      <c r="I1000" s="8" t="str">
        <f>IF(Table2[[#This Row],[Age]] &lt; 19, "Teenagers", IF(Table2[[#This Row],[Age]] &lt;= 34, "Young Adults", IF(Table2[[#This Row],[Age]] &lt;= 45, "Adults", IF(Table2[[#This Row],[Age]] &lt;= 55, "Seniors", "Elderly")) ))</f>
        <v>Seniors</v>
      </c>
      <c r="J1000" s="7" t="s">
        <v>11</v>
      </c>
      <c r="K1000" s="8">
        <v>2</v>
      </c>
      <c r="L1000" s="8" t="str">
        <f>IF(Table2[[#This Row],[Quantity]]=1, "Single Order", IF(Table2[[#This Row],[Quantity]]=2, "Small Order", IF(Table2[[#This Row],[Quantity]]=3, "Medium Order", "Bulk Order")))</f>
        <v>Small Order</v>
      </c>
      <c r="M1000" s="10">
        <v>500</v>
      </c>
      <c r="N1000" s="10">
        <v>1000</v>
      </c>
    </row>
    <row r="1001" spans="1:14" x14ac:dyDescent="0.2">
      <c r="A1001">
        <v>999</v>
      </c>
      <c r="B1001" s="5">
        <v>45265</v>
      </c>
      <c r="C1001" s="5" t="str">
        <f>TEXT(Table2[[#This Row],[Date]], "MMM")</f>
        <v>Dec</v>
      </c>
      <c r="D1001" s="8">
        <f>MONTH(Table2[[#This Row],[Date]])</f>
        <v>12</v>
      </c>
      <c r="E1001" s="8">
        <f>YEAR(Table2[[#This Row],[Date]])</f>
        <v>2023</v>
      </c>
      <c r="F1001" s="7" t="s">
        <v>1012</v>
      </c>
      <c r="G1001" s="7" t="s">
        <v>13</v>
      </c>
      <c r="H1001" s="8">
        <v>36</v>
      </c>
      <c r="I1001" s="8" t="str">
        <f>IF(Table2[[#This Row],[Age]] &lt; 19, "Teenagers", IF(Table2[[#This Row],[Age]] &lt;= 34, "Young Adults", IF(Table2[[#This Row],[Age]] &lt;= 45, "Adults", IF(Table2[[#This Row],[Age]] &lt;= 55, "Seniors", "Elderly")) ))</f>
        <v>Adults</v>
      </c>
      <c r="J1001" s="7" t="s">
        <v>16</v>
      </c>
      <c r="K1001" s="8">
        <v>3</v>
      </c>
      <c r="L1001" s="8" t="str">
        <f>IF(Table2[[#This Row],[Quantity]]=1, "Single Order", IF(Table2[[#This Row],[Quantity]]=2, "Small Order", IF(Table2[[#This Row],[Quantity]]=3, "Medium Order", "Bulk Order")))</f>
        <v>Medium Order</v>
      </c>
      <c r="M1001" s="10">
        <v>50</v>
      </c>
      <c r="N1001" s="10">
        <v>150</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65205-E180-4AD4-AD47-6860516B44C0}">
  <sheetPr>
    <tabColor theme="9"/>
  </sheetPr>
  <dimension ref="A1:P1001"/>
  <sheetViews>
    <sheetView workbookViewId="0">
      <selection activeCell="B5" sqref="B5"/>
    </sheetView>
  </sheetViews>
  <sheetFormatPr defaultRowHeight="12.75" x14ac:dyDescent="0.2"/>
  <cols>
    <col min="2" max="2" width="10.42578125" style="5" bestFit="1" customWidth="1"/>
    <col min="3" max="3" width="9.140625" style="7"/>
    <col min="4" max="5" width="9.140625" style="8"/>
    <col min="6" max="6" width="13.28515625" style="7" customWidth="1"/>
    <col min="7" max="7" width="9.140625" style="7"/>
    <col min="8" max="8" width="9.140625" style="8"/>
    <col min="9" max="9" width="11.85546875" style="7" customWidth="1"/>
    <col min="10" max="10" width="17.140625" style="7" customWidth="1"/>
    <col min="11" max="11" width="10" style="8" customWidth="1"/>
    <col min="12" max="12" width="17.85546875" style="7" customWidth="1"/>
    <col min="13" max="13" width="14.7109375" style="10" customWidth="1"/>
    <col min="14" max="14" width="14.28515625" style="10" customWidth="1"/>
    <col min="16" max="16" width="12" bestFit="1" customWidth="1"/>
  </cols>
  <sheetData>
    <row r="1" spans="1:16" x14ac:dyDescent="0.2">
      <c r="A1" t="s">
        <v>0</v>
      </c>
      <c r="B1" s="5" t="s">
        <v>1</v>
      </c>
      <c r="C1" s="7" t="s">
        <v>1037</v>
      </c>
      <c r="D1" s="8" t="s">
        <v>1038</v>
      </c>
      <c r="E1" s="8" t="s">
        <v>1039</v>
      </c>
      <c r="F1" s="7" t="s">
        <v>1026</v>
      </c>
      <c r="G1" s="7" t="s">
        <v>3</v>
      </c>
      <c r="H1" s="8" t="s">
        <v>4</v>
      </c>
      <c r="I1" s="7" t="s">
        <v>1030</v>
      </c>
      <c r="J1" s="7" t="s">
        <v>1027</v>
      </c>
      <c r="K1" s="11" t="s">
        <v>6</v>
      </c>
      <c r="L1" s="7" t="s">
        <v>1032</v>
      </c>
      <c r="M1" s="10" t="s">
        <v>1028</v>
      </c>
      <c r="N1" s="10" t="s">
        <v>1029</v>
      </c>
    </row>
    <row r="2" spans="1:16" x14ac:dyDescent="0.2">
      <c r="A2" s="8">
        <v>1</v>
      </c>
      <c r="B2" s="5">
        <v>44927</v>
      </c>
      <c r="C2" s="7" t="s">
        <v>1040</v>
      </c>
      <c r="D2" s="8">
        <v>1</v>
      </c>
      <c r="E2" s="8">
        <v>2023</v>
      </c>
      <c r="F2" s="7" t="s">
        <v>193</v>
      </c>
      <c r="G2" s="7" t="s">
        <v>10</v>
      </c>
      <c r="H2" s="8">
        <v>41</v>
      </c>
      <c r="I2" s="7" t="s">
        <v>1017</v>
      </c>
      <c r="J2" s="7" t="s">
        <v>14</v>
      </c>
      <c r="K2" s="8">
        <v>3</v>
      </c>
      <c r="L2" s="7" t="s">
        <v>1022</v>
      </c>
      <c r="M2" s="10">
        <v>300</v>
      </c>
      <c r="N2" s="10">
        <v>900</v>
      </c>
    </row>
    <row r="3" spans="1:16" x14ac:dyDescent="0.2">
      <c r="A3" s="8">
        <v>2</v>
      </c>
      <c r="B3" s="5">
        <v>44927</v>
      </c>
      <c r="C3" s="7" t="s">
        <v>1040</v>
      </c>
      <c r="D3" s="8">
        <v>1</v>
      </c>
      <c r="E3" s="8">
        <v>2023</v>
      </c>
      <c r="F3" s="7" t="s">
        <v>535</v>
      </c>
      <c r="G3" s="7" t="s">
        <v>10</v>
      </c>
      <c r="H3" s="8">
        <v>46</v>
      </c>
      <c r="I3" s="7" t="s">
        <v>1019</v>
      </c>
      <c r="J3" s="7" t="s">
        <v>11</v>
      </c>
      <c r="K3" s="8">
        <v>3</v>
      </c>
      <c r="L3" s="7" t="s">
        <v>1022</v>
      </c>
      <c r="M3" s="10">
        <v>500</v>
      </c>
      <c r="N3" s="10">
        <v>1500</v>
      </c>
    </row>
    <row r="4" spans="1:16" x14ac:dyDescent="0.2">
      <c r="A4" s="8">
        <v>3</v>
      </c>
      <c r="B4" s="5">
        <v>44927</v>
      </c>
      <c r="C4" s="7" t="s">
        <v>1040</v>
      </c>
      <c r="D4" s="8">
        <v>1</v>
      </c>
      <c r="E4" s="8">
        <v>2023</v>
      </c>
      <c r="F4" s="7" t="s">
        <v>572</v>
      </c>
      <c r="G4" s="7" t="s">
        <v>13</v>
      </c>
      <c r="H4" s="8">
        <v>40</v>
      </c>
      <c r="I4" s="7" t="s">
        <v>1017</v>
      </c>
      <c r="J4" s="7" t="s">
        <v>14</v>
      </c>
      <c r="K4" s="8">
        <v>4</v>
      </c>
      <c r="L4" s="7" t="s">
        <v>1025</v>
      </c>
      <c r="M4" s="10">
        <v>300</v>
      </c>
      <c r="N4" s="10">
        <v>1200</v>
      </c>
    </row>
    <row r="5" spans="1:16" x14ac:dyDescent="0.2">
      <c r="A5" s="8">
        <v>4</v>
      </c>
      <c r="B5" s="5">
        <v>44928</v>
      </c>
      <c r="C5" s="7" t="s">
        <v>1040</v>
      </c>
      <c r="D5" s="8">
        <v>1</v>
      </c>
      <c r="E5" s="8">
        <v>2023</v>
      </c>
      <c r="F5" s="7" t="s">
        <v>176</v>
      </c>
      <c r="G5" s="7" t="s">
        <v>13</v>
      </c>
      <c r="H5" s="8">
        <v>64</v>
      </c>
      <c r="I5" s="7" t="s">
        <v>1018</v>
      </c>
      <c r="J5" s="7" t="s">
        <v>14</v>
      </c>
      <c r="K5" s="8">
        <v>3</v>
      </c>
      <c r="L5" s="7" t="s">
        <v>1022</v>
      </c>
      <c r="M5" s="10">
        <v>50</v>
      </c>
      <c r="N5" s="10">
        <v>150</v>
      </c>
    </row>
    <row r="6" spans="1:16" x14ac:dyDescent="0.2">
      <c r="A6" s="8">
        <v>5</v>
      </c>
      <c r="B6" s="5">
        <v>44928</v>
      </c>
      <c r="C6" s="7" t="s">
        <v>1040</v>
      </c>
      <c r="D6" s="8">
        <v>1</v>
      </c>
      <c r="E6" s="8">
        <v>2023</v>
      </c>
      <c r="F6" s="7" t="s">
        <v>316</v>
      </c>
      <c r="G6" s="7" t="s">
        <v>10</v>
      </c>
      <c r="H6" s="8">
        <v>19</v>
      </c>
      <c r="I6" s="7" t="s">
        <v>1021</v>
      </c>
      <c r="J6" s="7" t="s">
        <v>16</v>
      </c>
      <c r="K6" s="8">
        <v>3</v>
      </c>
      <c r="L6" s="7" t="s">
        <v>1022</v>
      </c>
      <c r="M6" s="10">
        <v>30</v>
      </c>
      <c r="N6" s="10">
        <v>90</v>
      </c>
      <c r="P6" s="10"/>
    </row>
    <row r="7" spans="1:16" x14ac:dyDescent="0.2">
      <c r="A7" s="8">
        <v>6</v>
      </c>
      <c r="B7" s="5">
        <v>44928</v>
      </c>
      <c r="C7" s="7" t="s">
        <v>1040</v>
      </c>
      <c r="D7" s="8">
        <v>1</v>
      </c>
      <c r="E7" s="8">
        <v>2023</v>
      </c>
      <c r="F7" s="7" t="s">
        <v>434</v>
      </c>
      <c r="G7" s="7" t="s">
        <v>13</v>
      </c>
      <c r="H7" s="8">
        <v>37</v>
      </c>
      <c r="I7" s="7" t="s">
        <v>1017</v>
      </c>
      <c r="J7" s="7" t="s">
        <v>14</v>
      </c>
      <c r="K7" s="8">
        <v>3</v>
      </c>
      <c r="L7" s="7" t="s">
        <v>1022</v>
      </c>
      <c r="M7" s="10">
        <v>500</v>
      </c>
      <c r="N7" s="10">
        <v>1500</v>
      </c>
    </row>
    <row r="8" spans="1:16" x14ac:dyDescent="0.2">
      <c r="A8" s="8">
        <v>7</v>
      </c>
      <c r="B8" s="5">
        <v>44928</v>
      </c>
      <c r="C8" s="7" t="s">
        <v>1040</v>
      </c>
      <c r="D8" s="8">
        <v>1</v>
      </c>
      <c r="E8" s="8">
        <v>2023</v>
      </c>
      <c r="F8" s="7" t="s">
        <v>992</v>
      </c>
      <c r="G8" s="7" t="s">
        <v>13</v>
      </c>
      <c r="H8" s="8">
        <v>19</v>
      </c>
      <c r="I8" s="7" t="s">
        <v>1021</v>
      </c>
      <c r="J8" s="7" t="s">
        <v>11</v>
      </c>
      <c r="K8" s="8">
        <v>1</v>
      </c>
      <c r="L8" s="7" t="s">
        <v>1023</v>
      </c>
      <c r="M8" s="10">
        <v>25</v>
      </c>
      <c r="N8" s="10">
        <v>25</v>
      </c>
      <c r="P8" s="10"/>
    </row>
    <row r="9" spans="1:16" x14ac:dyDescent="0.2">
      <c r="A9" s="8">
        <v>8</v>
      </c>
      <c r="B9" s="5">
        <v>44929</v>
      </c>
      <c r="C9" s="7" t="s">
        <v>1040</v>
      </c>
      <c r="D9" s="8">
        <v>1</v>
      </c>
      <c r="E9" s="8">
        <v>2023</v>
      </c>
      <c r="F9" s="7" t="s">
        <v>623</v>
      </c>
      <c r="G9" s="7" t="s">
        <v>13</v>
      </c>
      <c r="H9" s="8">
        <v>26</v>
      </c>
      <c r="I9" s="7" t="s">
        <v>1021</v>
      </c>
      <c r="J9" s="7" t="s">
        <v>11</v>
      </c>
      <c r="K9" s="8">
        <v>2</v>
      </c>
      <c r="L9" s="7" t="s">
        <v>1024</v>
      </c>
      <c r="M9" s="10">
        <v>300</v>
      </c>
      <c r="N9" s="10">
        <v>600</v>
      </c>
    </row>
    <row r="10" spans="1:16" x14ac:dyDescent="0.2">
      <c r="A10" s="8">
        <v>9</v>
      </c>
      <c r="B10" s="5">
        <v>44930</v>
      </c>
      <c r="C10" s="7" t="s">
        <v>1040</v>
      </c>
      <c r="D10" s="8">
        <v>1</v>
      </c>
      <c r="E10" s="8">
        <v>2023</v>
      </c>
      <c r="F10" s="7" t="s">
        <v>45</v>
      </c>
      <c r="G10" s="7" t="s">
        <v>10</v>
      </c>
      <c r="H10" s="8">
        <v>30</v>
      </c>
      <c r="I10" s="7" t="s">
        <v>1021</v>
      </c>
      <c r="J10" s="7" t="s">
        <v>11</v>
      </c>
      <c r="K10" s="8">
        <v>3</v>
      </c>
      <c r="L10" s="7" t="s">
        <v>1022</v>
      </c>
      <c r="M10" s="10">
        <v>30</v>
      </c>
      <c r="N10" s="10">
        <v>90</v>
      </c>
    </row>
    <row r="11" spans="1:16" x14ac:dyDescent="0.2">
      <c r="A11" s="8">
        <v>10</v>
      </c>
      <c r="B11" s="5">
        <v>44930</v>
      </c>
      <c r="C11" s="7" t="s">
        <v>1040</v>
      </c>
      <c r="D11" s="8">
        <v>1</v>
      </c>
      <c r="E11" s="8">
        <v>2023</v>
      </c>
      <c r="F11" s="7" t="s">
        <v>244</v>
      </c>
      <c r="G11" s="7" t="s">
        <v>13</v>
      </c>
      <c r="H11" s="8">
        <v>23</v>
      </c>
      <c r="I11" s="7" t="s">
        <v>1021</v>
      </c>
      <c r="J11" s="7" t="s">
        <v>14</v>
      </c>
      <c r="K11" s="8">
        <v>3</v>
      </c>
      <c r="L11" s="7" t="s">
        <v>1022</v>
      </c>
      <c r="M11" s="10">
        <v>50</v>
      </c>
      <c r="N11" s="10">
        <v>150</v>
      </c>
    </row>
    <row r="12" spans="1:16" x14ac:dyDescent="0.2">
      <c r="A12" s="8">
        <v>11</v>
      </c>
      <c r="B12" s="5">
        <v>44930</v>
      </c>
      <c r="C12" s="7" t="s">
        <v>1040</v>
      </c>
      <c r="D12" s="8">
        <v>1</v>
      </c>
      <c r="E12" s="8">
        <v>2023</v>
      </c>
      <c r="F12" s="7" t="s">
        <v>696</v>
      </c>
      <c r="G12" s="7" t="s">
        <v>10</v>
      </c>
      <c r="H12" s="8">
        <v>38</v>
      </c>
      <c r="I12" s="7" t="s">
        <v>1017</v>
      </c>
      <c r="J12" s="7" t="s">
        <v>11</v>
      </c>
      <c r="K12" s="8">
        <v>2</v>
      </c>
      <c r="L12" s="7" t="s">
        <v>1024</v>
      </c>
      <c r="M12" s="10">
        <v>500</v>
      </c>
      <c r="N12" s="10">
        <v>1000</v>
      </c>
    </row>
    <row r="13" spans="1:16" x14ac:dyDescent="0.2">
      <c r="A13" s="8">
        <v>12</v>
      </c>
      <c r="B13" s="5">
        <v>44931</v>
      </c>
      <c r="C13" s="7" t="s">
        <v>1040</v>
      </c>
      <c r="D13" s="8">
        <v>1</v>
      </c>
      <c r="E13" s="8">
        <v>2023</v>
      </c>
      <c r="F13" s="7" t="s">
        <v>380</v>
      </c>
      <c r="G13" s="7" t="s">
        <v>13</v>
      </c>
      <c r="H13" s="8">
        <v>57</v>
      </c>
      <c r="I13" s="7" t="s">
        <v>1018</v>
      </c>
      <c r="J13" s="7" t="s">
        <v>16</v>
      </c>
      <c r="K13" s="8">
        <v>1</v>
      </c>
      <c r="L13" s="7" t="s">
        <v>1023</v>
      </c>
      <c r="M13" s="10">
        <v>50</v>
      </c>
      <c r="N13" s="10">
        <v>50</v>
      </c>
    </row>
    <row r="14" spans="1:16" x14ac:dyDescent="0.2">
      <c r="A14" s="8">
        <v>13</v>
      </c>
      <c r="B14" s="5">
        <v>44931</v>
      </c>
      <c r="C14" s="7" t="s">
        <v>1040</v>
      </c>
      <c r="D14" s="8">
        <v>1</v>
      </c>
      <c r="E14" s="8">
        <v>2023</v>
      </c>
      <c r="F14" s="7" t="s">
        <v>404</v>
      </c>
      <c r="G14" s="7" t="s">
        <v>10</v>
      </c>
      <c r="H14" s="8">
        <v>19</v>
      </c>
      <c r="I14" s="7" t="s">
        <v>1021</v>
      </c>
      <c r="J14" s="7" t="s">
        <v>11</v>
      </c>
      <c r="K14" s="8">
        <v>2</v>
      </c>
      <c r="L14" s="7" t="s">
        <v>1024</v>
      </c>
      <c r="M14" s="10">
        <v>25</v>
      </c>
      <c r="N14" s="10">
        <v>50</v>
      </c>
    </row>
    <row r="15" spans="1:16" x14ac:dyDescent="0.2">
      <c r="A15" s="8">
        <v>14</v>
      </c>
      <c r="B15" s="5">
        <v>44931</v>
      </c>
      <c r="C15" s="7" t="s">
        <v>1040</v>
      </c>
      <c r="D15" s="8">
        <v>1</v>
      </c>
      <c r="E15" s="8">
        <v>2023</v>
      </c>
      <c r="F15" s="7" t="s">
        <v>445</v>
      </c>
      <c r="G15" s="7" t="s">
        <v>13</v>
      </c>
      <c r="H15" s="8">
        <v>60</v>
      </c>
      <c r="I15" s="7" t="s">
        <v>1018</v>
      </c>
      <c r="J15" s="7" t="s">
        <v>16</v>
      </c>
      <c r="K15" s="8">
        <v>2</v>
      </c>
      <c r="L15" s="7" t="s">
        <v>1024</v>
      </c>
      <c r="M15" s="10">
        <v>500</v>
      </c>
      <c r="N15" s="10">
        <v>1000</v>
      </c>
    </row>
    <row r="16" spans="1:16" x14ac:dyDescent="0.2">
      <c r="A16" s="8">
        <v>15</v>
      </c>
      <c r="B16" s="5">
        <v>44932</v>
      </c>
      <c r="C16" s="7" t="s">
        <v>1040</v>
      </c>
      <c r="D16" s="8">
        <v>1</v>
      </c>
      <c r="E16" s="8">
        <v>2023</v>
      </c>
      <c r="F16" s="7" t="s">
        <v>163</v>
      </c>
      <c r="G16" s="7" t="s">
        <v>13</v>
      </c>
      <c r="H16" s="8">
        <v>58</v>
      </c>
      <c r="I16" s="7" t="s">
        <v>1018</v>
      </c>
      <c r="J16" s="7" t="s">
        <v>16</v>
      </c>
      <c r="K16" s="8">
        <v>4</v>
      </c>
      <c r="L16" s="7" t="s">
        <v>1025</v>
      </c>
      <c r="M16" s="10">
        <v>30</v>
      </c>
      <c r="N16" s="10">
        <v>120</v>
      </c>
    </row>
    <row r="17" spans="1:14" x14ac:dyDescent="0.2">
      <c r="A17" s="8">
        <v>16</v>
      </c>
      <c r="B17" s="5">
        <v>44932</v>
      </c>
      <c r="C17" s="7" t="s">
        <v>1040</v>
      </c>
      <c r="D17" s="8">
        <v>1</v>
      </c>
      <c r="E17" s="8">
        <v>2024</v>
      </c>
      <c r="F17" s="7" t="s">
        <v>858</v>
      </c>
      <c r="G17" s="7" t="s">
        <v>10</v>
      </c>
      <c r="H17" s="8">
        <v>54</v>
      </c>
      <c r="I17" s="7" t="s">
        <v>1019</v>
      </c>
      <c r="J17" s="7" t="s">
        <v>14</v>
      </c>
      <c r="K17" s="8">
        <v>1</v>
      </c>
      <c r="L17" s="7" t="s">
        <v>1023</v>
      </c>
      <c r="M17" s="10">
        <v>500</v>
      </c>
      <c r="N17" s="10">
        <v>500</v>
      </c>
    </row>
    <row r="18" spans="1:14" x14ac:dyDescent="0.2">
      <c r="A18" s="8">
        <v>17</v>
      </c>
      <c r="B18" s="5">
        <v>44933</v>
      </c>
      <c r="C18" s="7" t="s">
        <v>1040</v>
      </c>
      <c r="D18" s="8">
        <v>1</v>
      </c>
      <c r="E18" s="8">
        <v>2023</v>
      </c>
      <c r="F18" s="7" t="s">
        <v>810</v>
      </c>
      <c r="G18" s="7" t="s">
        <v>10</v>
      </c>
      <c r="H18" s="8">
        <v>40</v>
      </c>
      <c r="I18" s="7" t="s">
        <v>1017</v>
      </c>
      <c r="J18" s="7" t="s">
        <v>14</v>
      </c>
      <c r="K18" s="8">
        <v>3</v>
      </c>
      <c r="L18" s="7" t="s">
        <v>1022</v>
      </c>
      <c r="M18" s="10">
        <v>25</v>
      </c>
      <c r="N18" s="10">
        <v>75</v>
      </c>
    </row>
    <row r="19" spans="1:14" x14ac:dyDescent="0.2">
      <c r="A19" s="8">
        <v>18</v>
      </c>
      <c r="B19" s="5">
        <v>44933</v>
      </c>
      <c r="C19" s="7" t="s">
        <v>1040</v>
      </c>
      <c r="D19" s="8">
        <v>1</v>
      </c>
      <c r="E19" s="8">
        <v>2023</v>
      </c>
      <c r="F19" s="7" t="s">
        <v>934</v>
      </c>
      <c r="G19" s="7" t="s">
        <v>10</v>
      </c>
      <c r="H19" s="8">
        <v>51</v>
      </c>
      <c r="I19" s="7" t="s">
        <v>1019</v>
      </c>
      <c r="J19" s="7" t="s">
        <v>16</v>
      </c>
      <c r="K19" s="8">
        <v>3</v>
      </c>
      <c r="L19" s="7" t="s">
        <v>1022</v>
      </c>
      <c r="M19" s="10">
        <v>25</v>
      </c>
      <c r="N19" s="10">
        <v>75</v>
      </c>
    </row>
    <row r="20" spans="1:14" x14ac:dyDescent="0.2">
      <c r="A20" s="8">
        <v>19</v>
      </c>
      <c r="B20" s="5">
        <v>44934</v>
      </c>
      <c r="C20" s="7" t="s">
        <v>1040</v>
      </c>
      <c r="D20" s="8">
        <v>1</v>
      </c>
      <c r="E20" s="8">
        <v>2023</v>
      </c>
      <c r="F20" s="7" t="s">
        <v>304</v>
      </c>
      <c r="G20" s="7" t="s">
        <v>10</v>
      </c>
      <c r="H20" s="8">
        <v>60</v>
      </c>
      <c r="I20" s="7" t="s">
        <v>1018</v>
      </c>
      <c r="J20" s="7" t="s">
        <v>14</v>
      </c>
      <c r="K20" s="8">
        <v>2</v>
      </c>
      <c r="L20" s="7" t="s">
        <v>1024</v>
      </c>
      <c r="M20" s="10">
        <v>300</v>
      </c>
      <c r="N20" s="10">
        <v>600</v>
      </c>
    </row>
    <row r="21" spans="1:14" x14ac:dyDescent="0.2">
      <c r="A21" s="8">
        <v>20</v>
      </c>
      <c r="B21" s="5">
        <v>44934</v>
      </c>
      <c r="C21" s="7" t="s">
        <v>1040</v>
      </c>
      <c r="D21" s="8">
        <v>1</v>
      </c>
      <c r="E21" s="8">
        <v>2023</v>
      </c>
      <c r="F21" s="7" t="s">
        <v>920</v>
      </c>
      <c r="G21" s="7" t="s">
        <v>13</v>
      </c>
      <c r="H21" s="8">
        <v>45</v>
      </c>
      <c r="I21" s="7" t="s">
        <v>1017</v>
      </c>
      <c r="J21" s="7" t="s">
        <v>16</v>
      </c>
      <c r="K21" s="8">
        <v>1</v>
      </c>
      <c r="L21" s="7" t="s">
        <v>1023</v>
      </c>
      <c r="M21" s="10">
        <v>25</v>
      </c>
      <c r="N21" s="10">
        <v>25</v>
      </c>
    </row>
    <row r="22" spans="1:14" x14ac:dyDescent="0.2">
      <c r="A22" s="8">
        <v>21</v>
      </c>
      <c r="B22" s="5">
        <v>44935</v>
      </c>
      <c r="C22" s="7" t="s">
        <v>1040</v>
      </c>
      <c r="D22" s="8">
        <v>1</v>
      </c>
      <c r="E22" s="8">
        <v>2023</v>
      </c>
      <c r="F22" s="7" t="s">
        <v>873</v>
      </c>
      <c r="G22" s="7" t="s">
        <v>10</v>
      </c>
      <c r="H22" s="8">
        <v>63</v>
      </c>
      <c r="I22" s="7" t="s">
        <v>1018</v>
      </c>
      <c r="J22" s="7" t="s">
        <v>14</v>
      </c>
      <c r="K22" s="8">
        <v>4</v>
      </c>
      <c r="L22" s="7" t="s">
        <v>1025</v>
      </c>
      <c r="M22" s="10">
        <v>50</v>
      </c>
      <c r="N22" s="10">
        <v>200</v>
      </c>
    </row>
    <row r="23" spans="1:14" x14ac:dyDescent="0.2">
      <c r="A23" s="8">
        <v>22</v>
      </c>
      <c r="B23" s="5">
        <v>44936</v>
      </c>
      <c r="C23" s="7" t="s">
        <v>1040</v>
      </c>
      <c r="D23" s="8">
        <v>1</v>
      </c>
      <c r="E23" s="8">
        <v>2023</v>
      </c>
      <c r="F23" s="7" t="s">
        <v>197</v>
      </c>
      <c r="G23" s="7" t="s">
        <v>10</v>
      </c>
      <c r="H23" s="8">
        <v>31</v>
      </c>
      <c r="I23" s="7" t="s">
        <v>1021</v>
      </c>
      <c r="J23" s="7" t="s">
        <v>16</v>
      </c>
      <c r="K23" s="8">
        <v>4</v>
      </c>
      <c r="L23" s="7" t="s">
        <v>1025</v>
      </c>
      <c r="M23" s="10">
        <v>50</v>
      </c>
      <c r="N23" s="10">
        <v>200</v>
      </c>
    </row>
    <row r="24" spans="1:14" x14ac:dyDescent="0.2">
      <c r="A24" s="8">
        <v>23</v>
      </c>
      <c r="B24" s="5">
        <v>44936</v>
      </c>
      <c r="C24" s="7" t="s">
        <v>1040</v>
      </c>
      <c r="D24" s="8">
        <v>1</v>
      </c>
      <c r="E24" s="8">
        <v>2023</v>
      </c>
      <c r="F24" s="7" t="s">
        <v>747</v>
      </c>
      <c r="G24" s="7" t="s">
        <v>13</v>
      </c>
      <c r="H24" s="8">
        <v>27</v>
      </c>
      <c r="I24" s="7" t="s">
        <v>1021</v>
      </c>
      <c r="J24" s="7" t="s">
        <v>14</v>
      </c>
      <c r="K24" s="8">
        <v>1</v>
      </c>
      <c r="L24" s="7" t="s">
        <v>1023</v>
      </c>
      <c r="M24" s="10">
        <v>30</v>
      </c>
      <c r="N24" s="10">
        <v>30</v>
      </c>
    </row>
    <row r="25" spans="1:14" x14ac:dyDescent="0.2">
      <c r="A25" s="8">
        <v>24</v>
      </c>
      <c r="B25" s="5">
        <v>44937</v>
      </c>
      <c r="C25" s="7" t="s">
        <v>1040</v>
      </c>
      <c r="D25" s="8">
        <v>1</v>
      </c>
      <c r="E25" s="8">
        <v>2023</v>
      </c>
      <c r="F25" s="7" t="s">
        <v>238</v>
      </c>
      <c r="G25" s="7" t="s">
        <v>13</v>
      </c>
      <c r="H25" s="8">
        <v>57</v>
      </c>
      <c r="I25" s="7" t="s">
        <v>1018</v>
      </c>
      <c r="J25" s="7" t="s">
        <v>11</v>
      </c>
      <c r="K25" s="8">
        <v>4</v>
      </c>
      <c r="L25" s="7" t="s">
        <v>1025</v>
      </c>
      <c r="M25" s="10">
        <v>25</v>
      </c>
      <c r="N25" s="10">
        <v>100</v>
      </c>
    </row>
    <row r="26" spans="1:14" x14ac:dyDescent="0.2">
      <c r="A26" s="8">
        <v>25</v>
      </c>
      <c r="B26" s="5">
        <v>44937</v>
      </c>
      <c r="C26" s="7" t="s">
        <v>1040</v>
      </c>
      <c r="D26" s="8">
        <v>1</v>
      </c>
      <c r="E26" s="8">
        <v>2023</v>
      </c>
      <c r="F26" s="7" t="s">
        <v>692</v>
      </c>
      <c r="G26" s="7" t="s">
        <v>13</v>
      </c>
      <c r="H26" s="8">
        <v>18</v>
      </c>
      <c r="I26" s="7" t="s">
        <v>1020</v>
      </c>
      <c r="J26" s="7" t="s">
        <v>11</v>
      </c>
      <c r="K26" s="8">
        <v>3</v>
      </c>
      <c r="L26" s="7" t="s">
        <v>1022</v>
      </c>
      <c r="M26" s="10">
        <v>30</v>
      </c>
      <c r="N26" s="10">
        <v>90</v>
      </c>
    </row>
    <row r="27" spans="1:14" x14ac:dyDescent="0.2">
      <c r="A27" s="8">
        <v>26</v>
      </c>
      <c r="B27" s="5">
        <v>44937</v>
      </c>
      <c r="C27" s="7" t="s">
        <v>1040</v>
      </c>
      <c r="D27" s="8">
        <v>1</v>
      </c>
      <c r="E27" s="8">
        <v>2023</v>
      </c>
      <c r="F27" s="7" t="s">
        <v>759</v>
      </c>
      <c r="G27" s="7" t="s">
        <v>13</v>
      </c>
      <c r="H27" s="8">
        <v>33</v>
      </c>
      <c r="I27" s="7" t="s">
        <v>1021</v>
      </c>
      <c r="J27" s="7" t="s">
        <v>14</v>
      </c>
      <c r="K27" s="8">
        <v>3</v>
      </c>
      <c r="L27" s="7" t="s">
        <v>1022</v>
      </c>
      <c r="M27" s="10">
        <v>30</v>
      </c>
      <c r="N27" s="10">
        <v>90</v>
      </c>
    </row>
    <row r="28" spans="1:14" x14ac:dyDescent="0.2">
      <c r="A28" s="8">
        <v>27</v>
      </c>
      <c r="B28" s="5">
        <v>44939</v>
      </c>
      <c r="C28" s="7" t="s">
        <v>1040</v>
      </c>
      <c r="D28" s="8">
        <v>1</v>
      </c>
      <c r="E28" s="8">
        <v>2023</v>
      </c>
      <c r="F28" s="7" t="s">
        <v>15</v>
      </c>
      <c r="G28" s="7" t="s">
        <v>10</v>
      </c>
      <c r="H28" s="8">
        <v>50</v>
      </c>
      <c r="I28" s="7" t="s">
        <v>1019</v>
      </c>
      <c r="J28" s="7" t="s">
        <v>16</v>
      </c>
      <c r="K28" s="8">
        <v>1</v>
      </c>
      <c r="L28" s="7" t="s">
        <v>1023</v>
      </c>
      <c r="M28" s="10">
        <v>30</v>
      </c>
      <c r="N28" s="10">
        <v>30</v>
      </c>
    </row>
    <row r="29" spans="1:14" x14ac:dyDescent="0.2">
      <c r="A29" s="8">
        <v>28</v>
      </c>
      <c r="B29" s="5">
        <v>44939</v>
      </c>
      <c r="C29" s="7" t="s">
        <v>1040</v>
      </c>
      <c r="D29" s="8">
        <v>1</v>
      </c>
      <c r="E29" s="8">
        <v>2023</v>
      </c>
      <c r="F29" s="7" t="s">
        <v>477</v>
      </c>
      <c r="G29" s="7" t="s">
        <v>10</v>
      </c>
      <c r="H29" s="8">
        <v>38</v>
      </c>
      <c r="I29" s="7" t="s">
        <v>1017</v>
      </c>
      <c r="J29" s="7" t="s">
        <v>16</v>
      </c>
      <c r="K29" s="8">
        <v>2</v>
      </c>
      <c r="L29" s="7" t="s">
        <v>1024</v>
      </c>
      <c r="M29" s="10">
        <v>300</v>
      </c>
      <c r="N29" s="10">
        <v>600</v>
      </c>
    </row>
    <row r="30" spans="1:14" x14ac:dyDescent="0.2">
      <c r="A30" s="8">
        <v>29</v>
      </c>
      <c r="B30" s="5">
        <v>44939</v>
      </c>
      <c r="C30" s="7" t="s">
        <v>1040</v>
      </c>
      <c r="D30" s="8">
        <v>1</v>
      </c>
      <c r="E30" s="8">
        <v>2023</v>
      </c>
      <c r="F30" s="7" t="s">
        <v>497</v>
      </c>
      <c r="G30" s="7" t="s">
        <v>13</v>
      </c>
      <c r="H30" s="8">
        <v>19</v>
      </c>
      <c r="I30" s="7" t="s">
        <v>1021</v>
      </c>
      <c r="J30" s="7" t="s">
        <v>14</v>
      </c>
      <c r="K30" s="8">
        <v>4</v>
      </c>
      <c r="L30" s="7" t="s">
        <v>1025</v>
      </c>
      <c r="M30" s="10">
        <v>300</v>
      </c>
      <c r="N30" s="10">
        <v>1200</v>
      </c>
    </row>
    <row r="31" spans="1:14" x14ac:dyDescent="0.2">
      <c r="A31" s="8">
        <v>30</v>
      </c>
      <c r="B31" s="5">
        <v>44939</v>
      </c>
      <c r="C31" s="7" t="s">
        <v>1040</v>
      </c>
      <c r="D31" s="8">
        <v>1</v>
      </c>
      <c r="E31" s="8">
        <v>2023</v>
      </c>
      <c r="F31" s="7" t="s">
        <v>604</v>
      </c>
      <c r="G31" s="7" t="s">
        <v>10</v>
      </c>
      <c r="H31" s="8">
        <v>53</v>
      </c>
      <c r="I31" s="7" t="s">
        <v>1019</v>
      </c>
      <c r="J31" s="7" t="s">
        <v>16</v>
      </c>
      <c r="K31" s="8">
        <v>4</v>
      </c>
      <c r="L31" s="7" t="s">
        <v>1025</v>
      </c>
      <c r="M31" s="10">
        <v>25</v>
      </c>
      <c r="N31" s="10">
        <v>100</v>
      </c>
    </row>
    <row r="32" spans="1:14" x14ac:dyDescent="0.2">
      <c r="A32" s="8">
        <v>31</v>
      </c>
      <c r="B32" s="5">
        <v>44940</v>
      </c>
      <c r="C32" s="7" t="s">
        <v>1040</v>
      </c>
      <c r="D32" s="8">
        <v>1</v>
      </c>
      <c r="E32" s="8">
        <v>2023</v>
      </c>
      <c r="F32" s="7" t="s">
        <v>34</v>
      </c>
      <c r="G32" s="7" t="s">
        <v>13</v>
      </c>
      <c r="H32" s="8">
        <v>50</v>
      </c>
      <c r="I32" s="7" t="s">
        <v>1019</v>
      </c>
      <c r="J32" s="7" t="s">
        <v>11</v>
      </c>
      <c r="K32" s="8">
        <v>1</v>
      </c>
      <c r="L32" s="7" t="s">
        <v>1023</v>
      </c>
      <c r="M32" s="10">
        <v>500</v>
      </c>
      <c r="N32" s="10">
        <v>500</v>
      </c>
    </row>
    <row r="33" spans="1:14" x14ac:dyDescent="0.2">
      <c r="A33" s="8">
        <v>32</v>
      </c>
      <c r="B33" s="5">
        <v>44940</v>
      </c>
      <c r="C33" s="7" t="s">
        <v>1040</v>
      </c>
      <c r="D33" s="8">
        <v>1</v>
      </c>
      <c r="E33" s="8">
        <v>2023</v>
      </c>
      <c r="F33" s="7" t="s">
        <v>721</v>
      </c>
      <c r="G33" s="7" t="s">
        <v>13</v>
      </c>
      <c r="H33" s="8">
        <v>43</v>
      </c>
      <c r="I33" s="7" t="s">
        <v>1017</v>
      </c>
      <c r="J33" s="7" t="s">
        <v>11</v>
      </c>
      <c r="K33" s="8">
        <v>3</v>
      </c>
      <c r="L33" s="7" t="s">
        <v>1022</v>
      </c>
      <c r="M33" s="10">
        <v>300</v>
      </c>
      <c r="N33" s="10">
        <v>900</v>
      </c>
    </row>
    <row r="34" spans="1:14" x14ac:dyDescent="0.2">
      <c r="A34" s="8">
        <v>33</v>
      </c>
      <c r="B34" s="5">
        <v>44940</v>
      </c>
      <c r="C34" s="7" t="s">
        <v>1040</v>
      </c>
      <c r="D34" s="8">
        <v>1</v>
      </c>
      <c r="E34" s="8">
        <v>2023</v>
      </c>
      <c r="F34" s="7" t="s">
        <v>726</v>
      </c>
      <c r="G34" s="7" t="s">
        <v>10</v>
      </c>
      <c r="H34" s="8">
        <v>34</v>
      </c>
      <c r="I34" s="7" t="s">
        <v>1021</v>
      </c>
      <c r="J34" s="7" t="s">
        <v>11</v>
      </c>
      <c r="K34" s="8">
        <v>3</v>
      </c>
      <c r="L34" s="7" t="s">
        <v>1022</v>
      </c>
      <c r="M34" s="10">
        <v>25</v>
      </c>
      <c r="N34" s="10">
        <v>75</v>
      </c>
    </row>
    <row r="35" spans="1:14" x14ac:dyDescent="0.2">
      <c r="A35" s="8">
        <v>34</v>
      </c>
      <c r="B35" s="5">
        <v>44940</v>
      </c>
      <c r="C35" s="7" t="s">
        <v>1040</v>
      </c>
      <c r="D35" s="8">
        <v>1</v>
      </c>
      <c r="E35" s="8">
        <v>2023</v>
      </c>
      <c r="F35" s="7" t="s">
        <v>781</v>
      </c>
      <c r="G35" s="7" t="s">
        <v>13</v>
      </c>
      <c r="H35" s="8">
        <v>24</v>
      </c>
      <c r="I35" s="7" t="s">
        <v>1021</v>
      </c>
      <c r="J35" s="7" t="s">
        <v>11</v>
      </c>
      <c r="K35" s="8">
        <v>3</v>
      </c>
      <c r="L35" s="7" t="s">
        <v>1022</v>
      </c>
      <c r="M35" s="10">
        <v>25</v>
      </c>
      <c r="N35" s="10">
        <v>75</v>
      </c>
    </row>
    <row r="36" spans="1:14" x14ac:dyDescent="0.2">
      <c r="A36" s="8">
        <v>35</v>
      </c>
      <c r="B36" s="5">
        <v>44941</v>
      </c>
      <c r="C36" s="7" t="s">
        <v>1040</v>
      </c>
      <c r="D36" s="8">
        <v>1</v>
      </c>
      <c r="E36" s="8">
        <v>2023</v>
      </c>
      <c r="F36" s="7" t="s">
        <v>512</v>
      </c>
      <c r="G36" s="7" t="s">
        <v>10</v>
      </c>
      <c r="H36" s="8">
        <v>46</v>
      </c>
      <c r="I36" s="7" t="s">
        <v>1019</v>
      </c>
      <c r="J36" s="7" t="s">
        <v>11</v>
      </c>
      <c r="K36" s="8">
        <v>2</v>
      </c>
      <c r="L36" s="7" t="s">
        <v>1024</v>
      </c>
      <c r="M36" s="10">
        <v>30</v>
      </c>
      <c r="N36" s="10">
        <v>60</v>
      </c>
    </row>
    <row r="37" spans="1:14" x14ac:dyDescent="0.2">
      <c r="A37" s="8">
        <v>36</v>
      </c>
      <c r="B37" s="5">
        <v>44941</v>
      </c>
      <c r="C37" s="7" t="s">
        <v>1040</v>
      </c>
      <c r="D37" s="8">
        <v>1</v>
      </c>
      <c r="E37" s="8">
        <v>2023</v>
      </c>
      <c r="F37" s="7" t="s">
        <v>710</v>
      </c>
      <c r="G37" s="7" t="s">
        <v>10</v>
      </c>
      <c r="H37" s="8">
        <v>53</v>
      </c>
      <c r="I37" s="7" t="s">
        <v>1019</v>
      </c>
      <c r="J37" s="7" t="s">
        <v>14</v>
      </c>
      <c r="K37" s="8">
        <v>1</v>
      </c>
      <c r="L37" s="7" t="s">
        <v>1023</v>
      </c>
      <c r="M37" s="10">
        <v>500</v>
      </c>
      <c r="N37" s="10">
        <v>500</v>
      </c>
    </row>
    <row r="38" spans="1:14" x14ac:dyDescent="0.2">
      <c r="A38" s="8">
        <v>37</v>
      </c>
      <c r="B38" s="5">
        <v>44941</v>
      </c>
      <c r="C38" s="7" t="s">
        <v>1040</v>
      </c>
      <c r="D38" s="8">
        <v>1</v>
      </c>
      <c r="E38" s="8">
        <v>2023</v>
      </c>
      <c r="F38" s="7" t="s">
        <v>844</v>
      </c>
      <c r="G38" s="7" t="s">
        <v>10</v>
      </c>
      <c r="H38" s="8">
        <v>27</v>
      </c>
      <c r="I38" s="7" t="s">
        <v>1021</v>
      </c>
      <c r="J38" s="7" t="s">
        <v>16</v>
      </c>
      <c r="K38" s="8">
        <v>4</v>
      </c>
      <c r="L38" s="7" t="s">
        <v>1025</v>
      </c>
      <c r="M38" s="10">
        <v>25</v>
      </c>
      <c r="N38" s="10">
        <v>100</v>
      </c>
    </row>
    <row r="39" spans="1:14" x14ac:dyDescent="0.2">
      <c r="A39" s="8">
        <v>38</v>
      </c>
      <c r="B39" s="5">
        <v>44942</v>
      </c>
      <c r="C39" s="7" t="s">
        <v>1040</v>
      </c>
      <c r="D39" s="8">
        <v>1</v>
      </c>
      <c r="E39" s="8">
        <v>2023</v>
      </c>
      <c r="F39" s="7" t="s">
        <v>28</v>
      </c>
      <c r="G39" s="7" t="s">
        <v>13</v>
      </c>
      <c r="H39" s="8">
        <v>42</v>
      </c>
      <c r="I39" s="7" t="s">
        <v>1017</v>
      </c>
      <c r="J39" s="7" t="s">
        <v>16</v>
      </c>
      <c r="K39" s="8">
        <v>4</v>
      </c>
      <c r="L39" s="7" t="s">
        <v>1025</v>
      </c>
      <c r="M39" s="10">
        <v>500</v>
      </c>
      <c r="N39" s="10">
        <v>2000</v>
      </c>
    </row>
    <row r="40" spans="1:14" x14ac:dyDescent="0.2">
      <c r="A40" s="8">
        <v>39</v>
      </c>
      <c r="B40" s="5">
        <v>44942</v>
      </c>
      <c r="C40" s="7" t="s">
        <v>1040</v>
      </c>
      <c r="D40" s="8">
        <v>1</v>
      </c>
      <c r="E40" s="8">
        <v>2023</v>
      </c>
      <c r="F40" s="7" t="s">
        <v>756</v>
      </c>
      <c r="G40" s="7" t="s">
        <v>13</v>
      </c>
      <c r="H40" s="8">
        <v>34</v>
      </c>
      <c r="I40" s="7" t="s">
        <v>1021</v>
      </c>
      <c r="J40" s="7" t="s">
        <v>11</v>
      </c>
      <c r="K40" s="8">
        <v>4</v>
      </c>
      <c r="L40" s="7" t="s">
        <v>1025</v>
      </c>
      <c r="M40" s="10">
        <v>500</v>
      </c>
      <c r="N40" s="10">
        <v>2000</v>
      </c>
    </row>
    <row r="41" spans="1:14" x14ac:dyDescent="0.2">
      <c r="A41" s="8">
        <v>40</v>
      </c>
      <c r="B41" s="5">
        <v>44943</v>
      </c>
      <c r="C41" s="7" t="s">
        <v>1040</v>
      </c>
      <c r="D41" s="8">
        <v>1</v>
      </c>
      <c r="E41" s="8">
        <v>2023</v>
      </c>
      <c r="F41" s="7" t="s">
        <v>27</v>
      </c>
      <c r="G41" s="7" t="s">
        <v>10</v>
      </c>
      <c r="H41" s="8">
        <v>64</v>
      </c>
      <c r="I41" s="7" t="s">
        <v>1018</v>
      </c>
      <c r="J41" s="7" t="s">
        <v>14</v>
      </c>
      <c r="K41" s="8">
        <v>4</v>
      </c>
      <c r="L41" s="7" t="s">
        <v>1025</v>
      </c>
      <c r="M41" s="10">
        <v>30</v>
      </c>
      <c r="N41" s="10">
        <v>120</v>
      </c>
    </row>
    <row r="42" spans="1:14" x14ac:dyDescent="0.2">
      <c r="A42" s="8">
        <v>41</v>
      </c>
      <c r="B42" s="5">
        <v>44943</v>
      </c>
      <c r="C42" s="7" t="s">
        <v>1040</v>
      </c>
      <c r="D42" s="8">
        <v>1</v>
      </c>
      <c r="E42" s="8">
        <v>2023</v>
      </c>
      <c r="F42" s="7" t="s">
        <v>116</v>
      </c>
      <c r="G42" s="7" t="s">
        <v>13</v>
      </c>
      <c r="H42" s="8">
        <v>59</v>
      </c>
      <c r="I42" s="7" t="s">
        <v>1018</v>
      </c>
      <c r="J42" s="7" t="s">
        <v>14</v>
      </c>
      <c r="K42" s="8">
        <v>1</v>
      </c>
      <c r="L42" s="7" t="s">
        <v>1023</v>
      </c>
      <c r="M42" s="10">
        <v>25</v>
      </c>
      <c r="N42" s="10">
        <v>25</v>
      </c>
    </row>
    <row r="43" spans="1:14" x14ac:dyDescent="0.2">
      <c r="A43" s="8">
        <v>42</v>
      </c>
      <c r="B43" s="5">
        <v>44943</v>
      </c>
      <c r="C43" s="7" t="s">
        <v>1040</v>
      </c>
      <c r="D43" s="8">
        <v>1</v>
      </c>
      <c r="E43" s="8">
        <v>2023</v>
      </c>
      <c r="F43" s="7" t="s">
        <v>251</v>
      </c>
      <c r="G43" s="7" t="s">
        <v>13</v>
      </c>
      <c r="H43" s="8">
        <v>39</v>
      </c>
      <c r="I43" s="7" t="s">
        <v>1017</v>
      </c>
      <c r="J43" s="7" t="s">
        <v>11</v>
      </c>
      <c r="K43" s="8">
        <v>1</v>
      </c>
      <c r="L43" s="7" t="s">
        <v>1023</v>
      </c>
      <c r="M43" s="10">
        <v>500</v>
      </c>
      <c r="N43" s="10">
        <v>500</v>
      </c>
    </row>
    <row r="44" spans="1:14" x14ac:dyDescent="0.2">
      <c r="A44" s="8">
        <v>43</v>
      </c>
      <c r="B44" s="5">
        <v>44943</v>
      </c>
      <c r="C44" s="7" t="s">
        <v>1040</v>
      </c>
      <c r="D44" s="8">
        <v>1</v>
      </c>
      <c r="E44" s="8">
        <v>2023</v>
      </c>
      <c r="F44" s="7" t="s">
        <v>999</v>
      </c>
      <c r="G44" s="7" t="s">
        <v>13</v>
      </c>
      <c r="H44" s="8">
        <v>49</v>
      </c>
      <c r="I44" s="7" t="s">
        <v>1019</v>
      </c>
      <c r="J44" s="7" t="s">
        <v>14</v>
      </c>
      <c r="K44" s="8">
        <v>2</v>
      </c>
      <c r="L44" s="7" t="s">
        <v>1024</v>
      </c>
      <c r="M44" s="10">
        <v>500</v>
      </c>
      <c r="N44" s="10">
        <v>1000</v>
      </c>
    </row>
    <row r="45" spans="1:14" x14ac:dyDescent="0.2">
      <c r="A45" s="8">
        <v>44</v>
      </c>
      <c r="B45" s="5">
        <v>44945</v>
      </c>
      <c r="C45" s="7" t="s">
        <v>1040</v>
      </c>
      <c r="D45" s="8">
        <v>1</v>
      </c>
      <c r="E45" s="8">
        <v>2023</v>
      </c>
      <c r="F45" s="7" t="s">
        <v>451</v>
      </c>
      <c r="G45" s="7" t="s">
        <v>13</v>
      </c>
      <c r="H45" s="8">
        <v>42</v>
      </c>
      <c r="I45" s="7" t="s">
        <v>1017</v>
      </c>
      <c r="J45" s="7" t="s">
        <v>14</v>
      </c>
      <c r="K45" s="8">
        <v>1</v>
      </c>
      <c r="L45" s="7" t="s">
        <v>1023</v>
      </c>
      <c r="M45" s="10">
        <v>30</v>
      </c>
      <c r="N45" s="10">
        <v>30</v>
      </c>
    </row>
    <row r="46" spans="1:14" x14ac:dyDescent="0.2">
      <c r="A46" s="8">
        <v>45</v>
      </c>
      <c r="B46" s="5">
        <v>44946</v>
      </c>
      <c r="C46" s="7" t="s">
        <v>1040</v>
      </c>
      <c r="D46" s="8">
        <v>1</v>
      </c>
      <c r="E46" s="8">
        <v>2023</v>
      </c>
      <c r="F46" s="7" t="s">
        <v>488</v>
      </c>
      <c r="G46" s="7" t="s">
        <v>10</v>
      </c>
      <c r="H46" s="8">
        <v>26</v>
      </c>
      <c r="I46" s="7" t="s">
        <v>1021</v>
      </c>
      <c r="J46" s="7" t="s">
        <v>14</v>
      </c>
      <c r="K46" s="8">
        <v>3</v>
      </c>
      <c r="L46" s="7" t="s">
        <v>1022</v>
      </c>
      <c r="M46" s="10">
        <v>25</v>
      </c>
      <c r="N46" s="10">
        <v>75</v>
      </c>
    </row>
    <row r="47" spans="1:14" x14ac:dyDescent="0.2">
      <c r="A47" s="8">
        <v>46</v>
      </c>
      <c r="B47" s="5">
        <v>44946</v>
      </c>
      <c r="C47" s="7" t="s">
        <v>1040</v>
      </c>
      <c r="D47" s="8">
        <v>1</v>
      </c>
      <c r="E47" s="8">
        <v>2023</v>
      </c>
      <c r="F47" s="7" t="s">
        <v>518</v>
      </c>
      <c r="G47" s="7" t="s">
        <v>10</v>
      </c>
      <c r="H47" s="8">
        <v>24</v>
      </c>
      <c r="I47" s="7" t="s">
        <v>1021</v>
      </c>
      <c r="J47" s="7" t="s">
        <v>11</v>
      </c>
      <c r="K47" s="8">
        <v>1</v>
      </c>
      <c r="L47" s="7" t="s">
        <v>1023</v>
      </c>
      <c r="M47" s="10">
        <v>50</v>
      </c>
      <c r="N47" s="10">
        <v>50</v>
      </c>
    </row>
    <row r="48" spans="1:14" x14ac:dyDescent="0.2">
      <c r="A48" s="8">
        <v>47</v>
      </c>
      <c r="B48" s="5">
        <v>44947</v>
      </c>
      <c r="C48" s="7" t="s">
        <v>1040</v>
      </c>
      <c r="D48" s="8">
        <v>1</v>
      </c>
      <c r="E48" s="8">
        <v>2023</v>
      </c>
      <c r="F48" s="7" t="s">
        <v>357</v>
      </c>
      <c r="G48" s="7" t="s">
        <v>13</v>
      </c>
      <c r="H48" s="8">
        <v>42</v>
      </c>
      <c r="I48" s="7" t="s">
        <v>1017</v>
      </c>
      <c r="J48" s="7" t="s">
        <v>11</v>
      </c>
      <c r="K48" s="8">
        <v>1</v>
      </c>
      <c r="L48" s="7" t="s">
        <v>1023</v>
      </c>
      <c r="M48" s="10">
        <v>30</v>
      </c>
      <c r="N48" s="10">
        <v>30</v>
      </c>
    </row>
    <row r="49" spans="1:14" x14ac:dyDescent="0.2">
      <c r="A49" s="8">
        <v>48</v>
      </c>
      <c r="B49" s="5">
        <v>44947</v>
      </c>
      <c r="C49" s="7" t="s">
        <v>1040</v>
      </c>
      <c r="D49" s="8">
        <v>1</v>
      </c>
      <c r="E49" s="8">
        <v>2023</v>
      </c>
      <c r="F49" s="7" t="s">
        <v>461</v>
      </c>
      <c r="G49" s="7" t="s">
        <v>13</v>
      </c>
      <c r="H49" s="8">
        <v>54</v>
      </c>
      <c r="I49" s="7" t="s">
        <v>1019</v>
      </c>
      <c r="J49" s="7" t="s">
        <v>11</v>
      </c>
      <c r="K49" s="8">
        <v>2</v>
      </c>
      <c r="L49" s="7" t="s">
        <v>1024</v>
      </c>
      <c r="M49" s="10">
        <v>30</v>
      </c>
      <c r="N49" s="10">
        <v>60</v>
      </c>
    </row>
    <row r="50" spans="1:14" x14ac:dyDescent="0.2">
      <c r="A50" s="8">
        <v>49</v>
      </c>
      <c r="B50" s="5">
        <v>44947</v>
      </c>
      <c r="C50" s="7" t="s">
        <v>1040</v>
      </c>
      <c r="D50" s="8">
        <v>1</v>
      </c>
      <c r="E50" s="8">
        <v>2023</v>
      </c>
      <c r="F50" s="7" t="s">
        <v>755</v>
      </c>
      <c r="G50" s="7" t="s">
        <v>13</v>
      </c>
      <c r="H50" s="8">
        <v>38</v>
      </c>
      <c r="I50" s="7" t="s">
        <v>1017</v>
      </c>
      <c r="J50" s="7" t="s">
        <v>16</v>
      </c>
      <c r="K50" s="8">
        <v>4</v>
      </c>
      <c r="L50" s="7" t="s">
        <v>1025</v>
      </c>
      <c r="M50" s="10">
        <v>500</v>
      </c>
      <c r="N50" s="10">
        <v>2000</v>
      </c>
    </row>
    <row r="51" spans="1:14" x14ac:dyDescent="0.2">
      <c r="A51" s="8">
        <v>50</v>
      </c>
      <c r="B51" s="5">
        <v>44948</v>
      </c>
      <c r="C51" s="7" t="s">
        <v>1040</v>
      </c>
      <c r="D51" s="8">
        <v>1</v>
      </c>
      <c r="E51" s="8">
        <v>2023</v>
      </c>
      <c r="F51" s="7" t="s">
        <v>458</v>
      </c>
      <c r="G51" s="7" t="s">
        <v>13</v>
      </c>
      <c r="H51" s="8">
        <v>53</v>
      </c>
      <c r="I51" s="7" t="s">
        <v>1019</v>
      </c>
      <c r="J51" s="7" t="s">
        <v>16</v>
      </c>
      <c r="K51" s="8">
        <v>1</v>
      </c>
      <c r="L51" s="7" t="s">
        <v>1023</v>
      </c>
      <c r="M51" s="10">
        <v>300</v>
      </c>
      <c r="N51" s="10">
        <v>300</v>
      </c>
    </row>
    <row r="52" spans="1:14" x14ac:dyDescent="0.2">
      <c r="A52" s="8">
        <v>51</v>
      </c>
      <c r="B52" s="5">
        <v>44948</v>
      </c>
      <c r="C52" s="7" t="s">
        <v>1040</v>
      </c>
      <c r="D52" s="8">
        <v>1</v>
      </c>
      <c r="E52" s="8">
        <v>2023</v>
      </c>
      <c r="F52" s="7" t="s">
        <v>800</v>
      </c>
      <c r="G52" s="7" t="s">
        <v>10</v>
      </c>
      <c r="H52" s="8">
        <v>41</v>
      </c>
      <c r="I52" s="7" t="s">
        <v>1017</v>
      </c>
      <c r="J52" s="7" t="s">
        <v>16</v>
      </c>
      <c r="K52" s="8">
        <v>1</v>
      </c>
      <c r="L52" s="7" t="s">
        <v>1023</v>
      </c>
      <c r="M52" s="10">
        <v>25</v>
      </c>
      <c r="N52" s="10">
        <v>25</v>
      </c>
    </row>
    <row r="53" spans="1:14" x14ac:dyDescent="0.2">
      <c r="A53" s="8">
        <v>52</v>
      </c>
      <c r="B53" s="5">
        <v>44949</v>
      </c>
      <c r="C53" s="7" t="s">
        <v>1040</v>
      </c>
      <c r="D53" s="8">
        <v>1</v>
      </c>
      <c r="E53" s="8">
        <v>2024</v>
      </c>
      <c r="F53" s="7" t="s">
        <v>62</v>
      </c>
      <c r="G53" s="7" t="s">
        <v>13</v>
      </c>
      <c r="H53" s="8">
        <v>54</v>
      </c>
      <c r="I53" s="7" t="s">
        <v>1019</v>
      </c>
      <c r="J53" s="7" t="s">
        <v>16</v>
      </c>
      <c r="K53" s="8">
        <v>2</v>
      </c>
      <c r="L53" s="7" t="s">
        <v>1024</v>
      </c>
      <c r="M53" s="10">
        <v>500</v>
      </c>
      <c r="N53" s="10">
        <v>1000</v>
      </c>
    </row>
    <row r="54" spans="1:14" x14ac:dyDescent="0.2">
      <c r="A54" s="8">
        <v>53</v>
      </c>
      <c r="B54" s="5">
        <v>44949</v>
      </c>
      <c r="C54" s="7" t="s">
        <v>1040</v>
      </c>
      <c r="D54" s="8">
        <v>1</v>
      </c>
      <c r="E54" s="8">
        <v>2023</v>
      </c>
      <c r="F54" s="7" t="s">
        <v>433</v>
      </c>
      <c r="G54" s="7" t="s">
        <v>13</v>
      </c>
      <c r="H54" s="8">
        <v>22</v>
      </c>
      <c r="I54" s="7" t="s">
        <v>1021</v>
      </c>
      <c r="J54" s="7" t="s">
        <v>14</v>
      </c>
      <c r="K54" s="8">
        <v>4</v>
      </c>
      <c r="L54" s="7" t="s">
        <v>1025</v>
      </c>
      <c r="M54" s="10">
        <v>500</v>
      </c>
      <c r="N54" s="10">
        <v>2000</v>
      </c>
    </row>
    <row r="55" spans="1:14" x14ac:dyDescent="0.2">
      <c r="A55" s="8">
        <v>54</v>
      </c>
      <c r="B55" s="5">
        <v>44949</v>
      </c>
      <c r="C55" s="7" t="s">
        <v>1040</v>
      </c>
      <c r="D55" s="8">
        <v>1</v>
      </c>
      <c r="E55" s="8">
        <v>2023</v>
      </c>
      <c r="F55" s="7" t="s">
        <v>532</v>
      </c>
      <c r="G55" s="7" t="s">
        <v>13</v>
      </c>
      <c r="H55" s="8">
        <v>36</v>
      </c>
      <c r="I55" s="7" t="s">
        <v>1017</v>
      </c>
      <c r="J55" s="7" t="s">
        <v>16</v>
      </c>
      <c r="K55" s="8">
        <v>4</v>
      </c>
      <c r="L55" s="7" t="s">
        <v>1025</v>
      </c>
      <c r="M55" s="10">
        <v>30</v>
      </c>
      <c r="N55" s="10">
        <v>120</v>
      </c>
    </row>
    <row r="56" spans="1:14" x14ac:dyDescent="0.2">
      <c r="A56" s="8">
        <v>55</v>
      </c>
      <c r="B56" s="5">
        <v>44950</v>
      </c>
      <c r="C56" s="7" t="s">
        <v>1040</v>
      </c>
      <c r="D56" s="8">
        <v>1</v>
      </c>
      <c r="E56" s="8">
        <v>2023</v>
      </c>
      <c r="F56" s="7" t="s">
        <v>77</v>
      </c>
      <c r="G56" s="7" t="s">
        <v>10</v>
      </c>
      <c r="H56" s="8">
        <v>49</v>
      </c>
      <c r="I56" s="7" t="s">
        <v>1019</v>
      </c>
      <c r="J56" s="7" t="s">
        <v>14</v>
      </c>
      <c r="K56" s="8">
        <v>4</v>
      </c>
      <c r="L56" s="7" t="s">
        <v>1025</v>
      </c>
      <c r="M56" s="10">
        <v>25</v>
      </c>
      <c r="N56" s="10">
        <v>100</v>
      </c>
    </row>
    <row r="57" spans="1:14" x14ac:dyDescent="0.2">
      <c r="A57" s="8">
        <v>56</v>
      </c>
      <c r="B57" s="5">
        <v>44950</v>
      </c>
      <c r="C57" s="7" t="s">
        <v>1040</v>
      </c>
      <c r="D57" s="8">
        <v>1</v>
      </c>
      <c r="E57" s="8">
        <v>2023</v>
      </c>
      <c r="F57" s="7" t="s">
        <v>605</v>
      </c>
      <c r="G57" s="7" t="s">
        <v>13</v>
      </c>
      <c r="H57" s="8">
        <v>46</v>
      </c>
      <c r="I57" s="7" t="s">
        <v>1019</v>
      </c>
      <c r="J57" s="7" t="s">
        <v>11</v>
      </c>
      <c r="K57" s="8">
        <v>4</v>
      </c>
      <c r="L57" s="7" t="s">
        <v>1025</v>
      </c>
      <c r="M57" s="10">
        <v>500</v>
      </c>
      <c r="N57" s="10">
        <v>2000</v>
      </c>
    </row>
    <row r="58" spans="1:14" x14ac:dyDescent="0.2">
      <c r="A58" s="8">
        <v>57</v>
      </c>
      <c r="B58" s="5">
        <v>44950</v>
      </c>
      <c r="C58" s="7" t="s">
        <v>1040</v>
      </c>
      <c r="D58" s="8">
        <v>1</v>
      </c>
      <c r="E58" s="8">
        <v>2023</v>
      </c>
      <c r="F58" s="7" t="s">
        <v>925</v>
      </c>
      <c r="G58" s="7" t="s">
        <v>10</v>
      </c>
      <c r="H58" s="8">
        <v>51</v>
      </c>
      <c r="I58" s="7" t="s">
        <v>1019</v>
      </c>
      <c r="J58" s="7" t="s">
        <v>11</v>
      </c>
      <c r="K58" s="8">
        <v>3</v>
      </c>
      <c r="L58" s="7" t="s">
        <v>1022</v>
      </c>
      <c r="M58" s="10">
        <v>50</v>
      </c>
      <c r="N58" s="10">
        <v>150</v>
      </c>
    </row>
    <row r="59" spans="1:14" x14ac:dyDescent="0.2">
      <c r="A59" s="8">
        <v>58</v>
      </c>
      <c r="B59" s="5">
        <v>44951</v>
      </c>
      <c r="C59" s="7" t="s">
        <v>1040</v>
      </c>
      <c r="D59" s="8">
        <v>1</v>
      </c>
      <c r="E59" s="8">
        <v>2023</v>
      </c>
      <c r="F59" s="7" t="s">
        <v>147</v>
      </c>
      <c r="G59" s="7" t="s">
        <v>10</v>
      </c>
      <c r="H59" s="8">
        <v>49</v>
      </c>
      <c r="I59" s="7" t="s">
        <v>1019</v>
      </c>
      <c r="J59" s="7" t="s">
        <v>16</v>
      </c>
      <c r="K59" s="8">
        <v>1</v>
      </c>
      <c r="L59" s="7" t="s">
        <v>1023</v>
      </c>
      <c r="M59" s="10">
        <v>50</v>
      </c>
      <c r="N59" s="10">
        <v>50</v>
      </c>
    </row>
    <row r="60" spans="1:14" x14ac:dyDescent="0.2">
      <c r="A60" s="8">
        <v>59</v>
      </c>
      <c r="B60" s="5">
        <v>44952</v>
      </c>
      <c r="C60" s="7" t="s">
        <v>1040</v>
      </c>
      <c r="D60" s="8">
        <v>1</v>
      </c>
      <c r="E60" s="8">
        <v>2023</v>
      </c>
      <c r="F60" s="7" t="s">
        <v>301</v>
      </c>
      <c r="G60" s="7" t="s">
        <v>10</v>
      </c>
      <c r="H60" s="8">
        <v>28</v>
      </c>
      <c r="I60" s="7" t="s">
        <v>1021</v>
      </c>
      <c r="J60" s="7" t="s">
        <v>14</v>
      </c>
      <c r="K60" s="8">
        <v>4</v>
      </c>
      <c r="L60" s="7" t="s">
        <v>1025</v>
      </c>
      <c r="M60" s="10">
        <v>30</v>
      </c>
      <c r="N60" s="10">
        <v>120</v>
      </c>
    </row>
    <row r="61" spans="1:14" x14ac:dyDescent="0.2">
      <c r="A61" s="8">
        <v>60</v>
      </c>
      <c r="B61" s="5">
        <v>44952</v>
      </c>
      <c r="C61" s="7" t="s">
        <v>1040</v>
      </c>
      <c r="D61" s="8">
        <v>1</v>
      </c>
      <c r="E61" s="8">
        <v>2023</v>
      </c>
      <c r="F61" s="7" t="s">
        <v>336</v>
      </c>
      <c r="G61" s="7" t="s">
        <v>13</v>
      </c>
      <c r="H61" s="8">
        <v>29</v>
      </c>
      <c r="I61" s="7" t="s">
        <v>1021</v>
      </c>
      <c r="J61" s="7" t="s">
        <v>11</v>
      </c>
      <c r="K61" s="8">
        <v>3</v>
      </c>
      <c r="L61" s="7" t="s">
        <v>1022</v>
      </c>
      <c r="M61" s="10">
        <v>300</v>
      </c>
      <c r="N61" s="10">
        <v>900</v>
      </c>
    </row>
    <row r="62" spans="1:14" x14ac:dyDescent="0.2">
      <c r="A62" s="8">
        <v>61</v>
      </c>
      <c r="B62" s="5">
        <v>44952</v>
      </c>
      <c r="C62" s="7" t="s">
        <v>1040</v>
      </c>
      <c r="D62" s="8">
        <v>1</v>
      </c>
      <c r="E62" s="8">
        <v>2023</v>
      </c>
      <c r="F62" s="7" t="s">
        <v>631</v>
      </c>
      <c r="G62" s="7" t="s">
        <v>13</v>
      </c>
      <c r="H62" s="8">
        <v>27</v>
      </c>
      <c r="I62" s="7" t="s">
        <v>1021</v>
      </c>
      <c r="J62" s="7" t="s">
        <v>11</v>
      </c>
      <c r="K62" s="8">
        <v>1</v>
      </c>
      <c r="L62" s="7" t="s">
        <v>1023</v>
      </c>
      <c r="M62" s="10">
        <v>50</v>
      </c>
      <c r="N62" s="10">
        <v>50</v>
      </c>
    </row>
    <row r="63" spans="1:14" x14ac:dyDescent="0.2">
      <c r="A63" s="8">
        <v>62</v>
      </c>
      <c r="B63" s="5">
        <v>44952</v>
      </c>
      <c r="C63" s="7" t="s">
        <v>1040</v>
      </c>
      <c r="D63" s="8">
        <v>1</v>
      </c>
      <c r="E63" s="8">
        <v>2023</v>
      </c>
      <c r="F63" s="7" t="s">
        <v>733</v>
      </c>
      <c r="G63" s="7" t="s">
        <v>13</v>
      </c>
      <c r="H63" s="8">
        <v>56</v>
      </c>
      <c r="I63" s="7" t="s">
        <v>1018</v>
      </c>
      <c r="J63" s="7" t="s">
        <v>11</v>
      </c>
      <c r="K63" s="8">
        <v>3</v>
      </c>
      <c r="L63" s="7" t="s">
        <v>1022</v>
      </c>
      <c r="M63" s="10">
        <v>500</v>
      </c>
      <c r="N63" s="10">
        <v>1500</v>
      </c>
    </row>
    <row r="64" spans="1:14" x14ac:dyDescent="0.2">
      <c r="A64" s="8">
        <v>63</v>
      </c>
      <c r="B64" s="5">
        <v>44953</v>
      </c>
      <c r="C64" s="7" t="s">
        <v>1040</v>
      </c>
      <c r="D64" s="8">
        <v>1</v>
      </c>
      <c r="E64" s="8">
        <v>2023</v>
      </c>
      <c r="F64" s="7" t="s">
        <v>428</v>
      </c>
      <c r="G64" s="7" t="s">
        <v>10</v>
      </c>
      <c r="H64" s="8">
        <v>53</v>
      </c>
      <c r="I64" s="7" t="s">
        <v>1019</v>
      </c>
      <c r="J64" s="7" t="s">
        <v>14</v>
      </c>
      <c r="K64" s="8">
        <v>2</v>
      </c>
      <c r="L64" s="7" t="s">
        <v>1024</v>
      </c>
      <c r="M64" s="10">
        <v>30</v>
      </c>
      <c r="N64" s="10">
        <v>60</v>
      </c>
    </row>
    <row r="65" spans="1:14" x14ac:dyDescent="0.2">
      <c r="A65" s="8">
        <v>64</v>
      </c>
      <c r="B65" s="5">
        <v>44953</v>
      </c>
      <c r="C65" s="7" t="s">
        <v>1040</v>
      </c>
      <c r="D65" s="8">
        <v>1</v>
      </c>
      <c r="E65" s="8">
        <v>2023</v>
      </c>
      <c r="F65" s="7" t="s">
        <v>749</v>
      </c>
      <c r="G65" s="7" t="s">
        <v>10</v>
      </c>
      <c r="H65" s="8">
        <v>29</v>
      </c>
      <c r="I65" s="7" t="s">
        <v>1021</v>
      </c>
      <c r="J65" s="7" t="s">
        <v>14</v>
      </c>
      <c r="K65" s="8">
        <v>4</v>
      </c>
      <c r="L65" s="7" t="s">
        <v>1025</v>
      </c>
      <c r="M65" s="10">
        <v>25</v>
      </c>
      <c r="N65" s="10">
        <v>100</v>
      </c>
    </row>
    <row r="66" spans="1:14" x14ac:dyDescent="0.2">
      <c r="A66" s="8">
        <v>65</v>
      </c>
      <c r="B66" s="5">
        <v>44953</v>
      </c>
      <c r="C66" s="7" t="s">
        <v>1040</v>
      </c>
      <c r="D66" s="8">
        <v>1</v>
      </c>
      <c r="E66" s="8">
        <v>2023</v>
      </c>
      <c r="F66" s="7" t="s">
        <v>942</v>
      </c>
      <c r="G66" s="7" t="s">
        <v>13</v>
      </c>
      <c r="H66" s="8">
        <v>23</v>
      </c>
      <c r="I66" s="7" t="s">
        <v>1021</v>
      </c>
      <c r="J66" s="7" t="s">
        <v>11</v>
      </c>
      <c r="K66" s="8">
        <v>3</v>
      </c>
      <c r="L66" s="7" t="s">
        <v>1022</v>
      </c>
      <c r="M66" s="10">
        <v>25</v>
      </c>
      <c r="N66" s="10">
        <v>75</v>
      </c>
    </row>
    <row r="67" spans="1:14" x14ac:dyDescent="0.2">
      <c r="A67" s="8">
        <v>66</v>
      </c>
      <c r="B67" s="5">
        <v>44954</v>
      </c>
      <c r="C67" s="7" t="s">
        <v>1040</v>
      </c>
      <c r="D67" s="8">
        <v>1</v>
      </c>
      <c r="E67" s="8">
        <v>2023</v>
      </c>
      <c r="F67" s="7" t="s">
        <v>277</v>
      </c>
      <c r="G67" s="7" t="s">
        <v>10</v>
      </c>
      <c r="H67" s="8">
        <v>47</v>
      </c>
      <c r="I67" s="7" t="s">
        <v>1019</v>
      </c>
      <c r="J67" s="7" t="s">
        <v>14</v>
      </c>
      <c r="K67" s="8">
        <v>3</v>
      </c>
      <c r="L67" s="7" t="s">
        <v>1022</v>
      </c>
      <c r="M67" s="10">
        <v>300</v>
      </c>
      <c r="N67" s="10">
        <v>900</v>
      </c>
    </row>
    <row r="68" spans="1:14" x14ac:dyDescent="0.2">
      <c r="A68" s="8">
        <v>67</v>
      </c>
      <c r="B68" s="5">
        <v>44954</v>
      </c>
      <c r="C68" s="7" t="s">
        <v>1040</v>
      </c>
      <c r="D68" s="8">
        <v>1</v>
      </c>
      <c r="E68" s="8">
        <v>2023</v>
      </c>
      <c r="F68" s="7" t="s">
        <v>926</v>
      </c>
      <c r="G68" s="7" t="s">
        <v>10</v>
      </c>
      <c r="H68" s="8">
        <v>29</v>
      </c>
      <c r="I68" s="7" t="s">
        <v>1021</v>
      </c>
      <c r="J68" s="7" t="s">
        <v>16</v>
      </c>
      <c r="K68" s="8">
        <v>3</v>
      </c>
      <c r="L68" s="7" t="s">
        <v>1022</v>
      </c>
      <c r="M68" s="10">
        <v>30</v>
      </c>
      <c r="N68" s="10">
        <v>90</v>
      </c>
    </row>
    <row r="69" spans="1:14" x14ac:dyDescent="0.2">
      <c r="A69" s="8">
        <v>68</v>
      </c>
      <c r="B69" s="5">
        <v>44954</v>
      </c>
      <c r="C69" s="7" t="s">
        <v>1040</v>
      </c>
      <c r="D69" s="8">
        <v>1</v>
      </c>
      <c r="E69" s="8">
        <v>2023</v>
      </c>
      <c r="F69" s="7" t="s">
        <v>953</v>
      </c>
      <c r="G69" s="7" t="s">
        <v>13</v>
      </c>
      <c r="H69" s="8">
        <v>20</v>
      </c>
      <c r="I69" s="7" t="s">
        <v>1021</v>
      </c>
      <c r="J69" s="7" t="s">
        <v>16</v>
      </c>
      <c r="K69" s="8">
        <v>1</v>
      </c>
      <c r="L69" s="7" t="s">
        <v>1023</v>
      </c>
      <c r="M69" s="10">
        <v>30</v>
      </c>
      <c r="N69" s="10">
        <v>30</v>
      </c>
    </row>
    <row r="70" spans="1:14" x14ac:dyDescent="0.2">
      <c r="A70" s="8">
        <v>69</v>
      </c>
      <c r="B70" s="5">
        <v>44955</v>
      </c>
      <c r="C70" s="7" t="s">
        <v>1040</v>
      </c>
      <c r="D70" s="8">
        <v>1</v>
      </c>
      <c r="E70" s="8">
        <v>2023</v>
      </c>
      <c r="F70" s="7" t="s">
        <v>114</v>
      </c>
      <c r="G70" s="7" t="s">
        <v>10</v>
      </c>
      <c r="H70" s="8">
        <v>32</v>
      </c>
      <c r="I70" s="7" t="s">
        <v>1021</v>
      </c>
      <c r="J70" s="7" t="s">
        <v>14</v>
      </c>
      <c r="K70" s="8">
        <v>2</v>
      </c>
      <c r="L70" s="7" t="s">
        <v>1024</v>
      </c>
      <c r="M70" s="10">
        <v>300</v>
      </c>
      <c r="N70" s="10">
        <v>600</v>
      </c>
    </row>
    <row r="71" spans="1:14" x14ac:dyDescent="0.2">
      <c r="A71" s="8">
        <v>70</v>
      </c>
      <c r="B71" s="5">
        <v>44956</v>
      </c>
      <c r="C71" s="7" t="s">
        <v>1040</v>
      </c>
      <c r="D71" s="8">
        <v>1</v>
      </c>
      <c r="E71" s="8">
        <v>2023</v>
      </c>
      <c r="F71" s="7" t="s">
        <v>202</v>
      </c>
      <c r="G71" s="7" t="s">
        <v>10</v>
      </c>
      <c r="H71" s="8">
        <v>63</v>
      </c>
      <c r="I71" s="7" t="s">
        <v>1018</v>
      </c>
      <c r="J71" s="7" t="s">
        <v>11</v>
      </c>
      <c r="K71" s="8">
        <v>1</v>
      </c>
      <c r="L71" s="7" t="s">
        <v>1023</v>
      </c>
      <c r="M71" s="10">
        <v>50</v>
      </c>
      <c r="N71" s="10">
        <v>50</v>
      </c>
    </row>
    <row r="72" spans="1:14" x14ac:dyDescent="0.2">
      <c r="A72" s="8">
        <v>71</v>
      </c>
      <c r="B72" s="5">
        <v>44956</v>
      </c>
      <c r="C72" s="7" t="s">
        <v>1040</v>
      </c>
      <c r="D72" s="8">
        <v>1</v>
      </c>
      <c r="E72" s="8">
        <v>2023</v>
      </c>
      <c r="F72" s="7" t="s">
        <v>330</v>
      </c>
      <c r="G72" s="7" t="s">
        <v>10</v>
      </c>
      <c r="H72" s="8">
        <v>22</v>
      </c>
      <c r="I72" s="7" t="s">
        <v>1021</v>
      </c>
      <c r="J72" s="7" t="s">
        <v>16</v>
      </c>
      <c r="K72" s="8">
        <v>3</v>
      </c>
      <c r="L72" s="7" t="s">
        <v>1022</v>
      </c>
      <c r="M72" s="10">
        <v>30</v>
      </c>
      <c r="N72" s="10">
        <v>90</v>
      </c>
    </row>
    <row r="73" spans="1:14" x14ac:dyDescent="0.2">
      <c r="A73" s="8">
        <v>72</v>
      </c>
      <c r="B73" s="5">
        <v>44956</v>
      </c>
      <c r="C73" s="7" t="s">
        <v>1040</v>
      </c>
      <c r="D73" s="8">
        <v>1</v>
      </c>
      <c r="E73" s="8">
        <v>2023</v>
      </c>
      <c r="F73" s="7" t="s">
        <v>335</v>
      </c>
      <c r="G73" s="7" t="s">
        <v>10</v>
      </c>
      <c r="H73" s="8">
        <v>51</v>
      </c>
      <c r="I73" s="7" t="s">
        <v>1019</v>
      </c>
      <c r="J73" s="7" t="s">
        <v>16</v>
      </c>
      <c r="K73" s="8">
        <v>1</v>
      </c>
      <c r="L73" s="7" t="s">
        <v>1023</v>
      </c>
      <c r="M73" s="10">
        <v>500</v>
      </c>
      <c r="N73" s="10">
        <v>500</v>
      </c>
    </row>
    <row r="74" spans="1:14" x14ac:dyDescent="0.2">
      <c r="A74" s="8">
        <v>73</v>
      </c>
      <c r="B74" s="5">
        <v>44956</v>
      </c>
      <c r="C74" s="7" t="s">
        <v>1040</v>
      </c>
      <c r="D74" s="8">
        <v>1</v>
      </c>
      <c r="E74" s="8">
        <v>2023</v>
      </c>
      <c r="F74" s="7" t="s">
        <v>342</v>
      </c>
      <c r="G74" s="7" t="s">
        <v>13</v>
      </c>
      <c r="H74" s="8">
        <v>46</v>
      </c>
      <c r="I74" s="7" t="s">
        <v>1019</v>
      </c>
      <c r="J74" s="7" t="s">
        <v>16</v>
      </c>
      <c r="K74" s="8">
        <v>4</v>
      </c>
      <c r="L74" s="7" t="s">
        <v>1025</v>
      </c>
      <c r="M74" s="10">
        <v>25</v>
      </c>
      <c r="N74" s="10">
        <v>100</v>
      </c>
    </row>
    <row r="75" spans="1:14" x14ac:dyDescent="0.2">
      <c r="A75" s="8">
        <v>74</v>
      </c>
      <c r="B75" s="5">
        <v>44957</v>
      </c>
      <c r="C75" s="7" t="s">
        <v>1040</v>
      </c>
      <c r="D75" s="8">
        <v>1</v>
      </c>
      <c r="E75" s="8">
        <v>2023</v>
      </c>
      <c r="F75" s="7" t="s">
        <v>248</v>
      </c>
      <c r="G75" s="7" t="s">
        <v>13</v>
      </c>
      <c r="H75" s="8">
        <v>23</v>
      </c>
      <c r="I75" s="7" t="s">
        <v>1021</v>
      </c>
      <c r="J75" s="7" t="s">
        <v>16</v>
      </c>
      <c r="K75" s="8">
        <v>2</v>
      </c>
      <c r="L75" s="7" t="s">
        <v>1024</v>
      </c>
      <c r="M75" s="10">
        <v>500</v>
      </c>
      <c r="N75" s="10">
        <v>1000</v>
      </c>
    </row>
    <row r="76" spans="1:14" x14ac:dyDescent="0.2">
      <c r="A76" s="8">
        <v>75</v>
      </c>
      <c r="B76" s="5">
        <v>44957</v>
      </c>
      <c r="C76" s="7" t="s">
        <v>1040</v>
      </c>
      <c r="D76" s="8">
        <v>1</v>
      </c>
      <c r="E76" s="8">
        <v>2023</v>
      </c>
      <c r="F76" s="7" t="s">
        <v>313</v>
      </c>
      <c r="G76" s="7" t="s">
        <v>13</v>
      </c>
      <c r="H76" s="8">
        <v>19</v>
      </c>
      <c r="I76" s="7" t="s">
        <v>1021</v>
      </c>
      <c r="J76" s="7" t="s">
        <v>16</v>
      </c>
      <c r="K76" s="8">
        <v>4</v>
      </c>
      <c r="L76" s="7" t="s">
        <v>1025</v>
      </c>
      <c r="M76" s="10">
        <v>50</v>
      </c>
      <c r="N76" s="10">
        <v>200</v>
      </c>
    </row>
    <row r="77" spans="1:14" x14ac:dyDescent="0.2">
      <c r="A77" s="8">
        <v>76</v>
      </c>
      <c r="B77" s="5">
        <v>44957</v>
      </c>
      <c r="C77" s="7" t="s">
        <v>1040</v>
      </c>
      <c r="D77" s="8">
        <v>1</v>
      </c>
      <c r="E77" s="8">
        <v>2023</v>
      </c>
      <c r="F77" s="7" t="s">
        <v>977</v>
      </c>
      <c r="G77" s="7" t="s">
        <v>10</v>
      </c>
      <c r="H77" s="8">
        <v>24</v>
      </c>
      <c r="I77" s="7" t="s">
        <v>1021</v>
      </c>
      <c r="J77" s="7" t="s">
        <v>14</v>
      </c>
      <c r="K77" s="8">
        <v>3</v>
      </c>
      <c r="L77" s="7" t="s">
        <v>1022</v>
      </c>
      <c r="M77" s="10">
        <v>300</v>
      </c>
      <c r="N77" s="10">
        <v>900</v>
      </c>
    </row>
    <row r="78" spans="1:14" x14ac:dyDescent="0.2">
      <c r="A78" s="8">
        <v>77</v>
      </c>
      <c r="B78" s="5">
        <v>44958</v>
      </c>
      <c r="C78" s="7" t="s">
        <v>1040</v>
      </c>
      <c r="D78" s="8">
        <v>1</v>
      </c>
      <c r="E78" s="8">
        <v>2023</v>
      </c>
      <c r="F78" s="7" t="s">
        <v>282</v>
      </c>
      <c r="G78" s="7" t="s">
        <v>10</v>
      </c>
      <c r="H78" s="8">
        <v>25</v>
      </c>
      <c r="I78" s="7" t="s">
        <v>1021</v>
      </c>
      <c r="J78" s="7" t="s">
        <v>14</v>
      </c>
      <c r="K78" s="8">
        <v>4</v>
      </c>
      <c r="L78" s="7" t="s">
        <v>1025</v>
      </c>
      <c r="M78" s="10">
        <v>500</v>
      </c>
      <c r="N78" s="10">
        <v>2000</v>
      </c>
    </row>
    <row r="79" spans="1:14" x14ac:dyDescent="0.2">
      <c r="A79" s="8">
        <v>78</v>
      </c>
      <c r="B79" s="5">
        <v>44958</v>
      </c>
      <c r="C79" s="7" t="s">
        <v>1040</v>
      </c>
      <c r="D79" s="8">
        <v>1</v>
      </c>
      <c r="E79" s="8">
        <v>2023</v>
      </c>
      <c r="F79" s="7" t="s">
        <v>333</v>
      </c>
      <c r="G79" s="7" t="s">
        <v>13</v>
      </c>
      <c r="H79" s="8">
        <v>28</v>
      </c>
      <c r="I79" s="7" t="s">
        <v>1021</v>
      </c>
      <c r="J79" s="7" t="s">
        <v>16</v>
      </c>
      <c r="K79" s="8">
        <v>4</v>
      </c>
      <c r="L79" s="7" t="s">
        <v>1025</v>
      </c>
      <c r="M79" s="10">
        <v>300</v>
      </c>
      <c r="N79" s="10">
        <v>1200</v>
      </c>
    </row>
    <row r="80" spans="1:14" x14ac:dyDescent="0.2">
      <c r="A80" s="8">
        <v>79</v>
      </c>
      <c r="B80" s="5">
        <v>44958</v>
      </c>
      <c r="C80" s="7" t="s">
        <v>1041</v>
      </c>
      <c r="D80" s="8">
        <v>2</v>
      </c>
      <c r="E80" s="8">
        <v>2023</v>
      </c>
      <c r="F80" s="7" t="s">
        <v>686</v>
      </c>
      <c r="G80" s="7" t="s">
        <v>13</v>
      </c>
      <c r="H80" s="8">
        <v>43</v>
      </c>
      <c r="I80" s="7" t="s">
        <v>1017</v>
      </c>
      <c r="J80" s="7" t="s">
        <v>14</v>
      </c>
      <c r="K80" s="8">
        <v>3</v>
      </c>
      <c r="L80" s="7" t="s">
        <v>1022</v>
      </c>
      <c r="M80" s="10">
        <v>500</v>
      </c>
      <c r="N80" s="10">
        <v>1500</v>
      </c>
    </row>
    <row r="81" spans="1:14" x14ac:dyDescent="0.2">
      <c r="A81" s="8">
        <v>80</v>
      </c>
      <c r="B81" s="5">
        <v>44959</v>
      </c>
      <c r="C81" s="7" t="s">
        <v>1041</v>
      </c>
      <c r="D81" s="8">
        <v>2</v>
      </c>
      <c r="E81" s="8">
        <v>2023</v>
      </c>
      <c r="F81" s="7" t="s">
        <v>155</v>
      </c>
      <c r="G81" s="7" t="s">
        <v>10</v>
      </c>
      <c r="H81" s="8">
        <v>35</v>
      </c>
      <c r="I81" s="7" t="s">
        <v>1017</v>
      </c>
      <c r="J81" s="7" t="s">
        <v>16</v>
      </c>
      <c r="K81" s="8">
        <v>4</v>
      </c>
      <c r="L81" s="7" t="s">
        <v>1025</v>
      </c>
      <c r="M81" s="10">
        <v>300</v>
      </c>
      <c r="N81" s="10">
        <v>1200</v>
      </c>
    </row>
    <row r="82" spans="1:14" x14ac:dyDescent="0.2">
      <c r="A82" s="8">
        <v>81</v>
      </c>
      <c r="B82" s="5">
        <v>44959</v>
      </c>
      <c r="C82" s="7" t="s">
        <v>1041</v>
      </c>
      <c r="D82" s="8">
        <v>2</v>
      </c>
      <c r="E82" s="8">
        <v>2023</v>
      </c>
      <c r="F82" s="7" t="s">
        <v>236</v>
      </c>
      <c r="G82" s="7" t="s">
        <v>13</v>
      </c>
      <c r="H82" s="8">
        <v>64</v>
      </c>
      <c r="I82" s="7" t="s">
        <v>1018</v>
      </c>
      <c r="J82" s="7" t="s">
        <v>14</v>
      </c>
      <c r="K82" s="8">
        <v>1</v>
      </c>
      <c r="L82" s="7" t="s">
        <v>1023</v>
      </c>
      <c r="M82" s="10">
        <v>25</v>
      </c>
      <c r="N82" s="10">
        <v>25</v>
      </c>
    </row>
    <row r="83" spans="1:14" x14ac:dyDescent="0.2">
      <c r="A83" s="8">
        <v>82</v>
      </c>
      <c r="B83" s="5">
        <v>44959</v>
      </c>
      <c r="C83" s="7" t="s">
        <v>1041</v>
      </c>
      <c r="D83" s="8">
        <v>2</v>
      </c>
      <c r="E83" s="8">
        <v>2023</v>
      </c>
      <c r="F83" s="7" t="s">
        <v>679</v>
      </c>
      <c r="G83" s="7" t="s">
        <v>10</v>
      </c>
      <c r="H83" s="8">
        <v>51</v>
      </c>
      <c r="I83" s="7" t="s">
        <v>1019</v>
      </c>
      <c r="J83" s="7" t="s">
        <v>16</v>
      </c>
      <c r="K83" s="8">
        <v>3</v>
      </c>
      <c r="L83" s="7" t="s">
        <v>1022</v>
      </c>
      <c r="M83" s="10">
        <v>50</v>
      </c>
      <c r="N83" s="10">
        <v>150</v>
      </c>
    </row>
    <row r="84" spans="1:14" x14ac:dyDescent="0.2">
      <c r="A84" s="8">
        <v>83</v>
      </c>
      <c r="B84" s="5">
        <v>44960</v>
      </c>
      <c r="C84" s="7" t="s">
        <v>1041</v>
      </c>
      <c r="D84" s="8">
        <v>2</v>
      </c>
      <c r="E84" s="8">
        <v>2023</v>
      </c>
      <c r="F84" s="7" t="s">
        <v>120</v>
      </c>
      <c r="G84" s="7" t="s">
        <v>13</v>
      </c>
      <c r="H84" s="8">
        <v>21</v>
      </c>
      <c r="I84" s="7" t="s">
        <v>1021</v>
      </c>
      <c r="J84" s="7" t="s">
        <v>14</v>
      </c>
      <c r="K84" s="8">
        <v>4</v>
      </c>
      <c r="L84" s="7" t="s">
        <v>1025</v>
      </c>
      <c r="M84" s="10">
        <v>300</v>
      </c>
      <c r="N84" s="10">
        <v>1200</v>
      </c>
    </row>
    <row r="85" spans="1:14" x14ac:dyDescent="0.2">
      <c r="A85" s="8">
        <v>84</v>
      </c>
      <c r="B85" s="5">
        <v>44960</v>
      </c>
      <c r="C85" s="7" t="s">
        <v>1041</v>
      </c>
      <c r="D85" s="8">
        <v>2</v>
      </c>
      <c r="E85" s="8">
        <v>2023</v>
      </c>
      <c r="F85" s="7" t="s">
        <v>946</v>
      </c>
      <c r="G85" s="7" t="s">
        <v>10</v>
      </c>
      <c r="H85" s="8">
        <v>22</v>
      </c>
      <c r="I85" s="7" t="s">
        <v>1021</v>
      </c>
      <c r="J85" s="7" t="s">
        <v>11</v>
      </c>
      <c r="K85" s="8">
        <v>1</v>
      </c>
      <c r="L85" s="7" t="s">
        <v>1023</v>
      </c>
      <c r="M85" s="10">
        <v>30</v>
      </c>
      <c r="N85" s="10">
        <v>30</v>
      </c>
    </row>
    <row r="86" spans="1:14" x14ac:dyDescent="0.2">
      <c r="A86" s="8">
        <v>85</v>
      </c>
      <c r="B86" s="5">
        <v>44961</v>
      </c>
      <c r="C86" s="7" t="s">
        <v>1041</v>
      </c>
      <c r="D86" s="8">
        <v>2</v>
      </c>
      <c r="E86" s="8">
        <v>2023</v>
      </c>
      <c r="F86" s="7" t="s">
        <v>250</v>
      </c>
      <c r="G86" s="7" t="s">
        <v>13</v>
      </c>
      <c r="H86" s="8">
        <v>50</v>
      </c>
      <c r="I86" s="7" t="s">
        <v>1019</v>
      </c>
      <c r="J86" s="7" t="s">
        <v>11</v>
      </c>
      <c r="K86" s="8">
        <v>2</v>
      </c>
      <c r="L86" s="7" t="s">
        <v>1024</v>
      </c>
      <c r="M86" s="10">
        <v>500</v>
      </c>
      <c r="N86" s="10">
        <v>1000</v>
      </c>
    </row>
    <row r="87" spans="1:14" x14ac:dyDescent="0.2">
      <c r="A87" s="8">
        <v>86</v>
      </c>
      <c r="B87" s="5">
        <v>44961</v>
      </c>
      <c r="C87" s="7" t="s">
        <v>1041</v>
      </c>
      <c r="D87" s="8">
        <v>2</v>
      </c>
      <c r="E87" s="8">
        <v>2023</v>
      </c>
      <c r="F87" s="7" t="s">
        <v>348</v>
      </c>
      <c r="G87" s="7" t="s">
        <v>13</v>
      </c>
      <c r="H87" s="8">
        <v>47</v>
      </c>
      <c r="I87" s="7" t="s">
        <v>1019</v>
      </c>
      <c r="J87" s="7" t="s">
        <v>11</v>
      </c>
      <c r="K87" s="8">
        <v>4</v>
      </c>
      <c r="L87" s="7" t="s">
        <v>1025</v>
      </c>
      <c r="M87" s="10">
        <v>30</v>
      </c>
      <c r="N87" s="10">
        <v>120</v>
      </c>
    </row>
    <row r="88" spans="1:14" x14ac:dyDescent="0.2">
      <c r="A88" s="8">
        <v>87</v>
      </c>
      <c r="B88" s="5">
        <v>44962</v>
      </c>
      <c r="C88" s="7" t="s">
        <v>1041</v>
      </c>
      <c r="D88" s="8">
        <v>2</v>
      </c>
      <c r="E88" s="8">
        <v>2023</v>
      </c>
      <c r="F88" s="7" t="s">
        <v>76</v>
      </c>
      <c r="G88" s="7" t="s">
        <v>10</v>
      </c>
      <c r="H88" s="8">
        <v>57</v>
      </c>
      <c r="I88" s="7" t="s">
        <v>1018</v>
      </c>
      <c r="J88" s="7" t="s">
        <v>16</v>
      </c>
      <c r="K88" s="8">
        <v>2</v>
      </c>
      <c r="L88" s="7" t="s">
        <v>1024</v>
      </c>
      <c r="M88" s="10">
        <v>25</v>
      </c>
      <c r="N88" s="10">
        <v>50</v>
      </c>
    </row>
    <row r="89" spans="1:14" x14ac:dyDescent="0.2">
      <c r="A89" s="8">
        <v>88</v>
      </c>
      <c r="B89" s="5">
        <v>44962</v>
      </c>
      <c r="C89" s="7" t="s">
        <v>1041</v>
      </c>
      <c r="D89" s="8">
        <v>2</v>
      </c>
      <c r="E89" s="8">
        <v>2023</v>
      </c>
      <c r="F89" s="7" t="s">
        <v>208</v>
      </c>
      <c r="G89" s="7" t="s">
        <v>10</v>
      </c>
      <c r="H89" s="8">
        <v>52</v>
      </c>
      <c r="I89" s="7" t="s">
        <v>1019</v>
      </c>
      <c r="J89" s="7" t="s">
        <v>14</v>
      </c>
      <c r="K89" s="8">
        <v>1</v>
      </c>
      <c r="L89" s="7" t="s">
        <v>1023</v>
      </c>
      <c r="M89" s="10">
        <v>30</v>
      </c>
      <c r="N89" s="10">
        <v>30</v>
      </c>
    </row>
    <row r="90" spans="1:14" x14ac:dyDescent="0.2">
      <c r="A90" s="8">
        <v>89</v>
      </c>
      <c r="B90" s="5">
        <v>44962</v>
      </c>
      <c r="C90" s="7" t="s">
        <v>1041</v>
      </c>
      <c r="D90" s="8">
        <v>2</v>
      </c>
      <c r="E90" s="8">
        <v>2023</v>
      </c>
      <c r="F90" s="7" t="s">
        <v>346</v>
      </c>
      <c r="G90" s="7" t="s">
        <v>13</v>
      </c>
      <c r="H90" s="8">
        <v>54</v>
      </c>
      <c r="I90" s="7" t="s">
        <v>1019</v>
      </c>
      <c r="J90" s="7" t="s">
        <v>16</v>
      </c>
      <c r="K90" s="8">
        <v>4</v>
      </c>
      <c r="L90" s="7" t="s">
        <v>1025</v>
      </c>
      <c r="M90" s="10">
        <v>300</v>
      </c>
      <c r="N90" s="10">
        <v>1200</v>
      </c>
    </row>
    <row r="91" spans="1:14" x14ac:dyDescent="0.2">
      <c r="A91" s="8">
        <v>90</v>
      </c>
      <c r="B91" s="5">
        <v>44962</v>
      </c>
      <c r="C91" s="7" t="s">
        <v>1041</v>
      </c>
      <c r="D91" s="8">
        <v>2</v>
      </c>
      <c r="E91" s="8">
        <v>2023</v>
      </c>
      <c r="F91" s="7" t="s">
        <v>392</v>
      </c>
      <c r="G91" s="7" t="s">
        <v>13</v>
      </c>
      <c r="H91" s="8">
        <v>47</v>
      </c>
      <c r="I91" s="7" t="s">
        <v>1019</v>
      </c>
      <c r="J91" s="7" t="s">
        <v>14</v>
      </c>
      <c r="K91" s="8">
        <v>1</v>
      </c>
      <c r="L91" s="7" t="s">
        <v>1023</v>
      </c>
      <c r="M91" s="10">
        <v>25</v>
      </c>
      <c r="N91" s="10">
        <v>25</v>
      </c>
    </row>
    <row r="92" spans="1:14" x14ac:dyDescent="0.2">
      <c r="A92" s="8">
        <v>91</v>
      </c>
      <c r="B92" s="5">
        <v>44962</v>
      </c>
      <c r="C92" s="7" t="s">
        <v>1041</v>
      </c>
      <c r="D92" s="8">
        <v>2</v>
      </c>
      <c r="E92" s="8">
        <v>2023</v>
      </c>
      <c r="F92" s="7" t="s">
        <v>503</v>
      </c>
      <c r="G92" s="7" t="s">
        <v>10</v>
      </c>
      <c r="H92" s="8">
        <v>34</v>
      </c>
      <c r="I92" s="7" t="s">
        <v>1021</v>
      </c>
      <c r="J92" s="7" t="s">
        <v>14</v>
      </c>
      <c r="K92" s="8">
        <v>3</v>
      </c>
      <c r="L92" s="7" t="s">
        <v>1022</v>
      </c>
      <c r="M92" s="10">
        <v>50</v>
      </c>
      <c r="N92" s="10">
        <v>150</v>
      </c>
    </row>
    <row r="93" spans="1:14" x14ac:dyDescent="0.2">
      <c r="A93" s="8">
        <v>92</v>
      </c>
      <c r="B93" s="5">
        <v>44962</v>
      </c>
      <c r="C93" s="7" t="s">
        <v>1041</v>
      </c>
      <c r="D93" s="8">
        <v>2</v>
      </c>
      <c r="E93" s="8">
        <v>2023</v>
      </c>
      <c r="F93" s="7" t="s">
        <v>543</v>
      </c>
      <c r="G93" s="7" t="s">
        <v>13</v>
      </c>
      <c r="H93" s="8">
        <v>18</v>
      </c>
      <c r="I93" s="7" t="s">
        <v>1020</v>
      </c>
      <c r="J93" s="7" t="s">
        <v>16</v>
      </c>
      <c r="K93" s="8">
        <v>4</v>
      </c>
      <c r="L93" s="7" t="s">
        <v>1025</v>
      </c>
      <c r="M93" s="10">
        <v>30</v>
      </c>
      <c r="N93" s="10">
        <v>120</v>
      </c>
    </row>
    <row r="94" spans="1:14" x14ac:dyDescent="0.2">
      <c r="A94" s="8">
        <v>93</v>
      </c>
      <c r="B94" s="5">
        <v>44962</v>
      </c>
      <c r="C94" s="7" t="s">
        <v>1041</v>
      </c>
      <c r="D94" s="8">
        <v>2</v>
      </c>
      <c r="E94" s="8">
        <v>2023</v>
      </c>
      <c r="F94" s="7" t="s">
        <v>753</v>
      </c>
      <c r="G94" s="7" t="s">
        <v>13</v>
      </c>
      <c r="H94" s="8">
        <v>25</v>
      </c>
      <c r="I94" s="7" t="s">
        <v>1021</v>
      </c>
      <c r="J94" s="7" t="s">
        <v>11</v>
      </c>
      <c r="K94" s="8">
        <v>4</v>
      </c>
      <c r="L94" s="7" t="s">
        <v>1025</v>
      </c>
      <c r="M94" s="10">
        <v>50</v>
      </c>
      <c r="N94" s="10">
        <v>200</v>
      </c>
    </row>
    <row r="95" spans="1:14" x14ac:dyDescent="0.2">
      <c r="A95" s="8">
        <v>94</v>
      </c>
      <c r="B95" s="5">
        <v>44962</v>
      </c>
      <c r="C95" s="7" t="s">
        <v>1041</v>
      </c>
      <c r="D95" s="8">
        <v>2</v>
      </c>
      <c r="E95" s="8">
        <v>2023</v>
      </c>
      <c r="F95" s="7" t="s">
        <v>806</v>
      </c>
      <c r="G95" s="7" t="s">
        <v>10</v>
      </c>
      <c r="H95" s="8">
        <v>54</v>
      </c>
      <c r="I95" s="7" t="s">
        <v>1019</v>
      </c>
      <c r="J95" s="7" t="s">
        <v>11</v>
      </c>
      <c r="K95" s="8">
        <v>1</v>
      </c>
      <c r="L95" s="7" t="s">
        <v>1023</v>
      </c>
      <c r="M95" s="10">
        <v>30</v>
      </c>
      <c r="N95" s="10">
        <v>30</v>
      </c>
    </row>
    <row r="96" spans="1:14" x14ac:dyDescent="0.2">
      <c r="A96" s="8">
        <v>95</v>
      </c>
      <c r="B96" s="5">
        <v>44963</v>
      </c>
      <c r="C96" s="7" t="s">
        <v>1041</v>
      </c>
      <c r="D96" s="8">
        <v>2</v>
      </c>
      <c r="E96" s="8">
        <v>2023</v>
      </c>
      <c r="F96" s="7" t="s">
        <v>98</v>
      </c>
      <c r="G96" s="7" t="s">
        <v>10</v>
      </c>
      <c r="H96" s="8">
        <v>31</v>
      </c>
      <c r="I96" s="7" t="s">
        <v>1021</v>
      </c>
      <c r="J96" s="7" t="s">
        <v>14</v>
      </c>
      <c r="K96" s="8">
        <v>3</v>
      </c>
      <c r="L96" s="7" t="s">
        <v>1022</v>
      </c>
      <c r="M96" s="10">
        <v>50</v>
      </c>
      <c r="N96" s="10">
        <v>150</v>
      </c>
    </row>
    <row r="97" spans="1:14" x14ac:dyDescent="0.2">
      <c r="A97" s="8">
        <v>96</v>
      </c>
      <c r="B97" s="5">
        <v>44963</v>
      </c>
      <c r="C97" s="7" t="s">
        <v>1041</v>
      </c>
      <c r="D97" s="8">
        <v>2</v>
      </c>
      <c r="E97" s="8">
        <v>2023</v>
      </c>
      <c r="F97" s="7" t="s">
        <v>245</v>
      </c>
      <c r="G97" s="7" t="s">
        <v>13</v>
      </c>
      <c r="H97" s="8">
        <v>43</v>
      </c>
      <c r="I97" s="7" t="s">
        <v>1017</v>
      </c>
      <c r="J97" s="7" t="s">
        <v>11</v>
      </c>
      <c r="K97" s="8">
        <v>1</v>
      </c>
      <c r="L97" s="7" t="s">
        <v>1023</v>
      </c>
      <c r="M97" s="10">
        <v>25</v>
      </c>
      <c r="N97" s="10">
        <v>25</v>
      </c>
    </row>
    <row r="98" spans="1:14" x14ac:dyDescent="0.2">
      <c r="A98" s="8">
        <v>97</v>
      </c>
      <c r="B98" s="5">
        <v>44963</v>
      </c>
      <c r="C98" s="7" t="s">
        <v>1041</v>
      </c>
      <c r="D98" s="8">
        <v>2</v>
      </c>
      <c r="E98" s="8">
        <v>2023</v>
      </c>
      <c r="F98" s="7" t="s">
        <v>253</v>
      </c>
      <c r="G98" s="7" t="s">
        <v>13</v>
      </c>
      <c r="H98" s="8">
        <v>23</v>
      </c>
      <c r="I98" s="7" t="s">
        <v>1021</v>
      </c>
      <c r="J98" s="7" t="s">
        <v>11</v>
      </c>
      <c r="K98" s="8">
        <v>1</v>
      </c>
      <c r="L98" s="7" t="s">
        <v>1023</v>
      </c>
      <c r="M98" s="10">
        <v>300</v>
      </c>
      <c r="N98" s="10">
        <v>300</v>
      </c>
    </row>
    <row r="99" spans="1:14" x14ac:dyDescent="0.2">
      <c r="A99" s="8">
        <v>98</v>
      </c>
      <c r="B99" s="5">
        <v>44963</v>
      </c>
      <c r="C99" s="7" t="s">
        <v>1041</v>
      </c>
      <c r="D99" s="8">
        <v>2</v>
      </c>
      <c r="E99" s="8">
        <v>2023</v>
      </c>
      <c r="F99" s="7" t="s">
        <v>1006</v>
      </c>
      <c r="G99" s="7" t="s">
        <v>13</v>
      </c>
      <c r="H99" s="8">
        <v>48</v>
      </c>
      <c r="I99" s="7" t="s">
        <v>1019</v>
      </c>
      <c r="J99" s="7" t="s">
        <v>16</v>
      </c>
      <c r="K99" s="8">
        <v>3</v>
      </c>
      <c r="L99" s="7" t="s">
        <v>1022</v>
      </c>
      <c r="M99" s="10">
        <v>50</v>
      </c>
      <c r="N99" s="10">
        <v>150</v>
      </c>
    </row>
    <row r="100" spans="1:14" x14ac:dyDescent="0.2">
      <c r="A100" s="8">
        <v>99</v>
      </c>
      <c r="B100" s="5">
        <v>44964</v>
      </c>
      <c r="C100" s="7" t="s">
        <v>1041</v>
      </c>
      <c r="D100" s="8">
        <v>2</v>
      </c>
      <c r="E100" s="8">
        <v>2023</v>
      </c>
      <c r="F100" s="7" t="s">
        <v>379</v>
      </c>
      <c r="G100" s="7" t="s">
        <v>10</v>
      </c>
      <c r="H100" s="8">
        <v>57</v>
      </c>
      <c r="I100" s="7" t="s">
        <v>1018</v>
      </c>
      <c r="J100" s="7" t="s">
        <v>14</v>
      </c>
      <c r="K100" s="8">
        <v>2</v>
      </c>
      <c r="L100" s="7" t="s">
        <v>1024</v>
      </c>
      <c r="M100" s="10">
        <v>50</v>
      </c>
      <c r="N100" s="10">
        <v>100</v>
      </c>
    </row>
    <row r="101" spans="1:14" x14ac:dyDescent="0.2">
      <c r="A101" s="8">
        <v>100</v>
      </c>
      <c r="B101" s="5">
        <v>44964</v>
      </c>
      <c r="C101" s="7" t="s">
        <v>1041</v>
      </c>
      <c r="D101" s="8">
        <v>2</v>
      </c>
      <c r="E101" s="8">
        <v>2023</v>
      </c>
      <c r="F101" s="7" t="s">
        <v>385</v>
      </c>
      <c r="G101" s="7" t="s">
        <v>13</v>
      </c>
      <c r="H101" s="8">
        <v>24</v>
      </c>
      <c r="I101" s="7" t="s">
        <v>1021</v>
      </c>
      <c r="J101" s="7" t="s">
        <v>11</v>
      </c>
      <c r="K101" s="8">
        <v>3</v>
      </c>
      <c r="L101" s="7" t="s">
        <v>1022</v>
      </c>
      <c r="M101" s="10">
        <v>500</v>
      </c>
      <c r="N101" s="10">
        <v>1500</v>
      </c>
    </row>
    <row r="102" spans="1:14" x14ac:dyDescent="0.2">
      <c r="A102" s="8">
        <v>101</v>
      </c>
      <c r="B102" s="5">
        <v>44964</v>
      </c>
      <c r="C102" s="7" t="s">
        <v>1041</v>
      </c>
      <c r="D102" s="8">
        <v>2</v>
      </c>
      <c r="E102" s="8">
        <v>2023</v>
      </c>
      <c r="F102" s="7" t="s">
        <v>609</v>
      </c>
      <c r="G102" s="7" t="s">
        <v>13</v>
      </c>
      <c r="H102" s="8">
        <v>64</v>
      </c>
      <c r="I102" s="7" t="s">
        <v>1018</v>
      </c>
      <c r="J102" s="7" t="s">
        <v>16</v>
      </c>
      <c r="K102" s="8">
        <v>1</v>
      </c>
      <c r="L102" s="7" t="s">
        <v>1023</v>
      </c>
      <c r="M102" s="10">
        <v>300</v>
      </c>
      <c r="N102" s="10">
        <v>300</v>
      </c>
    </row>
    <row r="103" spans="1:14" x14ac:dyDescent="0.2">
      <c r="A103" s="8">
        <v>102</v>
      </c>
      <c r="B103" s="5">
        <v>44964</v>
      </c>
      <c r="C103" s="7" t="s">
        <v>1041</v>
      </c>
      <c r="D103" s="8">
        <v>2</v>
      </c>
      <c r="E103" s="8">
        <v>2023</v>
      </c>
      <c r="F103" s="7" t="s">
        <v>949</v>
      </c>
      <c r="G103" s="7" t="s">
        <v>10</v>
      </c>
      <c r="H103" s="8">
        <v>57</v>
      </c>
      <c r="I103" s="7" t="s">
        <v>1018</v>
      </c>
      <c r="J103" s="7" t="s">
        <v>11</v>
      </c>
      <c r="K103" s="8">
        <v>4</v>
      </c>
      <c r="L103" s="7" t="s">
        <v>1025</v>
      </c>
      <c r="M103" s="10">
        <v>50</v>
      </c>
      <c r="N103" s="10">
        <v>200</v>
      </c>
    </row>
    <row r="104" spans="1:14" x14ac:dyDescent="0.2">
      <c r="A104" s="8">
        <v>103</v>
      </c>
      <c r="B104" s="5">
        <v>44965</v>
      </c>
      <c r="C104" s="7" t="s">
        <v>1041</v>
      </c>
      <c r="D104" s="8">
        <v>2</v>
      </c>
      <c r="E104" s="8">
        <v>2023</v>
      </c>
      <c r="F104" s="7" t="s">
        <v>297</v>
      </c>
      <c r="G104" s="7" t="s">
        <v>10</v>
      </c>
      <c r="H104" s="8">
        <v>43</v>
      </c>
      <c r="I104" s="7" t="s">
        <v>1017</v>
      </c>
      <c r="J104" s="7" t="s">
        <v>14</v>
      </c>
      <c r="K104" s="8">
        <v>4</v>
      </c>
      <c r="L104" s="7" t="s">
        <v>1025</v>
      </c>
      <c r="M104" s="10">
        <v>50</v>
      </c>
      <c r="N104" s="10">
        <v>200</v>
      </c>
    </row>
    <row r="105" spans="1:14" x14ac:dyDescent="0.2">
      <c r="A105" s="8">
        <v>104</v>
      </c>
      <c r="B105" s="5">
        <v>44965</v>
      </c>
      <c r="C105" s="7" t="s">
        <v>1041</v>
      </c>
      <c r="D105" s="8">
        <v>2</v>
      </c>
      <c r="E105" s="8">
        <v>2023</v>
      </c>
      <c r="F105" s="7" t="s">
        <v>447</v>
      </c>
      <c r="G105" s="7" t="s">
        <v>13</v>
      </c>
      <c r="H105" s="8">
        <v>43</v>
      </c>
      <c r="I105" s="7" t="s">
        <v>1017</v>
      </c>
      <c r="J105" s="7" t="s">
        <v>16</v>
      </c>
      <c r="K105" s="8">
        <v>2</v>
      </c>
      <c r="L105" s="7" t="s">
        <v>1024</v>
      </c>
      <c r="M105" s="10">
        <v>25</v>
      </c>
      <c r="N105" s="10">
        <v>50</v>
      </c>
    </row>
    <row r="106" spans="1:14" x14ac:dyDescent="0.2">
      <c r="A106" s="8">
        <v>105</v>
      </c>
      <c r="B106" s="5">
        <v>44965</v>
      </c>
      <c r="C106" s="7" t="s">
        <v>1041</v>
      </c>
      <c r="D106" s="8">
        <v>2</v>
      </c>
      <c r="E106" s="8">
        <v>2023</v>
      </c>
      <c r="F106" s="7" t="s">
        <v>788</v>
      </c>
      <c r="G106" s="7" t="s">
        <v>13</v>
      </c>
      <c r="H106" s="8">
        <v>46</v>
      </c>
      <c r="I106" s="7" t="s">
        <v>1019</v>
      </c>
      <c r="J106" s="7" t="s">
        <v>16</v>
      </c>
      <c r="K106" s="8">
        <v>4</v>
      </c>
      <c r="L106" s="7" t="s">
        <v>1025</v>
      </c>
      <c r="M106" s="10">
        <v>25</v>
      </c>
      <c r="N106" s="10">
        <v>100</v>
      </c>
    </row>
    <row r="107" spans="1:14" x14ac:dyDescent="0.2">
      <c r="A107" s="8">
        <v>106</v>
      </c>
      <c r="B107" s="5">
        <v>44965</v>
      </c>
      <c r="C107" s="7" t="s">
        <v>1041</v>
      </c>
      <c r="D107" s="8">
        <v>2</v>
      </c>
      <c r="E107" s="8">
        <v>2023</v>
      </c>
      <c r="F107" s="7" t="s">
        <v>990</v>
      </c>
      <c r="G107" s="7" t="s">
        <v>13</v>
      </c>
      <c r="H107" s="8">
        <v>35</v>
      </c>
      <c r="I107" s="7" t="s">
        <v>1017</v>
      </c>
      <c r="J107" s="7" t="s">
        <v>16</v>
      </c>
      <c r="K107" s="8">
        <v>3</v>
      </c>
      <c r="L107" s="7" t="s">
        <v>1022</v>
      </c>
      <c r="M107" s="10">
        <v>25</v>
      </c>
      <c r="N107" s="10">
        <v>75</v>
      </c>
    </row>
    <row r="108" spans="1:14" x14ac:dyDescent="0.2">
      <c r="A108" s="8">
        <v>107</v>
      </c>
      <c r="B108" s="5">
        <v>44966</v>
      </c>
      <c r="C108" s="7" t="s">
        <v>1041</v>
      </c>
      <c r="D108" s="8">
        <v>2</v>
      </c>
      <c r="E108" s="8">
        <v>2023</v>
      </c>
      <c r="F108" s="7" t="s">
        <v>662</v>
      </c>
      <c r="G108" s="7" t="s">
        <v>13</v>
      </c>
      <c r="H108" s="8">
        <v>58</v>
      </c>
      <c r="I108" s="7" t="s">
        <v>1018</v>
      </c>
      <c r="J108" s="7" t="s">
        <v>14</v>
      </c>
      <c r="K108" s="8">
        <v>2</v>
      </c>
      <c r="L108" s="7" t="s">
        <v>1024</v>
      </c>
      <c r="M108" s="10">
        <v>300</v>
      </c>
      <c r="N108" s="10">
        <v>600</v>
      </c>
    </row>
    <row r="109" spans="1:14" x14ac:dyDescent="0.2">
      <c r="A109" s="8">
        <v>108</v>
      </c>
      <c r="B109" s="5">
        <v>44967</v>
      </c>
      <c r="C109" s="7" t="s">
        <v>1041</v>
      </c>
      <c r="D109" s="8">
        <v>2</v>
      </c>
      <c r="E109" s="8">
        <v>2023</v>
      </c>
      <c r="F109" s="7" t="s">
        <v>67</v>
      </c>
      <c r="G109" s="7" t="s">
        <v>13</v>
      </c>
      <c r="H109" s="8">
        <v>38</v>
      </c>
      <c r="I109" s="7" t="s">
        <v>1017</v>
      </c>
      <c r="J109" s="7" t="s">
        <v>16</v>
      </c>
      <c r="K109" s="8">
        <v>3</v>
      </c>
      <c r="L109" s="7" t="s">
        <v>1022</v>
      </c>
      <c r="M109" s="10">
        <v>500</v>
      </c>
      <c r="N109" s="10">
        <v>1500</v>
      </c>
    </row>
    <row r="110" spans="1:14" x14ac:dyDescent="0.2">
      <c r="A110" s="8">
        <v>109</v>
      </c>
      <c r="B110" s="5">
        <v>44967</v>
      </c>
      <c r="C110" s="7" t="s">
        <v>1041</v>
      </c>
      <c r="D110" s="8">
        <v>2</v>
      </c>
      <c r="E110" s="8">
        <v>2023</v>
      </c>
      <c r="F110" s="7" t="s">
        <v>81</v>
      </c>
      <c r="G110" s="7" t="s">
        <v>10</v>
      </c>
      <c r="H110" s="8">
        <v>25</v>
      </c>
      <c r="I110" s="7" t="s">
        <v>1021</v>
      </c>
      <c r="J110" s="7" t="s">
        <v>16</v>
      </c>
      <c r="K110" s="8">
        <v>1</v>
      </c>
      <c r="L110" s="7" t="s">
        <v>1023</v>
      </c>
      <c r="M110" s="10">
        <v>300</v>
      </c>
      <c r="N110" s="10">
        <v>300</v>
      </c>
    </row>
    <row r="111" spans="1:14" x14ac:dyDescent="0.2">
      <c r="A111" s="8">
        <v>110</v>
      </c>
      <c r="B111" s="5">
        <v>44967</v>
      </c>
      <c r="C111" s="7" t="s">
        <v>1041</v>
      </c>
      <c r="D111" s="8">
        <v>2</v>
      </c>
      <c r="E111" s="8">
        <v>2023</v>
      </c>
      <c r="F111" s="7" t="s">
        <v>205</v>
      </c>
      <c r="G111" s="7" t="s">
        <v>10</v>
      </c>
      <c r="H111" s="8">
        <v>62</v>
      </c>
      <c r="I111" s="7" t="s">
        <v>1018</v>
      </c>
      <c r="J111" s="7" t="s">
        <v>11</v>
      </c>
      <c r="K111" s="8">
        <v>2</v>
      </c>
      <c r="L111" s="7" t="s">
        <v>1024</v>
      </c>
      <c r="M111" s="10">
        <v>50</v>
      </c>
      <c r="N111" s="10">
        <v>100</v>
      </c>
    </row>
    <row r="112" spans="1:14" x14ac:dyDescent="0.2">
      <c r="A112" s="8">
        <v>111</v>
      </c>
      <c r="B112" s="5">
        <v>44968</v>
      </c>
      <c r="C112" s="7" t="s">
        <v>1041</v>
      </c>
      <c r="D112" s="8">
        <v>2</v>
      </c>
      <c r="E112" s="8">
        <v>2023</v>
      </c>
      <c r="F112" s="7" t="s">
        <v>344</v>
      </c>
      <c r="G112" s="7" t="s">
        <v>10</v>
      </c>
      <c r="H112" s="8">
        <v>28</v>
      </c>
      <c r="I112" s="7" t="s">
        <v>1021</v>
      </c>
      <c r="J112" s="7" t="s">
        <v>16</v>
      </c>
      <c r="K112" s="8">
        <v>3</v>
      </c>
      <c r="L112" s="7" t="s">
        <v>1022</v>
      </c>
      <c r="M112" s="10">
        <v>30</v>
      </c>
      <c r="N112" s="10">
        <v>90</v>
      </c>
    </row>
    <row r="113" spans="1:14" x14ac:dyDescent="0.2">
      <c r="A113" s="8">
        <v>112</v>
      </c>
      <c r="B113" s="5">
        <v>44968</v>
      </c>
      <c r="C113" s="7" t="s">
        <v>1041</v>
      </c>
      <c r="D113" s="8">
        <v>2</v>
      </c>
      <c r="E113" s="8">
        <v>2023</v>
      </c>
      <c r="F113" s="7" t="s">
        <v>359</v>
      </c>
      <c r="G113" s="7" t="s">
        <v>10</v>
      </c>
      <c r="H113" s="8">
        <v>59</v>
      </c>
      <c r="I113" s="7" t="s">
        <v>1018</v>
      </c>
      <c r="J113" s="7" t="s">
        <v>14</v>
      </c>
      <c r="K113" s="8">
        <v>2</v>
      </c>
      <c r="L113" s="7" t="s">
        <v>1024</v>
      </c>
      <c r="M113" s="10">
        <v>500</v>
      </c>
      <c r="N113" s="10">
        <v>1000</v>
      </c>
    </row>
    <row r="114" spans="1:14" x14ac:dyDescent="0.2">
      <c r="A114" s="8">
        <v>113</v>
      </c>
      <c r="B114" s="5">
        <v>44968</v>
      </c>
      <c r="C114" s="7" t="s">
        <v>1041</v>
      </c>
      <c r="D114" s="8">
        <v>2</v>
      </c>
      <c r="E114" s="8">
        <v>2023</v>
      </c>
      <c r="F114" s="7" t="s">
        <v>670</v>
      </c>
      <c r="G114" s="7" t="s">
        <v>10</v>
      </c>
      <c r="H114" s="8">
        <v>40</v>
      </c>
      <c r="I114" s="7" t="s">
        <v>1017</v>
      </c>
      <c r="J114" s="7" t="s">
        <v>14</v>
      </c>
      <c r="K114" s="8">
        <v>1</v>
      </c>
      <c r="L114" s="7" t="s">
        <v>1023</v>
      </c>
      <c r="M114" s="10">
        <v>25</v>
      </c>
      <c r="N114" s="10">
        <v>25</v>
      </c>
    </row>
    <row r="115" spans="1:14" x14ac:dyDescent="0.2">
      <c r="A115" s="8">
        <v>114</v>
      </c>
      <c r="B115" s="5">
        <v>44968</v>
      </c>
      <c r="C115" s="7" t="s">
        <v>1041</v>
      </c>
      <c r="D115" s="8">
        <v>2</v>
      </c>
      <c r="E115" s="8">
        <v>2023</v>
      </c>
      <c r="F115" s="7" t="s">
        <v>745</v>
      </c>
      <c r="G115" s="7" t="s">
        <v>10</v>
      </c>
      <c r="H115" s="8">
        <v>61</v>
      </c>
      <c r="I115" s="7" t="s">
        <v>1018</v>
      </c>
      <c r="J115" s="7" t="s">
        <v>16</v>
      </c>
      <c r="K115" s="8">
        <v>2</v>
      </c>
      <c r="L115" s="7" t="s">
        <v>1024</v>
      </c>
      <c r="M115" s="10">
        <v>500</v>
      </c>
      <c r="N115" s="10">
        <v>1000</v>
      </c>
    </row>
    <row r="116" spans="1:14" x14ac:dyDescent="0.2">
      <c r="A116" s="8">
        <v>115</v>
      </c>
      <c r="B116" s="5">
        <v>44968</v>
      </c>
      <c r="C116" s="7" t="s">
        <v>1041</v>
      </c>
      <c r="D116" s="8">
        <v>2</v>
      </c>
      <c r="E116" s="8">
        <v>2023</v>
      </c>
      <c r="F116" s="7" t="s">
        <v>985</v>
      </c>
      <c r="G116" s="7" t="s">
        <v>10</v>
      </c>
      <c r="H116" s="8">
        <v>49</v>
      </c>
      <c r="I116" s="7" t="s">
        <v>1019</v>
      </c>
      <c r="J116" s="7" t="s">
        <v>11</v>
      </c>
      <c r="K116" s="8">
        <v>4</v>
      </c>
      <c r="L116" s="7" t="s">
        <v>1025</v>
      </c>
      <c r="M116" s="10">
        <v>25</v>
      </c>
      <c r="N116" s="10">
        <v>100</v>
      </c>
    </row>
    <row r="117" spans="1:14" x14ac:dyDescent="0.2">
      <c r="A117" s="8">
        <v>116</v>
      </c>
      <c r="B117" s="5">
        <v>44969</v>
      </c>
      <c r="C117" s="7" t="s">
        <v>1041</v>
      </c>
      <c r="D117" s="8">
        <v>2</v>
      </c>
      <c r="E117" s="8">
        <v>2023</v>
      </c>
      <c r="F117" s="7" t="s">
        <v>727</v>
      </c>
      <c r="G117" s="7" t="s">
        <v>13</v>
      </c>
      <c r="H117" s="8">
        <v>18</v>
      </c>
      <c r="I117" s="7" t="s">
        <v>1020</v>
      </c>
      <c r="J117" s="7" t="s">
        <v>14</v>
      </c>
      <c r="K117" s="8">
        <v>1</v>
      </c>
      <c r="L117" s="7" t="s">
        <v>1023</v>
      </c>
      <c r="M117" s="10">
        <v>500</v>
      </c>
      <c r="N117" s="10">
        <v>500</v>
      </c>
    </row>
    <row r="118" spans="1:14" x14ac:dyDescent="0.2">
      <c r="A118" s="8">
        <v>117</v>
      </c>
      <c r="B118" s="5">
        <v>44970</v>
      </c>
      <c r="C118" s="7" t="s">
        <v>1041</v>
      </c>
      <c r="D118" s="8">
        <v>2</v>
      </c>
      <c r="E118" s="8">
        <v>2023</v>
      </c>
      <c r="F118" s="7" t="s">
        <v>206</v>
      </c>
      <c r="G118" s="7" t="s">
        <v>10</v>
      </c>
      <c r="H118" s="8">
        <v>35</v>
      </c>
      <c r="I118" s="7" t="s">
        <v>1017</v>
      </c>
      <c r="J118" s="7" t="s">
        <v>11</v>
      </c>
      <c r="K118" s="8">
        <v>3</v>
      </c>
      <c r="L118" s="7" t="s">
        <v>1022</v>
      </c>
      <c r="M118" s="10">
        <v>500</v>
      </c>
      <c r="N118" s="10">
        <v>1500</v>
      </c>
    </row>
    <row r="119" spans="1:14" x14ac:dyDescent="0.2">
      <c r="A119" s="8">
        <v>118</v>
      </c>
      <c r="B119" s="5">
        <v>44970</v>
      </c>
      <c r="C119" s="7" t="s">
        <v>1041</v>
      </c>
      <c r="D119" s="8">
        <v>2</v>
      </c>
      <c r="E119" s="8">
        <v>2023</v>
      </c>
      <c r="F119" s="7" t="s">
        <v>590</v>
      </c>
      <c r="G119" s="7" t="s">
        <v>10</v>
      </c>
      <c r="H119" s="8">
        <v>21</v>
      </c>
      <c r="I119" s="7" t="s">
        <v>1021</v>
      </c>
      <c r="J119" s="7" t="s">
        <v>11</v>
      </c>
      <c r="K119" s="8">
        <v>4</v>
      </c>
      <c r="L119" s="7" t="s">
        <v>1025</v>
      </c>
      <c r="M119" s="10">
        <v>500</v>
      </c>
      <c r="N119" s="10">
        <v>2000</v>
      </c>
    </row>
    <row r="120" spans="1:14" x14ac:dyDescent="0.2">
      <c r="A120" s="8">
        <v>119</v>
      </c>
      <c r="B120" s="5">
        <v>44970</v>
      </c>
      <c r="C120" s="7" t="s">
        <v>1041</v>
      </c>
      <c r="D120" s="8">
        <v>2</v>
      </c>
      <c r="E120" s="8">
        <v>2023</v>
      </c>
      <c r="F120" s="7" t="s">
        <v>861</v>
      </c>
      <c r="G120" s="7" t="s">
        <v>13</v>
      </c>
      <c r="H120" s="8">
        <v>63</v>
      </c>
      <c r="I120" s="7" t="s">
        <v>1018</v>
      </c>
      <c r="J120" s="7" t="s">
        <v>14</v>
      </c>
      <c r="K120" s="8">
        <v>3</v>
      </c>
      <c r="L120" s="7" t="s">
        <v>1022</v>
      </c>
      <c r="M120" s="10">
        <v>25</v>
      </c>
      <c r="N120" s="10">
        <v>75</v>
      </c>
    </row>
    <row r="121" spans="1:14" x14ac:dyDescent="0.2">
      <c r="A121" s="8">
        <v>120</v>
      </c>
      <c r="B121" s="5">
        <v>44970</v>
      </c>
      <c r="C121" s="7" t="s">
        <v>1041</v>
      </c>
      <c r="D121" s="8">
        <v>2</v>
      </c>
      <c r="E121" s="8">
        <v>2023</v>
      </c>
      <c r="F121" s="7" t="s">
        <v>958</v>
      </c>
      <c r="G121" s="7" t="s">
        <v>10</v>
      </c>
      <c r="H121" s="8">
        <v>30</v>
      </c>
      <c r="I121" s="7" t="s">
        <v>1021</v>
      </c>
      <c r="J121" s="7" t="s">
        <v>11</v>
      </c>
      <c r="K121" s="8">
        <v>1</v>
      </c>
      <c r="L121" s="7" t="s">
        <v>1023</v>
      </c>
      <c r="M121" s="10">
        <v>25</v>
      </c>
      <c r="N121" s="10">
        <v>25</v>
      </c>
    </row>
    <row r="122" spans="1:14" x14ac:dyDescent="0.2">
      <c r="A122" s="8">
        <v>121</v>
      </c>
      <c r="B122" s="5">
        <v>44971</v>
      </c>
      <c r="C122" s="7" t="s">
        <v>1041</v>
      </c>
      <c r="D122" s="8">
        <v>2</v>
      </c>
      <c r="E122" s="8">
        <v>2023</v>
      </c>
      <c r="F122" s="7" t="s">
        <v>24</v>
      </c>
      <c r="G122" s="7" t="s">
        <v>10</v>
      </c>
      <c r="H122" s="8">
        <v>23</v>
      </c>
      <c r="I122" s="7" t="s">
        <v>1021</v>
      </c>
      <c r="J122" s="7" t="s">
        <v>14</v>
      </c>
      <c r="K122" s="8">
        <v>2</v>
      </c>
      <c r="L122" s="7" t="s">
        <v>1024</v>
      </c>
      <c r="M122" s="10">
        <v>50</v>
      </c>
      <c r="N122" s="10">
        <v>100</v>
      </c>
    </row>
    <row r="123" spans="1:14" x14ac:dyDescent="0.2">
      <c r="A123" s="8">
        <v>122</v>
      </c>
      <c r="B123" s="5">
        <v>44971</v>
      </c>
      <c r="C123" s="7" t="s">
        <v>1041</v>
      </c>
      <c r="D123" s="8">
        <v>2</v>
      </c>
      <c r="E123" s="8">
        <v>2023</v>
      </c>
      <c r="F123" s="7" t="s">
        <v>834</v>
      </c>
      <c r="G123" s="7" t="s">
        <v>10</v>
      </c>
      <c r="H123" s="8">
        <v>49</v>
      </c>
      <c r="I123" s="7" t="s">
        <v>1019</v>
      </c>
      <c r="J123" s="7" t="s">
        <v>16</v>
      </c>
      <c r="K123" s="8">
        <v>1</v>
      </c>
      <c r="L123" s="7" t="s">
        <v>1023</v>
      </c>
      <c r="M123" s="10">
        <v>300</v>
      </c>
      <c r="N123" s="10">
        <v>300</v>
      </c>
    </row>
    <row r="124" spans="1:14" x14ac:dyDescent="0.2">
      <c r="A124" s="8">
        <v>123</v>
      </c>
      <c r="B124" s="5">
        <v>44973</v>
      </c>
      <c r="C124" s="7" t="s">
        <v>1041</v>
      </c>
      <c r="D124" s="8">
        <v>2</v>
      </c>
      <c r="E124" s="8">
        <v>2023</v>
      </c>
      <c r="F124" s="7" t="s">
        <v>146</v>
      </c>
      <c r="G124" s="7" t="s">
        <v>10</v>
      </c>
      <c r="H124" s="8">
        <v>20</v>
      </c>
      <c r="I124" s="7" t="s">
        <v>1021</v>
      </c>
      <c r="J124" s="7" t="s">
        <v>16</v>
      </c>
      <c r="K124" s="8">
        <v>3</v>
      </c>
      <c r="L124" s="7" t="s">
        <v>1022</v>
      </c>
      <c r="M124" s="10">
        <v>300</v>
      </c>
      <c r="N124" s="10">
        <v>900</v>
      </c>
    </row>
    <row r="125" spans="1:14" x14ac:dyDescent="0.2">
      <c r="A125" s="8">
        <v>124</v>
      </c>
      <c r="B125" s="5">
        <v>44974</v>
      </c>
      <c r="C125" s="7" t="s">
        <v>1041</v>
      </c>
      <c r="D125" s="8">
        <v>2</v>
      </c>
      <c r="E125" s="8">
        <v>2023</v>
      </c>
      <c r="F125" s="7" t="s">
        <v>29</v>
      </c>
      <c r="G125" s="7" t="s">
        <v>10</v>
      </c>
      <c r="H125" s="8">
        <v>19</v>
      </c>
      <c r="I125" s="7" t="s">
        <v>1021</v>
      </c>
      <c r="J125" s="7" t="s">
        <v>14</v>
      </c>
      <c r="K125" s="8">
        <v>3</v>
      </c>
      <c r="L125" s="7" t="s">
        <v>1022</v>
      </c>
      <c r="M125" s="10">
        <v>500</v>
      </c>
      <c r="N125" s="10">
        <v>1500</v>
      </c>
    </row>
    <row r="126" spans="1:14" x14ac:dyDescent="0.2">
      <c r="A126" s="8">
        <v>125</v>
      </c>
      <c r="B126" s="5">
        <v>44974</v>
      </c>
      <c r="C126" s="7" t="s">
        <v>1041</v>
      </c>
      <c r="D126" s="8">
        <v>2</v>
      </c>
      <c r="E126" s="8">
        <v>2023</v>
      </c>
      <c r="F126" s="7" t="s">
        <v>55</v>
      </c>
      <c r="G126" s="7" t="s">
        <v>10</v>
      </c>
      <c r="H126" s="8">
        <v>22</v>
      </c>
      <c r="I126" s="7" t="s">
        <v>1021</v>
      </c>
      <c r="J126" s="7" t="s">
        <v>14</v>
      </c>
      <c r="K126" s="8">
        <v>3</v>
      </c>
      <c r="L126" s="7" t="s">
        <v>1022</v>
      </c>
      <c r="M126" s="10">
        <v>300</v>
      </c>
      <c r="N126" s="10">
        <v>900</v>
      </c>
    </row>
    <row r="127" spans="1:14" x14ac:dyDescent="0.2">
      <c r="A127" s="8">
        <v>126</v>
      </c>
      <c r="B127" s="5">
        <v>44974</v>
      </c>
      <c r="C127" s="7" t="s">
        <v>1041</v>
      </c>
      <c r="D127" s="8">
        <v>2</v>
      </c>
      <c r="E127" s="8">
        <v>2023</v>
      </c>
      <c r="F127" s="7" t="s">
        <v>305</v>
      </c>
      <c r="G127" s="7" t="s">
        <v>10</v>
      </c>
      <c r="H127" s="8">
        <v>20</v>
      </c>
      <c r="I127" s="7" t="s">
        <v>1021</v>
      </c>
      <c r="J127" s="7" t="s">
        <v>11</v>
      </c>
      <c r="K127" s="8">
        <v>4</v>
      </c>
      <c r="L127" s="7" t="s">
        <v>1025</v>
      </c>
      <c r="M127" s="10">
        <v>300</v>
      </c>
      <c r="N127" s="10">
        <v>1200</v>
      </c>
    </row>
    <row r="128" spans="1:14" x14ac:dyDescent="0.2">
      <c r="A128" s="8">
        <v>127</v>
      </c>
      <c r="B128" s="5">
        <v>44974</v>
      </c>
      <c r="C128" s="7" t="s">
        <v>1041</v>
      </c>
      <c r="D128" s="8">
        <v>2</v>
      </c>
      <c r="E128" s="8">
        <v>2023</v>
      </c>
      <c r="F128" s="7" t="s">
        <v>429</v>
      </c>
      <c r="G128" s="7" t="s">
        <v>10</v>
      </c>
      <c r="H128" s="8">
        <v>53</v>
      </c>
      <c r="I128" s="7" t="s">
        <v>1019</v>
      </c>
      <c r="J128" s="7" t="s">
        <v>16</v>
      </c>
      <c r="K128" s="8">
        <v>4</v>
      </c>
      <c r="L128" s="7" t="s">
        <v>1025</v>
      </c>
      <c r="M128" s="10">
        <v>500</v>
      </c>
      <c r="N128" s="10">
        <v>2000</v>
      </c>
    </row>
    <row r="129" spans="1:14" x14ac:dyDescent="0.2">
      <c r="A129" s="8">
        <v>128</v>
      </c>
      <c r="B129" s="5">
        <v>44974</v>
      </c>
      <c r="C129" s="7" t="s">
        <v>1041</v>
      </c>
      <c r="D129" s="8">
        <v>2</v>
      </c>
      <c r="E129" s="8">
        <v>2023</v>
      </c>
      <c r="F129" s="7" t="s">
        <v>597</v>
      </c>
      <c r="G129" s="7" t="s">
        <v>13</v>
      </c>
      <c r="H129" s="8">
        <v>27</v>
      </c>
      <c r="I129" s="7" t="s">
        <v>1021</v>
      </c>
      <c r="J129" s="7" t="s">
        <v>11</v>
      </c>
      <c r="K129" s="8">
        <v>4</v>
      </c>
      <c r="L129" s="7" t="s">
        <v>1025</v>
      </c>
      <c r="M129" s="10">
        <v>50</v>
      </c>
      <c r="N129" s="10">
        <v>200</v>
      </c>
    </row>
    <row r="130" spans="1:14" x14ac:dyDescent="0.2">
      <c r="A130" s="8">
        <v>129</v>
      </c>
      <c r="B130" s="5">
        <v>44974</v>
      </c>
      <c r="C130" s="7" t="s">
        <v>1041</v>
      </c>
      <c r="D130" s="8">
        <v>2</v>
      </c>
      <c r="E130" s="8">
        <v>2023</v>
      </c>
      <c r="F130" s="7" t="s">
        <v>874</v>
      </c>
      <c r="G130" s="7" t="s">
        <v>13</v>
      </c>
      <c r="H130" s="8">
        <v>41</v>
      </c>
      <c r="I130" s="7" t="s">
        <v>1017</v>
      </c>
      <c r="J130" s="7" t="s">
        <v>14</v>
      </c>
      <c r="K130" s="8">
        <v>3</v>
      </c>
      <c r="L130" s="7" t="s">
        <v>1022</v>
      </c>
      <c r="M130" s="10">
        <v>30</v>
      </c>
      <c r="N130" s="10">
        <v>90</v>
      </c>
    </row>
    <row r="131" spans="1:14" x14ac:dyDescent="0.2">
      <c r="A131" s="8">
        <v>130</v>
      </c>
      <c r="B131" s="5">
        <v>44975</v>
      </c>
      <c r="C131" s="7" t="s">
        <v>1041</v>
      </c>
      <c r="D131" s="8">
        <v>2</v>
      </c>
      <c r="E131" s="8">
        <v>2023</v>
      </c>
      <c r="F131" s="7" t="s">
        <v>269</v>
      </c>
      <c r="G131" s="7" t="s">
        <v>10</v>
      </c>
      <c r="H131" s="8">
        <v>23</v>
      </c>
      <c r="I131" s="7" t="s">
        <v>1021</v>
      </c>
      <c r="J131" s="7" t="s">
        <v>14</v>
      </c>
      <c r="K131" s="8">
        <v>2</v>
      </c>
      <c r="L131" s="7" t="s">
        <v>1024</v>
      </c>
      <c r="M131" s="10">
        <v>500</v>
      </c>
      <c r="N131" s="10">
        <v>1000</v>
      </c>
    </row>
    <row r="132" spans="1:14" x14ac:dyDescent="0.2">
      <c r="A132" s="8">
        <v>131</v>
      </c>
      <c r="B132" s="5">
        <v>44976</v>
      </c>
      <c r="C132" s="7" t="s">
        <v>1041</v>
      </c>
      <c r="D132" s="8">
        <v>2</v>
      </c>
      <c r="E132" s="8">
        <v>2023</v>
      </c>
      <c r="F132" s="7" t="s">
        <v>57</v>
      </c>
      <c r="G132" s="7" t="s">
        <v>13</v>
      </c>
      <c r="H132" s="8">
        <v>22</v>
      </c>
      <c r="I132" s="7" t="s">
        <v>1021</v>
      </c>
      <c r="J132" s="7" t="s">
        <v>14</v>
      </c>
      <c r="K132" s="8">
        <v>1</v>
      </c>
      <c r="L132" s="7" t="s">
        <v>1023</v>
      </c>
      <c r="M132" s="10">
        <v>25</v>
      </c>
      <c r="N132" s="10">
        <v>25</v>
      </c>
    </row>
    <row r="133" spans="1:14" x14ac:dyDescent="0.2">
      <c r="A133" s="8">
        <v>132</v>
      </c>
      <c r="B133" s="5">
        <v>44976</v>
      </c>
      <c r="C133" s="7" t="s">
        <v>1041</v>
      </c>
      <c r="D133" s="8">
        <v>2</v>
      </c>
      <c r="E133" s="8">
        <v>2023</v>
      </c>
      <c r="F133" s="7" t="s">
        <v>270</v>
      </c>
      <c r="G133" s="7" t="s">
        <v>10</v>
      </c>
      <c r="H133" s="8">
        <v>19</v>
      </c>
      <c r="I133" s="7" t="s">
        <v>1021</v>
      </c>
      <c r="J133" s="7" t="s">
        <v>11</v>
      </c>
      <c r="K133" s="8">
        <v>4</v>
      </c>
      <c r="L133" s="7" t="s">
        <v>1025</v>
      </c>
      <c r="M133" s="10">
        <v>500</v>
      </c>
      <c r="N133" s="10">
        <v>2000</v>
      </c>
    </row>
    <row r="134" spans="1:14" x14ac:dyDescent="0.2">
      <c r="A134" s="8">
        <v>133</v>
      </c>
      <c r="B134" s="5">
        <v>44977</v>
      </c>
      <c r="C134" s="7" t="s">
        <v>1041</v>
      </c>
      <c r="D134" s="8">
        <v>2</v>
      </c>
      <c r="E134" s="8">
        <v>2023</v>
      </c>
      <c r="F134" s="7" t="s">
        <v>281</v>
      </c>
      <c r="G134" s="7" t="s">
        <v>13</v>
      </c>
      <c r="H134" s="8">
        <v>28</v>
      </c>
      <c r="I134" s="7" t="s">
        <v>1021</v>
      </c>
      <c r="J134" s="7" t="s">
        <v>16</v>
      </c>
      <c r="K134" s="8">
        <v>1</v>
      </c>
      <c r="L134" s="7" t="s">
        <v>1023</v>
      </c>
      <c r="M134" s="10">
        <v>30</v>
      </c>
      <c r="N134" s="10">
        <v>30</v>
      </c>
    </row>
    <row r="135" spans="1:14" x14ac:dyDescent="0.2">
      <c r="A135" s="8">
        <v>134</v>
      </c>
      <c r="B135" s="5">
        <v>44977</v>
      </c>
      <c r="C135" s="7" t="s">
        <v>1041</v>
      </c>
      <c r="D135" s="8">
        <v>2</v>
      </c>
      <c r="E135" s="8">
        <v>2023</v>
      </c>
      <c r="F135" s="7" t="s">
        <v>300</v>
      </c>
      <c r="G135" s="7" t="s">
        <v>10</v>
      </c>
      <c r="H135" s="8">
        <v>54</v>
      </c>
      <c r="I135" s="7" t="s">
        <v>1019</v>
      </c>
      <c r="J135" s="7" t="s">
        <v>14</v>
      </c>
      <c r="K135" s="8">
        <v>4</v>
      </c>
      <c r="L135" s="7" t="s">
        <v>1025</v>
      </c>
      <c r="M135" s="10">
        <v>25</v>
      </c>
      <c r="N135" s="10">
        <v>100</v>
      </c>
    </row>
    <row r="136" spans="1:14" x14ac:dyDescent="0.2">
      <c r="A136" s="8">
        <v>135</v>
      </c>
      <c r="B136" s="5">
        <v>44977</v>
      </c>
      <c r="C136" s="7" t="s">
        <v>1041</v>
      </c>
      <c r="D136" s="8">
        <v>2</v>
      </c>
      <c r="E136" s="8">
        <v>2023</v>
      </c>
      <c r="F136" s="7" t="s">
        <v>979</v>
      </c>
      <c r="G136" s="7" t="s">
        <v>10</v>
      </c>
      <c r="H136" s="8">
        <v>60</v>
      </c>
      <c r="I136" s="7" t="s">
        <v>1018</v>
      </c>
      <c r="J136" s="7" t="s">
        <v>16</v>
      </c>
      <c r="K136" s="8">
        <v>2</v>
      </c>
      <c r="L136" s="7" t="s">
        <v>1024</v>
      </c>
      <c r="M136" s="10">
        <v>500</v>
      </c>
      <c r="N136" s="10">
        <v>1000</v>
      </c>
    </row>
    <row r="137" spans="1:14" x14ac:dyDescent="0.2">
      <c r="A137" s="8">
        <v>136</v>
      </c>
      <c r="B137" s="5">
        <v>44978</v>
      </c>
      <c r="C137" s="7" t="s">
        <v>1041</v>
      </c>
      <c r="D137" s="8">
        <v>2</v>
      </c>
      <c r="E137" s="8">
        <v>2023</v>
      </c>
      <c r="F137" s="7" t="s">
        <v>83</v>
      </c>
      <c r="G137" s="7" t="s">
        <v>13</v>
      </c>
      <c r="H137" s="8">
        <v>43</v>
      </c>
      <c r="I137" s="7" t="s">
        <v>1017</v>
      </c>
      <c r="J137" s="7" t="s">
        <v>14</v>
      </c>
      <c r="K137" s="8">
        <v>1</v>
      </c>
      <c r="L137" s="7" t="s">
        <v>1023</v>
      </c>
      <c r="M137" s="10">
        <v>300</v>
      </c>
      <c r="N137" s="10">
        <v>300</v>
      </c>
    </row>
    <row r="138" spans="1:14" x14ac:dyDescent="0.2">
      <c r="A138" s="8">
        <v>137</v>
      </c>
      <c r="B138" s="5">
        <v>44978</v>
      </c>
      <c r="C138" s="7" t="s">
        <v>1041</v>
      </c>
      <c r="D138" s="8">
        <v>2</v>
      </c>
      <c r="E138" s="8">
        <v>2023</v>
      </c>
      <c r="F138" s="7" t="s">
        <v>384</v>
      </c>
      <c r="G138" s="7" t="s">
        <v>13</v>
      </c>
      <c r="H138" s="8">
        <v>20</v>
      </c>
      <c r="I138" s="7" t="s">
        <v>1021</v>
      </c>
      <c r="J138" s="7" t="s">
        <v>11</v>
      </c>
      <c r="K138" s="8">
        <v>1</v>
      </c>
      <c r="L138" s="7" t="s">
        <v>1023</v>
      </c>
      <c r="M138" s="10">
        <v>25</v>
      </c>
      <c r="N138" s="10">
        <v>25</v>
      </c>
    </row>
    <row r="139" spans="1:14" x14ac:dyDescent="0.2">
      <c r="A139" s="8">
        <v>138</v>
      </c>
      <c r="B139" s="5">
        <v>44978</v>
      </c>
      <c r="C139" s="7" t="s">
        <v>1041</v>
      </c>
      <c r="D139" s="8">
        <v>2</v>
      </c>
      <c r="E139" s="8">
        <v>2023</v>
      </c>
      <c r="F139" s="7" t="s">
        <v>913</v>
      </c>
      <c r="G139" s="7" t="s">
        <v>10</v>
      </c>
      <c r="H139" s="8">
        <v>21</v>
      </c>
      <c r="I139" s="7" t="s">
        <v>1021</v>
      </c>
      <c r="J139" s="7" t="s">
        <v>14</v>
      </c>
      <c r="K139" s="8">
        <v>2</v>
      </c>
      <c r="L139" s="7" t="s">
        <v>1024</v>
      </c>
      <c r="M139" s="10">
        <v>30</v>
      </c>
      <c r="N139" s="10">
        <v>60</v>
      </c>
    </row>
    <row r="140" spans="1:14" x14ac:dyDescent="0.2">
      <c r="A140" s="8">
        <v>139</v>
      </c>
      <c r="B140" s="5">
        <v>44979</v>
      </c>
      <c r="C140" s="7" t="s">
        <v>1041</v>
      </c>
      <c r="D140" s="8">
        <v>2</v>
      </c>
      <c r="E140" s="8">
        <v>2023</v>
      </c>
      <c r="F140" s="7" t="s">
        <v>21</v>
      </c>
      <c r="G140" s="7" t="s">
        <v>10</v>
      </c>
      <c r="H140" s="8">
        <v>30</v>
      </c>
      <c r="I140" s="7" t="s">
        <v>1021</v>
      </c>
      <c r="J140" s="7" t="s">
        <v>16</v>
      </c>
      <c r="K140" s="8">
        <v>4</v>
      </c>
      <c r="L140" s="7" t="s">
        <v>1025</v>
      </c>
      <c r="M140" s="10">
        <v>25</v>
      </c>
      <c r="N140" s="10">
        <v>100</v>
      </c>
    </row>
    <row r="141" spans="1:14" x14ac:dyDescent="0.2">
      <c r="A141" s="8">
        <v>140</v>
      </c>
      <c r="B141" s="5">
        <v>44979</v>
      </c>
      <c r="C141" s="7" t="s">
        <v>1041</v>
      </c>
      <c r="D141" s="8">
        <v>2</v>
      </c>
      <c r="E141" s="8">
        <v>2023</v>
      </c>
      <c r="F141" s="7" t="s">
        <v>54</v>
      </c>
      <c r="G141" s="7" t="s">
        <v>10</v>
      </c>
      <c r="H141" s="8">
        <v>34</v>
      </c>
      <c r="I141" s="7" t="s">
        <v>1021</v>
      </c>
      <c r="J141" s="7" t="s">
        <v>14</v>
      </c>
      <c r="K141" s="8">
        <v>2</v>
      </c>
      <c r="L141" s="7" t="s">
        <v>1024</v>
      </c>
      <c r="M141" s="10">
        <v>25</v>
      </c>
      <c r="N141" s="10">
        <v>50</v>
      </c>
    </row>
    <row r="142" spans="1:14" x14ac:dyDescent="0.2">
      <c r="A142" s="8">
        <v>141</v>
      </c>
      <c r="B142" s="5">
        <v>44979</v>
      </c>
      <c r="C142" s="7" t="s">
        <v>1041</v>
      </c>
      <c r="D142" s="8">
        <v>2</v>
      </c>
      <c r="E142" s="8">
        <v>2023</v>
      </c>
      <c r="F142" s="7" t="s">
        <v>467</v>
      </c>
      <c r="G142" s="7" t="s">
        <v>13</v>
      </c>
      <c r="H142" s="8">
        <v>46</v>
      </c>
      <c r="I142" s="7" t="s">
        <v>1019</v>
      </c>
      <c r="J142" s="7" t="s">
        <v>11</v>
      </c>
      <c r="K142" s="8">
        <v>1</v>
      </c>
      <c r="L142" s="7" t="s">
        <v>1023</v>
      </c>
      <c r="M142" s="10">
        <v>25</v>
      </c>
      <c r="N142" s="10">
        <v>25</v>
      </c>
    </row>
    <row r="143" spans="1:14" x14ac:dyDescent="0.2">
      <c r="A143" s="8">
        <v>142</v>
      </c>
      <c r="B143" s="5">
        <v>44979</v>
      </c>
      <c r="C143" s="7" t="s">
        <v>1041</v>
      </c>
      <c r="D143" s="8">
        <v>2</v>
      </c>
      <c r="E143" s="8">
        <v>2023</v>
      </c>
      <c r="F143" s="7" t="s">
        <v>793</v>
      </c>
      <c r="G143" s="7" t="s">
        <v>10</v>
      </c>
      <c r="H143" s="8">
        <v>52</v>
      </c>
      <c r="I143" s="7" t="s">
        <v>1019</v>
      </c>
      <c r="J143" s="7" t="s">
        <v>16</v>
      </c>
      <c r="K143" s="8">
        <v>2</v>
      </c>
      <c r="L143" s="7" t="s">
        <v>1024</v>
      </c>
      <c r="M143" s="10">
        <v>25</v>
      </c>
      <c r="N143" s="10">
        <v>50</v>
      </c>
    </row>
    <row r="144" spans="1:14" x14ac:dyDescent="0.2">
      <c r="A144" s="8">
        <v>143</v>
      </c>
      <c r="B144" s="5">
        <v>44979</v>
      </c>
      <c r="C144" s="7" t="s">
        <v>1041</v>
      </c>
      <c r="D144" s="8">
        <v>2</v>
      </c>
      <c r="E144" s="8">
        <v>2023</v>
      </c>
      <c r="F144" s="7" t="s">
        <v>933</v>
      </c>
      <c r="G144" s="7" t="s">
        <v>13</v>
      </c>
      <c r="H144" s="8">
        <v>28</v>
      </c>
      <c r="I144" s="7" t="s">
        <v>1021</v>
      </c>
      <c r="J144" s="7" t="s">
        <v>11</v>
      </c>
      <c r="K144" s="8">
        <v>3</v>
      </c>
      <c r="L144" s="7" t="s">
        <v>1022</v>
      </c>
      <c r="M144" s="10">
        <v>25</v>
      </c>
      <c r="N144" s="10">
        <v>75</v>
      </c>
    </row>
    <row r="145" spans="1:14" x14ac:dyDescent="0.2">
      <c r="A145" s="8">
        <v>144</v>
      </c>
      <c r="B145" s="5">
        <v>44980</v>
      </c>
      <c r="C145" s="7" t="s">
        <v>1041</v>
      </c>
      <c r="D145" s="8">
        <v>2</v>
      </c>
      <c r="E145" s="8">
        <v>2023</v>
      </c>
      <c r="F145" s="7" t="s">
        <v>409</v>
      </c>
      <c r="G145" s="7" t="s">
        <v>13</v>
      </c>
      <c r="H145" s="8">
        <v>55</v>
      </c>
      <c r="I145" s="7" t="s">
        <v>1019</v>
      </c>
      <c r="J145" s="7" t="s">
        <v>11</v>
      </c>
      <c r="K145" s="8">
        <v>1</v>
      </c>
      <c r="L145" s="7" t="s">
        <v>1023</v>
      </c>
      <c r="M145" s="10">
        <v>30</v>
      </c>
      <c r="N145" s="10">
        <v>30</v>
      </c>
    </row>
    <row r="146" spans="1:14" x14ac:dyDescent="0.2">
      <c r="A146" s="8">
        <v>145</v>
      </c>
      <c r="B146" s="5">
        <v>44981</v>
      </c>
      <c r="C146" s="7" t="s">
        <v>1041</v>
      </c>
      <c r="D146" s="8">
        <v>2</v>
      </c>
      <c r="E146" s="8">
        <v>2023</v>
      </c>
      <c r="F146" s="7" t="s">
        <v>181</v>
      </c>
      <c r="G146" s="7" t="s">
        <v>10</v>
      </c>
      <c r="H146" s="8">
        <v>53</v>
      </c>
      <c r="I146" s="7" t="s">
        <v>1019</v>
      </c>
      <c r="J146" s="7" t="s">
        <v>14</v>
      </c>
      <c r="K146" s="8">
        <v>1</v>
      </c>
      <c r="L146" s="7" t="s">
        <v>1023</v>
      </c>
      <c r="M146" s="10">
        <v>300</v>
      </c>
      <c r="N146" s="10">
        <v>300</v>
      </c>
    </row>
    <row r="147" spans="1:14" x14ac:dyDescent="0.2">
      <c r="A147" s="8">
        <v>146</v>
      </c>
      <c r="B147" s="5">
        <v>44981</v>
      </c>
      <c r="C147" s="7" t="s">
        <v>1041</v>
      </c>
      <c r="D147" s="8">
        <v>2</v>
      </c>
      <c r="E147" s="8">
        <v>2023</v>
      </c>
      <c r="F147" s="7" t="s">
        <v>413</v>
      </c>
      <c r="G147" s="7" t="s">
        <v>10</v>
      </c>
      <c r="H147" s="8">
        <v>53</v>
      </c>
      <c r="I147" s="7" t="s">
        <v>1019</v>
      </c>
      <c r="J147" s="7" t="s">
        <v>14</v>
      </c>
      <c r="K147" s="8">
        <v>4</v>
      </c>
      <c r="L147" s="7" t="s">
        <v>1025</v>
      </c>
      <c r="M147" s="10">
        <v>50</v>
      </c>
      <c r="N147" s="10">
        <v>200</v>
      </c>
    </row>
    <row r="148" spans="1:14" x14ac:dyDescent="0.2">
      <c r="A148" s="8">
        <v>147</v>
      </c>
      <c r="B148" s="5">
        <v>44981</v>
      </c>
      <c r="C148" s="7" t="s">
        <v>1041</v>
      </c>
      <c r="D148" s="8">
        <v>2</v>
      </c>
      <c r="E148" s="8">
        <v>2023</v>
      </c>
      <c r="F148" s="7" t="s">
        <v>624</v>
      </c>
      <c r="G148" s="7" t="s">
        <v>10</v>
      </c>
      <c r="H148" s="8">
        <v>51</v>
      </c>
      <c r="I148" s="7" t="s">
        <v>1019</v>
      </c>
      <c r="J148" s="7" t="s">
        <v>11</v>
      </c>
      <c r="K148" s="8">
        <v>3</v>
      </c>
      <c r="L148" s="7" t="s">
        <v>1022</v>
      </c>
      <c r="M148" s="10">
        <v>500</v>
      </c>
      <c r="N148" s="10">
        <v>1500</v>
      </c>
    </row>
    <row r="149" spans="1:14" x14ac:dyDescent="0.2">
      <c r="A149" s="8">
        <v>148</v>
      </c>
      <c r="B149" s="5">
        <v>44981</v>
      </c>
      <c r="C149" s="7" t="s">
        <v>1041</v>
      </c>
      <c r="D149" s="8">
        <v>2</v>
      </c>
      <c r="E149" s="8">
        <v>2023</v>
      </c>
      <c r="F149" s="7" t="s">
        <v>813</v>
      </c>
      <c r="G149" s="7" t="s">
        <v>10</v>
      </c>
      <c r="H149" s="8">
        <v>32</v>
      </c>
      <c r="I149" s="7" t="s">
        <v>1021</v>
      </c>
      <c r="J149" s="7" t="s">
        <v>14</v>
      </c>
      <c r="K149" s="8">
        <v>4</v>
      </c>
      <c r="L149" s="7" t="s">
        <v>1025</v>
      </c>
      <c r="M149" s="10">
        <v>300</v>
      </c>
      <c r="N149" s="10">
        <v>1200</v>
      </c>
    </row>
    <row r="150" spans="1:14" x14ac:dyDescent="0.2">
      <c r="A150" s="8">
        <v>149</v>
      </c>
      <c r="B150" s="5">
        <v>44982</v>
      </c>
      <c r="C150" s="7" t="s">
        <v>1041</v>
      </c>
      <c r="D150" s="8">
        <v>2</v>
      </c>
      <c r="E150" s="8">
        <v>2023</v>
      </c>
      <c r="F150" s="7" t="s">
        <v>285</v>
      </c>
      <c r="G150" s="7" t="s">
        <v>13</v>
      </c>
      <c r="H150" s="8">
        <v>61</v>
      </c>
      <c r="I150" s="7" t="s">
        <v>1018</v>
      </c>
      <c r="J150" s="7" t="s">
        <v>16</v>
      </c>
      <c r="K150" s="8">
        <v>2</v>
      </c>
      <c r="L150" s="7" t="s">
        <v>1024</v>
      </c>
      <c r="M150" s="10">
        <v>50</v>
      </c>
      <c r="N150" s="10">
        <v>100</v>
      </c>
    </row>
    <row r="151" spans="1:14" x14ac:dyDescent="0.2">
      <c r="A151" s="8">
        <v>150</v>
      </c>
      <c r="B151" s="5">
        <v>44982</v>
      </c>
      <c r="C151" s="7" t="s">
        <v>1041</v>
      </c>
      <c r="D151" s="8">
        <v>2</v>
      </c>
      <c r="E151" s="8">
        <v>2023</v>
      </c>
      <c r="F151" s="7" t="s">
        <v>486</v>
      </c>
      <c r="G151" s="7" t="s">
        <v>10</v>
      </c>
      <c r="H151" s="8">
        <v>64</v>
      </c>
      <c r="I151" s="7" t="s">
        <v>1018</v>
      </c>
      <c r="J151" s="7" t="s">
        <v>11</v>
      </c>
      <c r="K151" s="8">
        <v>1</v>
      </c>
      <c r="L151" s="7" t="s">
        <v>1023</v>
      </c>
      <c r="M151" s="10">
        <v>50</v>
      </c>
      <c r="N151" s="10">
        <v>50</v>
      </c>
    </row>
    <row r="152" spans="1:14" x14ac:dyDescent="0.2">
      <c r="A152" s="8">
        <v>151</v>
      </c>
      <c r="B152" s="5">
        <v>44982</v>
      </c>
      <c r="C152" s="7" t="s">
        <v>1041</v>
      </c>
      <c r="D152" s="8">
        <v>2</v>
      </c>
      <c r="E152" s="8">
        <v>2023</v>
      </c>
      <c r="F152" s="7" t="s">
        <v>519</v>
      </c>
      <c r="G152" s="7" t="s">
        <v>10</v>
      </c>
      <c r="H152" s="8">
        <v>34</v>
      </c>
      <c r="I152" s="7" t="s">
        <v>1021</v>
      </c>
      <c r="J152" s="7" t="s">
        <v>11</v>
      </c>
      <c r="K152" s="8">
        <v>3</v>
      </c>
      <c r="L152" s="7" t="s">
        <v>1022</v>
      </c>
      <c r="M152" s="10">
        <v>500</v>
      </c>
      <c r="N152" s="10">
        <v>1500</v>
      </c>
    </row>
    <row r="153" spans="1:14" x14ac:dyDescent="0.2">
      <c r="A153" s="8">
        <v>152</v>
      </c>
      <c r="B153" s="5">
        <v>44982</v>
      </c>
      <c r="C153" s="7" t="s">
        <v>1041</v>
      </c>
      <c r="D153" s="8">
        <v>2</v>
      </c>
      <c r="E153" s="8">
        <v>2023</v>
      </c>
      <c r="F153" s="7" t="s">
        <v>779</v>
      </c>
      <c r="G153" s="7" t="s">
        <v>10</v>
      </c>
      <c r="H153" s="8">
        <v>38</v>
      </c>
      <c r="I153" s="7" t="s">
        <v>1017</v>
      </c>
      <c r="J153" s="7" t="s">
        <v>16</v>
      </c>
      <c r="K153" s="8">
        <v>3</v>
      </c>
      <c r="L153" s="7" t="s">
        <v>1022</v>
      </c>
      <c r="M153" s="10">
        <v>300</v>
      </c>
      <c r="N153" s="10">
        <v>900</v>
      </c>
    </row>
    <row r="154" spans="1:14" x14ac:dyDescent="0.2">
      <c r="A154" s="8">
        <v>153</v>
      </c>
      <c r="B154" s="5">
        <v>44983</v>
      </c>
      <c r="C154" s="7" t="s">
        <v>1041</v>
      </c>
      <c r="D154" s="8">
        <v>2</v>
      </c>
      <c r="E154" s="8">
        <v>2023</v>
      </c>
      <c r="F154" s="7" t="s">
        <v>148</v>
      </c>
      <c r="G154" s="7" t="s">
        <v>10</v>
      </c>
      <c r="H154" s="8">
        <v>20</v>
      </c>
      <c r="I154" s="7" t="s">
        <v>1021</v>
      </c>
      <c r="J154" s="7" t="s">
        <v>14</v>
      </c>
      <c r="K154" s="8">
        <v>2</v>
      </c>
      <c r="L154" s="7" t="s">
        <v>1024</v>
      </c>
      <c r="M154" s="10">
        <v>25</v>
      </c>
      <c r="N154" s="10">
        <v>50</v>
      </c>
    </row>
    <row r="155" spans="1:14" x14ac:dyDescent="0.2">
      <c r="A155" s="8">
        <v>154</v>
      </c>
      <c r="B155" s="5">
        <v>44984</v>
      </c>
      <c r="C155" s="7" t="s">
        <v>1041</v>
      </c>
      <c r="D155" s="8">
        <v>2</v>
      </c>
      <c r="E155" s="8">
        <v>2023</v>
      </c>
      <c r="F155" s="7" t="s">
        <v>12</v>
      </c>
      <c r="G155" s="7" t="s">
        <v>13</v>
      </c>
      <c r="H155" s="8">
        <v>26</v>
      </c>
      <c r="I155" s="7" t="s">
        <v>1021</v>
      </c>
      <c r="J155" s="7" t="s">
        <v>14</v>
      </c>
      <c r="K155" s="8">
        <v>2</v>
      </c>
      <c r="L155" s="7" t="s">
        <v>1024</v>
      </c>
      <c r="M155" s="10">
        <v>500</v>
      </c>
      <c r="N155" s="10">
        <v>1000</v>
      </c>
    </row>
    <row r="156" spans="1:14" x14ac:dyDescent="0.2">
      <c r="A156" s="8">
        <v>155</v>
      </c>
      <c r="B156" s="5">
        <v>44984</v>
      </c>
      <c r="C156" s="7" t="s">
        <v>1041</v>
      </c>
      <c r="D156" s="8">
        <v>2</v>
      </c>
      <c r="E156" s="8">
        <v>2023</v>
      </c>
      <c r="F156" s="7" t="s">
        <v>171</v>
      </c>
      <c r="G156" s="7" t="s">
        <v>13</v>
      </c>
      <c r="H156" s="8">
        <v>44</v>
      </c>
      <c r="I156" s="7" t="s">
        <v>1017</v>
      </c>
      <c r="J156" s="7" t="s">
        <v>16</v>
      </c>
      <c r="K156" s="8">
        <v>2</v>
      </c>
      <c r="L156" s="7" t="s">
        <v>1024</v>
      </c>
      <c r="M156" s="10">
        <v>300</v>
      </c>
      <c r="N156" s="10">
        <v>600</v>
      </c>
    </row>
    <row r="157" spans="1:14" x14ac:dyDescent="0.2">
      <c r="A157" s="8">
        <v>156</v>
      </c>
      <c r="B157" s="5">
        <v>44984</v>
      </c>
      <c r="C157" s="7" t="s">
        <v>1041</v>
      </c>
      <c r="D157" s="8">
        <v>2</v>
      </c>
      <c r="E157" s="8">
        <v>2023</v>
      </c>
      <c r="F157" s="7" t="s">
        <v>198</v>
      </c>
      <c r="G157" s="7" t="s">
        <v>10</v>
      </c>
      <c r="H157" s="8">
        <v>24</v>
      </c>
      <c r="I157" s="7" t="s">
        <v>1021</v>
      </c>
      <c r="J157" s="7" t="s">
        <v>14</v>
      </c>
      <c r="K157" s="8">
        <v>1</v>
      </c>
      <c r="L157" s="7" t="s">
        <v>1023</v>
      </c>
      <c r="M157" s="10">
        <v>25</v>
      </c>
      <c r="N157" s="10">
        <v>25</v>
      </c>
    </row>
    <row r="158" spans="1:14" x14ac:dyDescent="0.2">
      <c r="A158" s="8">
        <v>157</v>
      </c>
      <c r="B158" s="5">
        <v>44984</v>
      </c>
      <c r="C158" s="7" t="s">
        <v>1041</v>
      </c>
      <c r="D158" s="8">
        <v>2</v>
      </c>
      <c r="E158" s="8">
        <v>2023</v>
      </c>
      <c r="F158" s="7" t="s">
        <v>446</v>
      </c>
      <c r="G158" s="7" t="s">
        <v>10</v>
      </c>
      <c r="H158" s="8">
        <v>29</v>
      </c>
      <c r="I158" s="7" t="s">
        <v>1021</v>
      </c>
      <c r="J158" s="7" t="s">
        <v>11</v>
      </c>
      <c r="K158" s="8">
        <v>4</v>
      </c>
      <c r="L158" s="7" t="s">
        <v>1025</v>
      </c>
      <c r="M158" s="10">
        <v>50</v>
      </c>
      <c r="N158" s="10">
        <v>200</v>
      </c>
    </row>
    <row r="159" spans="1:14" x14ac:dyDescent="0.2">
      <c r="A159" s="8">
        <v>158</v>
      </c>
      <c r="B159" s="5">
        <v>44985</v>
      </c>
      <c r="C159" s="7" t="s">
        <v>1041</v>
      </c>
      <c r="D159" s="8">
        <v>2</v>
      </c>
      <c r="E159" s="8">
        <v>2023</v>
      </c>
      <c r="F159" s="7" t="s">
        <v>165</v>
      </c>
      <c r="G159" s="7" t="s">
        <v>10</v>
      </c>
      <c r="H159" s="8">
        <v>43</v>
      </c>
      <c r="I159" s="7" t="s">
        <v>1017</v>
      </c>
      <c r="J159" s="7" t="s">
        <v>16</v>
      </c>
      <c r="K159" s="8">
        <v>4</v>
      </c>
      <c r="L159" s="7" t="s">
        <v>1025</v>
      </c>
      <c r="M159" s="10">
        <v>500</v>
      </c>
      <c r="N159" s="10">
        <v>2000</v>
      </c>
    </row>
    <row r="160" spans="1:14" x14ac:dyDescent="0.2">
      <c r="A160" s="8">
        <v>159</v>
      </c>
      <c r="B160" s="5">
        <v>44985</v>
      </c>
      <c r="C160" s="7" t="s">
        <v>1041</v>
      </c>
      <c r="D160" s="8">
        <v>2</v>
      </c>
      <c r="E160" s="8">
        <v>2023</v>
      </c>
      <c r="F160" s="7" t="s">
        <v>766</v>
      </c>
      <c r="G160" s="7" t="s">
        <v>13</v>
      </c>
      <c r="H160" s="8">
        <v>32</v>
      </c>
      <c r="I160" s="7" t="s">
        <v>1021</v>
      </c>
      <c r="J160" s="7" t="s">
        <v>14</v>
      </c>
      <c r="K160" s="8">
        <v>1</v>
      </c>
      <c r="L160" s="7" t="s">
        <v>1023</v>
      </c>
      <c r="M160" s="10">
        <v>30</v>
      </c>
      <c r="N160" s="10">
        <v>30</v>
      </c>
    </row>
    <row r="161" spans="1:14" x14ac:dyDescent="0.2">
      <c r="A161" s="8">
        <v>160</v>
      </c>
      <c r="B161" s="5">
        <v>44985</v>
      </c>
      <c r="C161" s="7" t="s">
        <v>1041</v>
      </c>
      <c r="D161" s="8">
        <v>2</v>
      </c>
      <c r="E161" s="8">
        <v>2023</v>
      </c>
      <c r="F161" s="7" t="s">
        <v>776</v>
      </c>
      <c r="G161" s="7" t="s">
        <v>10</v>
      </c>
      <c r="H161" s="8">
        <v>34</v>
      </c>
      <c r="I161" s="7" t="s">
        <v>1021</v>
      </c>
      <c r="J161" s="7" t="s">
        <v>14</v>
      </c>
      <c r="K161" s="8">
        <v>2</v>
      </c>
      <c r="L161" s="7" t="s">
        <v>1024</v>
      </c>
      <c r="M161" s="10">
        <v>25</v>
      </c>
      <c r="N161" s="10">
        <v>50</v>
      </c>
    </row>
    <row r="162" spans="1:14" x14ac:dyDescent="0.2">
      <c r="A162" s="8">
        <v>161</v>
      </c>
      <c r="B162" s="5">
        <v>44985</v>
      </c>
      <c r="C162" s="7" t="s">
        <v>1041</v>
      </c>
      <c r="D162" s="8">
        <v>2</v>
      </c>
      <c r="E162" s="8">
        <v>2023</v>
      </c>
      <c r="F162" s="7" t="s">
        <v>945</v>
      </c>
      <c r="G162" s="7" t="s">
        <v>13</v>
      </c>
      <c r="H162" s="8">
        <v>45</v>
      </c>
      <c r="I162" s="7" t="s">
        <v>1017</v>
      </c>
      <c r="J162" s="7" t="s">
        <v>11</v>
      </c>
      <c r="K162" s="8">
        <v>4</v>
      </c>
      <c r="L162" s="7" t="s">
        <v>1025</v>
      </c>
      <c r="M162" s="10">
        <v>25</v>
      </c>
      <c r="N162" s="10">
        <v>100</v>
      </c>
    </row>
    <row r="163" spans="1:14" x14ac:dyDescent="0.2">
      <c r="A163" s="8">
        <v>162</v>
      </c>
      <c r="B163" s="5">
        <v>44986</v>
      </c>
      <c r="C163" s="7" t="s">
        <v>1041</v>
      </c>
      <c r="D163" s="8">
        <v>2</v>
      </c>
      <c r="E163" s="8">
        <v>2023</v>
      </c>
      <c r="F163" s="7" t="s">
        <v>412</v>
      </c>
      <c r="G163" s="7" t="s">
        <v>13</v>
      </c>
      <c r="H163" s="8">
        <v>64</v>
      </c>
      <c r="I163" s="7" t="s">
        <v>1018</v>
      </c>
      <c r="J163" s="7" t="s">
        <v>11</v>
      </c>
      <c r="K163" s="8">
        <v>2</v>
      </c>
      <c r="L163" s="7" t="s">
        <v>1024</v>
      </c>
      <c r="M163" s="10">
        <v>30</v>
      </c>
      <c r="N163" s="10">
        <v>60</v>
      </c>
    </row>
    <row r="164" spans="1:14" x14ac:dyDescent="0.2">
      <c r="A164" s="8">
        <v>163</v>
      </c>
      <c r="B164" s="5">
        <v>44986</v>
      </c>
      <c r="C164" s="7" t="s">
        <v>1041</v>
      </c>
      <c r="D164" s="8">
        <v>2</v>
      </c>
      <c r="E164" s="8">
        <v>2023</v>
      </c>
      <c r="F164" s="7" t="s">
        <v>513</v>
      </c>
      <c r="G164" s="7" t="s">
        <v>13</v>
      </c>
      <c r="H164" s="8">
        <v>60</v>
      </c>
      <c r="I164" s="7" t="s">
        <v>1018</v>
      </c>
      <c r="J164" s="7" t="s">
        <v>11</v>
      </c>
      <c r="K164" s="8">
        <v>4</v>
      </c>
      <c r="L164" s="7" t="s">
        <v>1025</v>
      </c>
      <c r="M164" s="10">
        <v>25</v>
      </c>
      <c r="N164" s="10">
        <v>100</v>
      </c>
    </row>
    <row r="165" spans="1:14" x14ac:dyDescent="0.2">
      <c r="A165" s="8">
        <v>164</v>
      </c>
      <c r="B165" s="5">
        <v>44986</v>
      </c>
      <c r="C165" s="7" t="s">
        <v>1042</v>
      </c>
      <c r="D165" s="8">
        <v>3</v>
      </c>
      <c r="E165" s="8">
        <v>2023</v>
      </c>
      <c r="F165" s="7" t="s">
        <v>527</v>
      </c>
      <c r="G165" s="7" t="s">
        <v>13</v>
      </c>
      <c r="H165" s="8">
        <v>18</v>
      </c>
      <c r="I165" s="7" t="s">
        <v>1020</v>
      </c>
      <c r="J165" s="7" t="s">
        <v>16</v>
      </c>
      <c r="K165" s="8">
        <v>1</v>
      </c>
      <c r="L165" s="7" t="s">
        <v>1023</v>
      </c>
      <c r="M165" s="10">
        <v>300</v>
      </c>
      <c r="N165" s="10">
        <v>300</v>
      </c>
    </row>
    <row r="166" spans="1:14" x14ac:dyDescent="0.2">
      <c r="A166" s="8">
        <v>165</v>
      </c>
      <c r="B166" s="5">
        <v>44987</v>
      </c>
      <c r="C166" s="7" t="s">
        <v>1042</v>
      </c>
      <c r="D166" s="8">
        <v>3</v>
      </c>
      <c r="E166" s="8">
        <v>2023</v>
      </c>
      <c r="F166" s="7" t="s">
        <v>960</v>
      </c>
      <c r="G166" s="7" t="s">
        <v>10</v>
      </c>
      <c r="H166" s="8">
        <v>50</v>
      </c>
      <c r="I166" s="7" t="s">
        <v>1019</v>
      </c>
      <c r="J166" s="7" t="s">
        <v>11</v>
      </c>
      <c r="K166" s="8">
        <v>1</v>
      </c>
      <c r="L166" s="7" t="s">
        <v>1023</v>
      </c>
      <c r="M166" s="10">
        <v>300</v>
      </c>
      <c r="N166" s="10">
        <v>300</v>
      </c>
    </row>
    <row r="167" spans="1:14" x14ac:dyDescent="0.2">
      <c r="A167" s="8">
        <v>166</v>
      </c>
      <c r="B167" s="5">
        <v>44988</v>
      </c>
      <c r="C167" s="7" t="s">
        <v>1042</v>
      </c>
      <c r="D167" s="8">
        <v>3</v>
      </c>
      <c r="E167" s="8">
        <v>2023</v>
      </c>
      <c r="F167" s="7" t="s">
        <v>233</v>
      </c>
      <c r="G167" s="7" t="s">
        <v>10</v>
      </c>
      <c r="H167" s="8">
        <v>64</v>
      </c>
      <c r="I167" s="7" t="s">
        <v>1018</v>
      </c>
      <c r="J167" s="7" t="s">
        <v>11</v>
      </c>
      <c r="K167" s="8">
        <v>1</v>
      </c>
      <c r="L167" s="7" t="s">
        <v>1023</v>
      </c>
      <c r="M167" s="10">
        <v>500</v>
      </c>
      <c r="N167" s="10">
        <v>500</v>
      </c>
    </row>
    <row r="168" spans="1:14" x14ac:dyDescent="0.2">
      <c r="A168" s="8">
        <v>167</v>
      </c>
      <c r="B168" s="5">
        <v>44988</v>
      </c>
      <c r="C168" s="7" t="s">
        <v>1042</v>
      </c>
      <c r="D168" s="8">
        <v>3</v>
      </c>
      <c r="E168" s="8">
        <v>2023</v>
      </c>
      <c r="F168" s="7" t="s">
        <v>352</v>
      </c>
      <c r="G168" s="7" t="s">
        <v>13</v>
      </c>
      <c r="H168" s="8">
        <v>22</v>
      </c>
      <c r="I168" s="7" t="s">
        <v>1021</v>
      </c>
      <c r="J168" s="7" t="s">
        <v>16</v>
      </c>
      <c r="K168" s="8">
        <v>2</v>
      </c>
      <c r="L168" s="7" t="s">
        <v>1024</v>
      </c>
      <c r="M168" s="10">
        <v>25</v>
      </c>
      <c r="N168" s="10">
        <v>50</v>
      </c>
    </row>
    <row r="169" spans="1:14" x14ac:dyDescent="0.2">
      <c r="A169" s="8">
        <v>168</v>
      </c>
      <c r="B169" s="5">
        <v>44988</v>
      </c>
      <c r="C169" s="7" t="s">
        <v>1042</v>
      </c>
      <c r="D169" s="8">
        <v>3</v>
      </c>
      <c r="E169" s="8">
        <v>2023</v>
      </c>
      <c r="F169" s="7" t="s">
        <v>798</v>
      </c>
      <c r="G169" s="7" t="s">
        <v>13</v>
      </c>
      <c r="H169" s="8">
        <v>31</v>
      </c>
      <c r="I169" s="7" t="s">
        <v>1021</v>
      </c>
      <c r="J169" s="7" t="s">
        <v>11</v>
      </c>
      <c r="K169" s="8">
        <v>4</v>
      </c>
      <c r="L169" s="7" t="s">
        <v>1025</v>
      </c>
      <c r="M169" s="10">
        <v>50</v>
      </c>
      <c r="N169" s="10">
        <v>200</v>
      </c>
    </row>
    <row r="170" spans="1:14" x14ac:dyDescent="0.2">
      <c r="A170" s="8">
        <v>169</v>
      </c>
      <c r="B170" s="5">
        <v>44988</v>
      </c>
      <c r="C170" s="7" t="s">
        <v>1042</v>
      </c>
      <c r="D170" s="8">
        <v>3</v>
      </c>
      <c r="E170" s="8">
        <v>2023</v>
      </c>
      <c r="F170" s="7" t="s">
        <v>898</v>
      </c>
      <c r="G170" s="7" t="s">
        <v>13</v>
      </c>
      <c r="H170" s="8">
        <v>52</v>
      </c>
      <c r="I170" s="7" t="s">
        <v>1019</v>
      </c>
      <c r="J170" s="7" t="s">
        <v>14</v>
      </c>
      <c r="K170" s="8">
        <v>4</v>
      </c>
      <c r="L170" s="7" t="s">
        <v>1025</v>
      </c>
      <c r="M170" s="10">
        <v>30</v>
      </c>
      <c r="N170" s="10">
        <v>120</v>
      </c>
    </row>
    <row r="171" spans="1:14" x14ac:dyDescent="0.2">
      <c r="A171" s="8">
        <v>170</v>
      </c>
      <c r="B171" s="5">
        <v>44988</v>
      </c>
      <c r="C171" s="7" t="s">
        <v>1042</v>
      </c>
      <c r="D171" s="8">
        <v>3</v>
      </c>
      <c r="E171" s="8">
        <v>2023</v>
      </c>
      <c r="F171" s="7" t="s">
        <v>901</v>
      </c>
      <c r="G171" s="7" t="s">
        <v>13</v>
      </c>
      <c r="H171" s="8">
        <v>52</v>
      </c>
      <c r="I171" s="7" t="s">
        <v>1019</v>
      </c>
      <c r="J171" s="7" t="s">
        <v>16</v>
      </c>
      <c r="K171" s="8">
        <v>4</v>
      </c>
      <c r="L171" s="7" t="s">
        <v>1025</v>
      </c>
      <c r="M171" s="10">
        <v>25</v>
      </c>
      <c r="N171" s="10">
        <v>100</v>
      </c>
    </row>
    <row r="172" spans="1:14" x14ac:dyDescent="0.2">
      <c r="A172" s="8">
        <v>171</v>
      </c>
      <c r="B172" s="5">
        <v>44989</v>
      </c>
      <c r="C172" s="7" t="s">
        <v>1042</v>
      </c>
      <c r="D172" s="8">
        <v>3</v>
      </c>
      <c r="E172" s="8">
        <v>2023</v>
      </c>
      <c r="F172" s="7" t="s">
        <v>634</v>
      </c>
      <c r="G172" s="7" t="s">
        <v>13</v>
      </c>
      <c r="H172" s="8">
        <v>40</v>
      </c>
      <c r="I172" s="7" t="s">
        <v>1017</v>
      </c>
      <c r="J172" s="7" t="s">
        <v>11</v>
      </c>
      <c r="K172" s="8">
        <v>2</v>
      </c>
      <c r="L172" s="7" t="s">
        <v>1024</v>
      </c>
      <c r="M172" s="10">
        <v>500</v>
      </c>
      <c r="N172" s="10">
        <v>1000</v>
      </c>
    </row>
    <row r="173" spans="1:14" x14ac:dyDescent="0.2">
      <c r="A173" s="8">
        <v>172</v>
      </c>
      <c r="B173" s="5">
        <v>44990</v>
      </c>
      <c r="C173" s="7" t="s">
        <v>1042</v>
      </c>
      <c r="D173" s="8">
        <v>3</v>
      </c>
      <c r="E173" s="8">
        <v>2023</v>
      </c>
      <c r="F173" s="7" t="s">
        <v>65</v>
      </c>
      <c r="G173" s="7" t="s">
        <v>13</v>
      </c>
      <c r="H173" s="8">
        <v>36</v>
      </c>
      <c r="I173" s="7" t="s">
        <v>1017</v>
      </c>
      <c r="J173" s="7" t="s">
        <v>11</v>
      </c>
      <c r="K173" s="8">
        <v>1</v>
      </c>
      <c r="L173" s="7" t="s">
        <v>1023</v>
      </c>
      <c r="M173" s="10">
        <v>300</v>
      </c>
      <c r="N173" s="10">
        <v>300</v>
      </c>
    </row>
    <row r="174" spans="1:14" x14ac:dyDescent="0.2">
      <c r="A174" s="8">
        <v>173</v>
      </c>
      <c r="B174" s="5">
        <v>44990</v>
      </c>
      <c r="C174" s="7" t="s">
        <v>1042</v>
      </c>
      <c r="D174" s="8">
        <v>3</v>
      </c>
      <c r="E174" s="8">
        <v>2023</v>
      </c>
      <c r="F174" s="7" t="s">
        <v>549</v>
      </c>
      <c r="G174" s="7" t="s">
        <v>13</v>
      </c>
      <c r="H174" s="8">
        <v>55</v>
      </c>
      <c r="I174" s="7" t="s">
        <v>1019</v>
      </c>
      <c r="J174" s="7" t="s">
        <v>11</v>
      </c>
      <c r="K174" s="8">
        <v>4</v>
      </c>
      <c r="L174" s="7" t="s">
        <v>1025</v>
      </c>
      <c r="M174" s="10">
        <v>30</v>
      </c>
      <c r="N174" s="10">
        <v>120</v>
      </c>
    </row>
    <row r="175" spans="1:14" x14ac:dyDescent="0.2">
      <c r="A175" s="8">
        <v>174</v>
      </c>
      <c r="B175" s="5">
        <v>44991</v>
      </c>
      <c r="C175" s="7" t="s">
        <v>1042</v>
      </c>
      <c r="D175" s="8">
        <v>3</v>
      </c>
      <c r="E175" s="8">
        <v>2023</v>
      </c>
      <c r="F175" s="7" t="s">
        <v>210</v>
      </c>
      <c r="G175" s="7" t="s">
        <v>13</v>
      </c>
      <c r="H175" s="8">
        <v>42</v>
      </c>
      <c r="I175" s="7" t="s">
        <v>1017</v>
      </c>
      <c r="J175" s="7" t="s">
        <v>14</v>
      </c>
      <c r="K175" s="8">
        <v>4</v>
      </c>
      <c r="L175" s="7" t="s">
        <v>1025</v>
      </c>
      <c r="M175" s="10">
        <v>50</v>
      </c>
      <c r="N175" s="10">
        <v>200</v>
      </c>
    </row>
    <row r="176" spans="1:14" x14ac:dyDescent="0.2">
      <c r="A176" s="8">
        <v>175</v>
      </c>
      <c r="B176" s="5">
        <v>44991</v>
      </c>
      <c r="C176" s="7" t="s">
        <v>1042</v>
      </c>
      <c r="D176" s="8">
        <v>3</v>
      </c>
      <c r="E176" s="8">
        <v>2023</v>
      </c>
      <c r="F176" s="7" t="s">
        <v>763</v>
      </c>
      <c r="G176" s="7" t="s">
        <v>13</v>
      </c>
      <c r="H176" s="8">
        <v>35</v>
      </c>
      <c r="I176" s="7" t="s">
        <v>1017</v>
      </c>
      <c r="J176" s="7" t="s">
        <v>14</v>
      </c>
      <c r="K176" s="8">
        <v>3</v>
      </c>
      <c r="L176" s="7" t="s">
        <v>1022</v>
      </c>
      <c r="M176" s="10">
        <v>25</v>
      </c>
      <c r="N176" s="10">
        <v>75</v>
      </c>
    </row>
    <row r="177" spans="1:14" x14ac:dyDescent="0.2">
      <c r="A177" s="8">
        <v>176</v>
      </c>
      <c r="B177" s="5">
        <v>44991</v>
      </c>
      <c r="C177" s="7" t="s">
        <v>1042</v>
      </c>
      <c r="D177" s="8">
        <v>3</v>
      </c>
      <c r="E177" s="8">
        <v>2023</v>
      </c>
      <c r="F177" s="7" t="s">
        <v>923</v>
      </c>
      <c r="G177" s="7" t="s">
        <v>13</v>
      </c>
      <c r="H177" s="8">
        <v>20</v>
      </c>
      <c r="I177" s="7" t="s">
        <v>1021</v>
      </c>
      <c r="J177" s="7" t="s">
        <v>11</v>
      </c>
      <c r="K177" s="8">
        <v>3</v>
      </c>
      <c r="L177" s="7" t="s">
        <v>1022</v>
      </c>
      <c r="M177" s="10">
        <v>50</v>
      </c>
      <c r="N177" s="10">
        <v>150</v>
      </c>
    </row>
    <row r="178" spans="1:14" x14ac:dyDescent="0.2">
      <c r="A178" s="8">
        <v>177</v>
      </c>
      <c r="B178" s="5">
        <v>44991</v>
      </c>
      <c r="C178" s="7" t="s">
        <v>1042</v>
      </c>
      <c r="D178" s="8">
        <v>3</v>
      </c>
      <c r="E178" s="8">
        <v>2023</v>
      </c>
      <c r="F178" s="7" t="s">
        <v>930</v>
      </c>
      <c r="G178" s="7" t="s">
        <v>13</v>
      </c>
      <c r="H178" s="8">
        <v>57</v>
      </c>
      <c r="I178" s="7" t="s">
        <v>1018</v>
      </c>
      <c r="J178" s="7" t="s">
        <v>16</v>
      </c>
      <c r="K178" s="8">
        <v>4</v>
      </c>
      <c r="L178" s="7" t="s">
        <v>1025</v>
      </c>
      <c r="M178" s="10">
        <v>50</v>
      </c>
      <c r="N178" s="10">
        <v>200</v>
      </c>
    </row>
    <row r="179" spans="1:14" x14ac:dyDescent="0.2">
      <c r="A179" s="8">
        <v>178</v>
      </c>
      <c r="B179" s="5">
        <v>44992</v>
      </c>
      <c r="C179" s="7" t="s">
        <v>1042</v>
      </c>
      <c r="D179" s="8">
        <v>3</v>
      </c>
      <c r="E179" s="8">
        <v>2023</v>
      </c>
      <c r="F179" s="7" t="s">
        <v>211</v>
      </c>
      <c r="G179" s="7" t="s">
        <v>13</v>
      </c>
      <c r="H179" s="8">
        <v>54</v>
      </c>
      <c r="I179" s="7" t="s">
        <v>1019</v>
      </c>
      <c r="J179" s="7" t="s">
        <v>11</v>
      </c>
      <c r="K179" s="8">
        <v>3</v>
      </c>
      <c r="L179" s="7" t="s">
        <v>1022</v>
      </c>
      <c r="M179" s="10">
        <v>300</v>
      </c>
      <c r="N179" s="10">
        <v>900</v>
      </c>
    </row>
    <row r="180" spans="1:14" x14ac:dyDescent="0.2">
      <c r="A180" s="8">
        <v>179</v>
      </c>
      <c r="B180" s="5">
        <v>44992</v>
      </c>
      <c r="C180" s="7" t="s">
        <v>1042</v>
      </c>
      <c r="D180" s="8">
        <v>3</v>
      </c>
      <c r="E180" s="8">
        <v>2023</v>
      </c>
      <c r="F180" s="7" t="s">
        <v>457</v>
      </c>
      <c r="G180" s="7" t="s">
        <v>13</v>
      </c>
      <c r="H180" s="8">
        <v>61</v>
      </c>
      <c r="I180" s="7" t="s">
        <v>1018</v>
      </c>
      <c r="J180" s="7" t="s">
        <v>14</v>
      </c>
      <c r="K180" s="8">
        <v>3</v>
      </c>
      <c r="L180" s="7" t="s">
        <v>1022</v>
      </c>
      <c r="M180" s="10">
        <v>30</v>
      </c>
      <c r="N180" s="10">
        <v>90</v>
      </c>
    </row>
    <row r="181" spans="1:14" x14ac:dyDescent="0.2">
      <c r="A181" s="8">
        <v>180</v>
      </c>
      <c r="B181" s="5">
        <v>44992</v>
      </c>
      <c r="C181" s="7" t="s">
        <v>1042</v>
      </c>
      <c r="D181" s="8">
        <v>3</v>
      </c>
      <c r="E181" s="8">
        <v>2023</v>
      </c>
      <c r="F181" s="7" t="s">
        <v>560</v>
      </c>
      <c r="G181" s="7" t="s">
        <v>10</v>
      </c>
      <c r="H181" s="8">
        <v>63</v>
      </c>
      <c r="I181" s="7" t="s">
        <v>1018</v>
      </c>
      <c r="J181" s="7" t="s">
        <v>14</v>
      </c>
      <c r="K181" s="8">
        <v>4</v>
      </c>
      <c r="L181" s="7" t="s">
        <v>1025</v>
      </c>
      <c r="M181" s="10">
        <v>500</v>
      </c>
      <c r="N181" s="10">
        <v>2000</v>
      </c>
    </row>
    <row r="182" spans="1:14" x14ac:dyDescent="0.2">
      <c r="A182" s="8">
        <v>181</v>
      </c>
      <c r="B182" s="5">
        <v>44992</v>
      </c>
      <c r="C182" s="7" t="s">
        <v>1042</v>
      </c>
      <c r="D182" s="8">
        <v>3</v>
      </c>
      <c r="E182" s="8">
        <v>2023</v>
      </c>
      <c r="F182" s="7" t="s">
        <v>718</v>
      </c>
      <c r="G182" s="7" t="s">
        <v>10</v>
      </c>
      <c r="H182" s="8">
        <v>60</v>
      </c>
      <c r="I182" s="7" t="s">
        <v>1018</v>
      </c>
      <c r="J182" s="7" t="s">
        <v>16</v>
      </c>
      <c r="K182" s="8">
        <v>2</v>
      </c>
      <c r="L182" s="7" t="s">
        <v>1024</v>
      </c>
      <c r="M182" s="10">
        <v>25</v>
      </c>
      <c r="N182" s="10">
        <v>50</v>
      </c>
    </row>
    <row r="183" spans="1:14" x14ac:dyDescent="0.2">
      <c r="A183" s="8">
        <v>182</v>
      </c>
      <c r="B183" s="5">
        <v>44993</v>
      </c>
      <c r="C183" s="7" t="s">
        <v>1042</v>
      </c>
      <c r="D183" s="8">
        <v>3</v>
      </c>
      <c r="E183" s="8">
        <v>2023</v>
      </c>
      <c r="F183" s="7" t="s">
        <v>436</v>
      </c>
      <c r="G183" s="7" t="s">
        <v>13</v>
      </c>
      <c r="H183" s="8">
        <v>27</v>
      </c>
      <c r="I183" s="7" t="s">
        <v>1021</v>
      </c>
      <c r="J183" s="7" t="s">
        <v>14</v>
      </c>
      <c r="K183" s="8">
        <v>1</v>
      </c>
      <c r="L183" s="7" t="s">
        <v>1023</v>
      </c>
      <c r="M183" s="10">
        <v>25</v>
      </c>
      <c r="N183" s="10">
        <v>25</v>
      </c>
    </row>
    <row r="184" spans="1:14" x14ac:dyDescent="0.2">
      <c r="A184" s="8">
        <v>183</v>
      </c>
      <c r="B184" s="5">
        <v>44994</v>
      </c>
      <c r="C184" s="7" t="s">
        <v>1042</v>
      </c>
      <c r="D184" s="8">
        <v>3</v>
      </c>
      <c r="E184" s="8">
        <v>2023</v>
      </c>
      <c r="F184" s="7" t="s">
        <v>261</v>
      </c>
      <c r="G184" s="7" t="s">
        <v>10</v>
      </c>
      <c r="H184" s="8">
        <v>26</v>
      </c>
      <c r="I184" s="7" t="s">
        <v>1021</v>
      </c>
      <c r="J184" s="7" t="s">
        <v>14</v>
      </c>
      <c r="K184" s="8">
        <v>3</v>
      </c>
      <c r="L184" s="7" t="s">
        <v>1022</v>
      </c>
      <c r="M184" s="10">
        <v>300</v>
      </c>
      <c r="N184" s="10">
        <v>900</v>
      </c>
    </row>
    <row r="185" spans="1:14" x14ac:dyDescent="0.2">
      <c r="A185" s="8">
        <v>184</v>
      </c>
      <c r="B185" s="5">
        <v>44994</v>
      </c>
      <c r="C185" s="7" t="s">
        <v>1042</v>
      </c>
      <c r="D185" s="8">
        <v>3</v>
      </c>
      <c r="E185" s="8">
        <v>2023</v>
      </c>
      <c r="F185" s="7" t="s">
        <v>373</v>
      </c>
      <c r="G185" s="7" t="s">
        <v>10</v>
      </c>
      <c r="H185" s="8">
        <v>42</v>
      </c>
      <c r="I185" s="7" t="s">
        <v>1017</v>
      </c>
      <c r="J185" s="7" t="s">
        <v>14</v>
      </c>
      <c r="K185" s="8">
        <v>4</v>
      </c>
      <c r="L185" s="7" t="s">
        <v>1025</v>
      </c>
      <c r="M185" s="10">
        <v>25</v>
      </c>
      <c r="N185" s="10">
        <v>100</v>
      </c>
    </row>
    <row r="186" spans="1:14" x14ac:dyDescent="0.2">
      <c r="A186" s="8">
        <v>185</v>
      </c>
      <c r="B186" s="5">
        <v>44994</v>
      </c>
      <c r="C186" s="7" t="s">
        <v>1042</v>
      </c>
      <c r="D186" s="8">
        <v>3</v>
      </c>
      <c r="E186" s="8">
        <v>2023</v>
      </c>
      <c r="F186" s="7" t="s">
        <v>390</v>
      </c>
      <c r="G186" s="7" t="s">
        <v>13</v>
      </c>
      <c r="H186" s="8">
        <v>46</v>
      </c>
      <c r="I186" s="7" t="s">
        <v>1019</v>
      </c>
      <c r="J186" s="7" t="s">
        <v>14</v>
      </c>
      <c r="K186" s="8">
        <v>4</v>
      </c>
      <c r="L186" s="7" t="s">
        <v>1025</v>
      </c>
      <c r="M186" s="10">
        <v>50</v>
      </c>
      <c r="N186" s="10">
        <v>200</v>
      </c>
    </row>
    <row r="187" spans="1:14" x14ac:dyDescent="0.2">
      <c r="A187" s="8">
        <v>186</v>
      </c>
      <c r="B187" s="5">
        <v>44995</v>
      </c>
      <c r="C187" s="7" t="s">
        <v>1042</v>
      </c>
      <c r="D187" s="8">
        <v>3</v>
      </c>
      <c r="E187" s="8">
        <v>2023</v>
      </c>
      <c r="F187" s="7" t="s">
        <v>410</v>
      </c>
      <c r="G187" s="7" t="s">
        <v>13</v>
      </c>
      <c r="H187" s="8">
        <v>30</v>
      </c>
      <c r="I187" s="7" t="s">
        <v>1021</v>
      </c>
      <c r="J187" s="7" t="s">
        <v>11</v>
      </c>
      <c r="K187" s="8">
        <v>1</v>
      </c>
      <c r="L187" s="7" t="s">
        <v>1023</v>
      </c>
      <c r="M187" s="10">
        <v>25</v>
      </c>
      <c r="N187" s="10">
        <v>25</v>
      </c>
    </row>
    <row r="188" spans="1:14" x14ac:dyDescent="0.2">
      <c r="A188" s="8">
        <v>187</v>
      </c>
      <c r="B188" s="5">
        <v>44995</v>
      </c>
      <c r="C188" s="7" t="s">
        <v>1042</v>
      </c>
      <c r="D188" s="8">
        <v>3</v>
      </c>
      <c r="E188" s="8">
        <v>2023</v>
      </c>
      <c r="F188" s="7" t="s">
        <v>636</v>
      </c>
      <c r="G188" s="7" t="s">
        <v>10</v>
      </c>
      <c r="H188" s="8">
        <v>34</v>
      </c>
      <c r="I188" s="7" t="s">
        <v>1021</v>
      </c>
      <c r="J188" s="7" t="s">
        <v>14</v>
      </c>
      <c r="K188" s="8">
        <v>3</v>
      </c>
      <c r="L188" s="7" t="s">
        <v>1022</v>
      </c>
      <c r="M188" s="10">
        <v>50</v>
      </c>
      <c r="N188" s="10">
        <v>150</v>
      </c>
    </row>
    <row r="189" spans="1:14" x14ac:dyDescent="0.2">
      <c r="A189" s="8">
        <v>188</v>
      </c>
      <c r="B189" s="5">
        <v>44996</v>
      </c>
      <c r="C189" s="7" t="s">
        <v>1042</v>
      </c>
      <c r="D189" s="8">
        <v>3</v>
      </c>
      <c r="E189" s="8">
        <v>2023</v>
      </c>
      <c r="F189" s="7" t="s">
        <v>730</v>
      </c>
      <c r="G189" s="7" t="s">
        <v>10</v>
      </c>
      <c r="H189" s="8">
        <v>57</v>
      </c>
      <c r="I189" s="7" t="s">
        <v>1018</v>
      </c>
      <c r="J189" s="7" t="s">
        <v>14</v>
      </c>
      <c r="K189" s="8">
        <v>1</v>
      </c>
      <c r="L189" s="7" t="s">
        <v>1023</v>
      </c>
      <c r="M189" s="10">
        <v>500</v>
      </c>
      <c r="N189" s="10">
        <v>500</v>
      </c>
    </row>
    <row r="190" spans="1:14" x14ac:dyDescent="0.2">
      <c r="A190" s="8">
        <v>189</v>
      </c>
      <c r="B190" s="5">
        <v>44997</v>
      </c>
      <c r="C190" s="7" t="s">
        <v>1042</v>
      </c>
      <c r="D190" s="8">
        <v>3</v>
      </c>
      <c r="E190" s="8">
        <v>2023</v>
      </c>
      <c r="F190" s="7" t="s">
        <v>143</v>
      </c>
      <c r="G190" s="7" t="s">
        <v>13</v>
      </c>
      <c r="H190" s="8">
        <v>57</v>
      </c>
      <c r="I190" s="7" t="s">
        <v>1018</v>
      </c>
      <c r="J190" s="7" t="s">
        <v>14</v>
      </c>
      <c r="K190" s="8">
        <v>1</v>
      </c>
      <c r="L190" s="7" t="s">
        <v>1023</v>
      </c>
      <c r="M190" s="10">
        <v>500</v>
      </c>
      <c r="N190" s="10">
        <v>500</v>
      </c>
    </row>
    <row r="191" spans="1:14" x14ac:dyDescent="0.2">
      <c r="A191" s="8">
        <v>190</v>
      </c>
      <c r="B191" s="5">
        <v>44997</v>
      </c>
      <c r="C191" s="7" t="s">
        <v>1042</v>
      </c>
      <c r="D191" s="8">
        <v>3</v>
      </c>
      <c r="E191" s="8">
        <v>2023</v>
      </c>
      <c r="F191" s="7" t="s">
        <v>671</v>
      </c>
      <c r="G191" s="7" t="s">
        <v>10</v>
      </c>
      <c r="H191" s="8">
        <v>59</v>
      </c>
      <c r="I191" s="7" t="s">
        <v>1018</v>
      </c>
      <c r="J191" s="7" t="s">
        <v>14</v>
      </c>
      <c r="K191" s="8">
        <v>1</v>
      </c>
      <c r="L191" s="7" t="s">
        <v>1023</v>
      </c>
      <c r="M191" s="10">
        <v>25</v>
      </c>
      <c r="N191" s="10">
        <v>25</v>
      </c>
    </row>
    <row r="192" spans="1:14" x14ac:dyDescent="0.2">
      <c r="A192" s="8">
        <v>191</v>
      </c>
      <c r="B192" s="5">
        <v>44998</v>
      </c>
      <c r="C192" s="7" t="s">
        <v>1042</v>
      </c>
      <c r="D192" s="8">
        <v>3</v>
      </c>
      <c r="E192" s="8">
        <v>2023</v>
      </c>
      <c r="F192" s="7" t="s">
        <v>20</v>
      </c>
      <c r="G192" s="7" t="s">
        <v>10</v>
      </c>
      <c r="H192" s="8">
        <v>46</v>
      </c>
      <c r="I192" s="7" t="s">
        <v>1019</v>
      </c>
      <c r="J192" s="7" t="s">
        <v>14</v>
      </c>
      <c r="K192" s="8">
        <v>2</v>
      </c>
      <c r="L192" s="7" t="s">
        <v>1024</v>
      </c>
      <c r="M192" s="10">
        <v>25</v>
      </c>
      <c r="N192" s="10">
        <v>50</v>
      </c>
    </row>
    <row r="193" spans="1:14" x14ac:dyDescent="0.2">
      <c r="A193" s="8">
        <v>192</v>
      </c>
      <c r="B193" s="5">
        <v>44998</v>
      </c>
      <c r="C193" s="7" t="s">
        <v>1042</v>
      </c>
      <c r="D193" s="8">
        <v>3</v>
      </c>
      <c r="E193" s="8">
        <v>2023</v>
      </c>
      <c r="F193" s="7" t="s">
        <v>132</v>
      </c>
      <c r="G193" s="7" t="s">
        <v>13</v>
      </c>
      <c r="H193" s="8">
        <v>60</v>
      </c>
      <c r="I193" s="7" t="s">
        <v>1018</v>
      </c>
      <c r="J193" s="7" t="s">
        <v>14</v>
      </c>
      <c r="K193" s="8">
        <v>3</v>
      </c>
      <c r="L193" s="7" t="s">
        <v>1022</v>
      </c>
      <c r="M193" s="10">
        <v>50</v>
      </c>
      <c r="N193" s="10">
        <v>150</v>
      </c>
    </row>
    <row r="194" spans="1:14" x14ac:dyDescent="0.2">
      <c r="A194" s="8">
        <v>193</v>
      </c>
      <c r="B194" s="5">
        <v>44998</v>
      </c>
      <c r="C194" s="7" t="s">
        <v>1042</v>
      </c>
      <c r="D194" s="8">
        <v>3</v>
      </c>
      <c r="E194" s="8">
        <v>2023</v>
      </c>
      <c r="F194" s="7" t="s">
        <v>291</v>
      </c>
      <c r="G194" s="7" t="s">
        <v>13</v>
      </c>
      <c r="H194" s="8">
        <v>37</v>
      </c>
      <c r="I194" s="7" t="s">
        <v>1017</v>
      </c>
      <c r="J194" s="7" t="s">
        <v>14</v>
      </c>
      <c r="K194" s="8">
        <v>4</v>
      </c>
      <c r="L194" s="7" t="s">
        <v>1025</v>
      </c>
      <c r="M194" s="10">
        <v>25</v>
      </c>
      <c r="N194" s="10">
        <v>100</v>
      </c>
    </row>
    <row r="195" spans="1:14" x14ac:dyDescent="0.2">
      <c r="A195" s="8">
        <v>194</v>
      </c>
      <c r="B195" s="5">
        <v>45000</v>
      </c>
      <c r="C195" s="7" t="s">
        <v>1042</v>
      </c>
      <c r="D195" s="8">
        <v>3</v>
      </c>
      <c r="E195" s="8">
        <v>2023</v>
      </c>
      <c r="F195" s="7" t="s">
        <v>130</v>
      </c>
      <c r="G195" s="7" t="s">
        <v>10</v>
      </c>
      <c r="H195" s="8">
        <v>19</v>
      </c>
      <c r="I195" s="7" t="s">
        <v>1021</v>
      </c>
      <c r="J195" s="7" t="s">
        <v>16</v>
      </c>
      <c r="K195" s="8">
        <v>2</v>
      </c>
      <c r="L195" s="7" t="s">
        <v>1024</v>
      </c>
      <c r="M195" s="10">
        <v>500</v>
      </c>
      <c r="N195" s="10">
        <v>1000</v>
      </c>
    </row>
    <row r="196" spans="1:14" x14ac:dyDescent="0.2">
      <c r="A196" s="8">
        <v>195</v>
      </c>
      <c r="B196" s="5">
        <v>45002</v>
      </c>
      <c r="C196" s="7" t="s">
        <v>1042</v>
      </c>
      <c r="D196" s="8">
        <v>3</v>
      </c>
      <c r="E196" s="8">
        <v>2023</v>
      </c>
      <c r="F196" s="7" t="s">
        <v>455</v>
      </c>
      <c r="G196" s="7" t="s">
        <v>13</v>
      </c>
      <c r="H196" s="8">
        <v>60</v>
      </c>
      <c r="I196" s="7" t="s">
        <v>1018</v>
      </c>
      <c r="J196" s="7" t="s">
        <v>14</v>
      </c>
      <c r="K196" s="8">
        <v>4</v>
      </c>
      <c r="L196" s="7" t="s">
        <v>1025</v>
      </c>
      <c r="M196" s="10">
        <v>25</v>
      </c>
      <c r="N196" s="10">
        <v>100</v>
      </c>
    </row>
    <row r="197" spans="1:14" x14ac:dyDescent="0.2">
      <c r="A197" s="8">
        <v>196</v>
      </c>
      <c r="B197" s="5">
        <v>45002</v>
      </c>
      <c r="C197" s="7" t="s">
        <v>1042</v>
      </c>
      <c r="D197" s="8">
        <v>3</v>
      </c>
      <c r="E197" s="8">
        <v>2023</v>
      </c>
      <c r="F197" s="7" t="s">
        <v>603</v>
      </c>
      <c r="G197" s="7" t="s">
        <v>10</v>
      </c>
      <c r="H197" s="8">
        <v>36</v>
      </c>
      <c r="I197" s="7" t="s">
        <v>1017</v>
      </c>
      <c r="J197" s="7" t="s">
        <v>14</v>
      </c>
      <c r="K197" s="8">
        <v>3</v>
      </c>
      <c r="L197" s="7" t="s">
        <v>1022</v>
      </c>
      <c r="M197" s="10">
        <v>300</v>
      </c>
      <c r="N197" s="10">
        <v>900</v>
      </c>
    </row>
    <row r="198" spans="1:14" x14ac:dyDescent="0.2">
      <c r="A198" s="8">
        <v>197</v>
      </c>
      <c r="B198" s="5">
        <v>45002</v>
      </c>
      <c r="C198" s="7" t="s">
        <v>1042</v>
      </c>
      <c r="D198" s="8">
        <v>3</v>
      </c>
      <c r="E198" s="8">
        <v>2023</v>
      </c>
      <c r="F198" s="7" t="s">
        <v>620</v>
      </c>
      <c r="G198" s="7" t="s">
        <v>10</v>
      </c>
      <c r="H198" s="8">
        <v>54</v>
      </c>
      <c r="I198" s="7" t="s">
        <v>1019</v>
      </c>
      <c r="J198" s="7" t="s">
        <v>14</v>
      </c>
      <c r="K198" s="8">
        <v>3</v>
      </c>
      <c r="L198" s="7" t="s">
        <v>1022</v>
      </c>
      <c r="M198" s="10">
        <v>25</v>
      </c>
      <c r="N198" s="10">
        <v>75</v>
      </c>
    </row>
    <row r="199" spans="1:14" x14ac:dyDescent="0.2">
      <c r="A199" s="8">
        <v>198</v>
      </c>
      <c r="B199" s="5">
        <v>45003</v>
      </c>
      <c r="C199" s="7" t="s">
        <v>1042</v>
      </c>
      <c r="D199" s="8">
        <v>3</v>
      </c>
      <c r="E199" s="8">
        <v>2023</v>
      </c>
      <c r="F199" s="7" t="s">
        <v>449</v>
      </c>
      <c r="G199" s="7" t="s">
        <v>13</v>
      </c>
      <c r="H199" s="8">
        <v>57</v>
      </c>
      <c r="I199" s="7" t="s">
        <v>1018</v>
      </c>
      <c r="J199" s="7" t="s">
        <v>14</v>
      </c>
      <c r="K199" s="8">
        <v>4</v>
      </c>
      <c r="L199" s="7" t="s">
        <v>1025</v>
      </c>
      <c r="M199" s="10">
        <v>30</v>
      </c>
      <c r="N199" s="10">
        <v>120</v>
      </c>
    </row>
    <row r="200" spans="1:14" x14ac:dyDescent="0.2">
      <c r="A200" s="8">
        <v>199</v>
      </c>
      <c r="B200" s="5">
        <v>45003</v>
      </c>
      <c r="C200" s="7" t="s">
        <v>1042</v>
      </c>
      <c r="D200" s="8">
        <v>3</v>
      </c>
      <c r="E200" s="8">
        <v>2023</v>
      </c>
      <c r="F200" s="7" t="s">
        <v>955</v>
      </c>
      <c r="G200" s="7" t="s">
        <v>10</v>
      </c>
      <c r="H200" s="8">
        <v>51</v>
      </c>
      <c r="I200" s="7" t="s">
        <v>1019</v>
      </c>
      <c r="J200" s="7" t="s">
        <v>14</v>
      </c>
      <c r="K200" s="8">
        <v>3</v>
      </c>
      <c r="L200" s="7" t="s">
        <v>1022</v>
      </c>
      <c r="M200" s="10">
        <v>500</v>
      </c>
      <c r="N200" s="10">
        <v>1500</v>
      </c>
    </row>
    <row r="201" spans="1:14" x14ac:dyDescent="0.2">
      <c r="A201" s="8">
        <v>200</v>
      </c>
      <c r="B201" s="5">
        <v>45004</v>
      </c>
      <c r="C201" s="7" t="s">
        <v>1042</v>
      </c>
      <c r="D201" s="8">
        <v>3</v>
      </c>
      <c r="E201" s="8">
        <v>2023</v>
      </c>
      <c r="F201" s="7" t="s">
        <v>672</v>
      </c>
      <c r="G201" s="7" t="s">
        <v>13</v>
      </c>
      <c r="H201" s="8">
        <v>39</v>
      </c>
      <c r="I201" s="7" t="s">
        <v>1017</v>
      </c>
      <c r="J201" s="7" t="s">
        <v>16</v>
      </c>
      <c r="K201" s="8">
        <v>1</v>
      </c>
      <c r="L201" s="7" t="s">
        <v>1023</v>
      </c>
      <c r="M201" s="10">
        <v>30</v>
      </c>
      <c r="N201" s="10">
        <v>30</v>
      </c>
    </row>
    <row r="202" spans="1:14" x14ac:dyDescent="0.2">
      <c r="A202" s="8">
        <v>201</v>
      </c>
      <c r="B202" s="5">
        <v>45004</v>
      </c>
      <c r="C202" s="7" t="s">
        <v>1042</v>
      </c>
      <c r="D202" s="8">
        <v>3</v>
      </c>
      <c r="E202" s="8">
        <v>2023</v>
      </c>
      <c r="F202" s="7" t="s">
        <v>954</v>
      </c>
      <c r="G202" s="7" t="s">
        <v>13</v>
      </c>
      <c r="H202" s="8">
        <v>57</v>
      </c>
      <c r="I202" s="7" t="s">
        <v>1018</v>
      </c>
      <c r="J202" s="7" t="s">
        <v>14</v>
      </c>
      <c r="K202" s="8">
        <v>2</v>
      </c>
      <c r="L202" s="7" t="s">
        <v>1024</v>
      </c>
      <c r="M202" s="10">
        <v>25</v>
      </c>
      <c r="N202" s="10">
        <v>50</v>
      </c>
    </row>
    <row r="203" spans="1:14" x14ac:dyDescent="0.2">
      <c r="A203" s="8">
        <v>202</v>
      </c>
      <c r="B203" s="5">
        <v>45005</v>
      </c>
      <c r="C203" s="7" t="s">
        <v>1042</v>
      </c>
      <c r="D203" s="8">
        <v>3</v>
      </c>
      <c r="E203" s="8">
        <v>2023</v>
      </c>
      <c r="F203" s="7" t="s">
        <v>149</v>
      </c>
      <c r="G203" s="7" t="s">
        <v>10</v>
      </c>
      <c r="H203" s="8">
        <v>44</v>
      </c>
      <c r="I203" s="7" t="s">
        <v>1017</v>
      </c>
      <c r="J203" s="7" t="s">
        <v>16</v>
      </c>
      <c r="K203" s="8">
        <v>2</v>
      </c>
      <c r="L203" s="7" t="s">
        <v>1024</v>
      </c>
      <c r="M203" s="10">
        <v>300</v>
      </c>
      <c r="N203" s="10">
        <v>600</v>
      </c>
    </row>
    <row r="204" spans="1:14" x14ac:dyDescent="0.2">
      <c r="A204" s="8">
        <v>203</v>
      </c>
      <c r="B204" s="5">
        <v>45005</v>
      </c>
      <c r="C204" s="7" t="s">
        <v>1042</v>
      </c>
      <c r="D204" s="8">
        <v>3</v>
      </c>
      <c r="E204" s="8">
        <v>2023</v>
      </c>
      <c r="F204" s="7" t="s">
        <v>188</v>
      </c>
      <c r="G204" s="7" t="s">
        <v>13</v>
      </c>
      <c r="H204" s="8">
        <v>31</v>
      </c>
      <c r="I204" s="7" t="s">
        <v>1021</v>
      </c>
      <c r="J204" s="7" t="s">
        <v>16</v>
      </c>
      <c r="K204" s="8">
        <v>4</v>
      </c>
      <c r="L204" s="7" t="s">
        <v>1025</v>
      </c>
      <c r="M204" s="10">
        <v>25</v>
      </c>
      <c r="N204" s="10">
        <v>100</v>
      </c>
    </row>
    <row r="205" spans="1:14" x14ac:dyDescent="0.2">
      <c r="A205" s="8">
        <v>204</v>
      </c>
      <c r="B205" s="5">
        <v>45005</v>
      </c>
      <c r="C205" s="7" t="s">
        <v>1042</v>
      </c>
      <c r="D205" s="8">
        <v>3</v>
      </c>
      <c r="E205" s="8">
        <v>2023</v>
      </c>
      <c r="F205" s="7" t="s">
        <v>676</v>
      </c>
      <c r="G205" s="7" t="s">
        <v>10</v>
      </c>
      <c r="H205" s="8">
        <v>23</v>
      </c>
      <c r="I205" s="7" t="s">
        <v>1021</v>
      </c>
      <c r="J205" s="7" t="s">
        <v>14</v>
      </c>
      <c r="K205" s="8">
        <v>4</v>
      </c>
      <c r="L205" s="7" t="s">
        <v>1025</v>
      </c>
      <c r="M205" s="10">
        <v>300</v>
      </c>
      <c r="N205" s="10">
        <v>1200</v>
      </c>
    </row>
    <row r="206" spans="1:14" x14ac:dyDescent="0.2">
      <c r="A206" s="8">
        <v>205</v>
      </c>
      <c r="B206" s="5">
        <v>45005</v>
      </c>
      <c r="C206" s="7" t="s">
        <v>1042</v>
      </c>
      <c r="D206" s="8">
        <v>3</v>
      </c>
      <c r="E206" s="8">
        <v>2023</v>
      </c>
      <c r="F206" s="7" t="s">
        <v>761</v>
      </c>
      <c r="G206" s="7" t="s">
        <v>10</v>
      </c>
      <c r="H206" s="8">
        <v>25</v>
      </c>
      <c r="I206" s="7" t="s">
        <v>1021</v>
      </c>
      <c r="J206" s="7" t="s">
        <v>14</v>
      </c>
      <c r="K206" s="8">
        <v>3</v>
      </c>
      <c r="L206" s="7" t="s">
        <v>1022</v>
      </c>
      <c r="M206" s="10">
        <v>50</v>
      </c>
      <c r="N206" s="10">
        <v>150</v>
      </c>
    </row>
    <row r="207" spans="1:14" x14ac:dyDescent="0.2">
      <c r="A207" s="8">
        <v>206</v>
      </c>
      <c r="B207" s="5">
        <v>45005</v>
      </c>
      <c r="C207" s="7" t="s">
        <v>1042</v>
      </c>
      <c r="D207" s="8">
        <v>3</v>
      </c>
      <c r="E207" s="8">
        <v>2023</v>
      </c>
      <c r="F207" s="7" t="s">
        <v>819</v>
      </c>
      <c r="G207" s="7" t="s">
        <v>13</v>
      </c>
      <c r="H207" s="8">
        <v>35</v>
      </c>
      <c r="I207" s="7" t="s">
        <v>1017</v>
      </c>
      <c r="J207" s="7" t="s">
        <v>11</v>
      </c>
      <c r="K207" s="8">
        <v>3</v>
      </c>
      <c r="L207" s="7" t="s">
        <v>1022</v>
      </c>
      <c r="M207" s="10">
        <v>300</v>
      </c>
      <c r="N207" s="10">
        <v>900</v>
      </c>
    </row>
    <row r="208" spans="1:14" x14ac:dyDescent="0.2">
      <c r="A208" s="8">
        <v>207</v>
      </c>
      <c r="B208" s="5">
        <v>45006</v>
      </c>
      <c r="C208" s="7" t="s">
        <v>1042</v>
      </c>
      <c r="D208" s="8">
        <v>3</v>
      </c>
      <c r="E208" s="8">
        <v>2023</v>
      </c>
      <c r="F208" s="7" t="s">
        <v>51</v>
      </c>
      <c r="G208" s="7" t="s">
        <v>10</v>
      </c>
      <c r="H208" s="8">
        <v>38</v>
      </c>
      <c r="I208" s="7" t="s">
        <v>1017</v>
      </c>
      <c r="J208" s="7" t="s">
        <v>11</v>
      </c>
      <c r="K208" s="8">
        <v>4</v>
      </c>
      <c r="L208" s="7" t="s">
        <v>1025</v>
      </c>
      <c r="M208" s="10">
        <v>50</v>
      </c>
      <c r="N208" s="10">
        <v>200</v>
      </c>
    </row>
    <row r="209" spans="1:14" x14ac:dyDescent="0.2">
      <c r="A209" s="8">
        <v>208</v>
      </c>
      <c r="B209" s="5">
        <v>45006</v>
      </c>
      <c r="C209" s="7" t="s">
        <v>1042</v>
      </c>
      <c r="D209" s="8">
        <v>3</v>
      </c>
      <c r="E209" s="8">
        <v>2023</v>
      </c>
      <c r="F209" s="7" t="s">
        <v>326</v>
      </c>
      <c r="G209" s="7" t="s">
        <v>13</v>
      </c>
      <c r="H209" s="8">
        <v>55</v>
      </c>
      <c r="I209" s="7" t="s">
        <v>1019</v>
      </c>
      <c r="J209" s="7" t="s">
        <v>11</v>
      </c>
      <c r="K209" s="8">
        <v>3</v>
      </c>
      <c r="L209" s="7" t="s">
        <v>1022</v>
      </c>
      <c r="M209" s="10">
        <v>500</v>
      </c>
      <c r="N209" s="10">
        <v>1500</v>
      </c>
    </row>
    <row r="210" spans="1:14" x14ac:dyDescent="0.2">
      <c r="A210" s="8">
        <v>209</v>
      </c>
      <c r="B210" s="5">
        <v>45006</v>
      </c>
      <c r="C210" s="7" t="s">
        <v>1042</v>
      </c>
      <c r="D210" s="8">
        <v>3</v>
      </c>
      <c r="E210" s="8">
        <v>2023</v>
      </c>
      <c r="F210" s="7" t="s">
        <v>415</v>
      </c>
      <c r="G210" s="7" t="s">
        <v>13</v>
      </c>
      <c r="H210" s="8">
        <v>41</v>
      </c>
      <c r="I210" s="7" t="s">
        <v>1017</v>
      </c>
      <c r="J210" s="7" t="s">
        <v>14</v>
      </c>
      <c r="K210" s="8">
        <v>2</v>
      </c>
      <c r="L210" s="7" t="s">
        <v>1024</v>
      </c>
      <c r="M210" s="10">
        <v>300</v>
      </c>
      <c r="N210" s="10">
        <v>600</v>
      </c>
    </row>
    <row r="211" spans="1:14" x14ac:dyDescent="0.2">
      <c r="A211" s="8">
        <v>210</v>
      </c>
      <c r="B211" s="5">
        <v>45006</v>
      </c>
      <c r="C211" s="7" t="s">
        <v>1042</v>
      </c>
      <c r="D211" s="8">
        <v>3</v>
      </c>
      <c r="E211" s="8">
        <v>2023</v>
      </c>
      <c r="F211" s="7" t="s">
        <v>472</v>
      </c>
      <c r="G211" s="7" t="s">
        <v>10</v>
      </c>
      <c r="H211" s="8">
        <v>28</v>
      </c>
      <c r="I211" s="7" t="s">
        <v>1021</v>
      </c>
      <c r="J211" s="7" t="s">
        <v>14</v>
      </c>
      <c r="K211" s="8">
        <v>4</v>
      </c>
      <c r="L211" s="7" t="s">
        <v>1025</v>
      </c>
      <c r="M211" s="10">
        <v>300</v>
      </c>
      <c r="N211" s="10">
        <v>1200</v>
      </c>
    </row>
    <row r="212" spans="1:14" x14ac:dyDescent="0.2">
      <c r="A212" s="8">
        <v>211</v>
      </c>
      <c r="B212" s="5">
        <v>45292</v>
      </c>
      <c r="C212" s="7" t="s">
        <v>1042</v>
      </c>
      <c r="D212" s="8">
        <v>3</v>
      </c>
      <c r="E212" s="8">
        <v>2023</v>
      </c>
      <c r="F212" s="7" t="s">
        <v>224</v>
      </c>
      <c r="G212" s="7" t="s">
        <v>10</v>
      </c>
      <c r="H212" s="8">
        <v>42</v>
      </c>
      <c r="I212" s="7" t="s">
        <v>1017</v>
      </c>
      <c r="J212" s="7" t="s">
        <v>11</v>
      </c>
      <c r="K212" s="8">
        <v>3</v>
      </c>
      <c r="L212" s="7" t="s">
        <v>1022</v>
      </c>
      <c r="M212" s="10">
        <v>500</v>
      </c>
      <c r="N212" s="10">
        <v>1500</v>
      </c>
    </row>
    <row r="213" spans="1:14" x14ac:dyDescent="0.2">
      <c r="A213" s="8">
        <v>212</v>
      </c>
      <c r="B213" s="5">
        <v>45007</v>
      </c>
      <c r="C213" s="7" t="s">
        <v>1042</v>
      </c>
      <c r="D213" s="8">
        <v>3</v>
      </c>
      <c r="E213" s="8">
        <v>2023</v>
      </c>
      <c r="F213" s="7" t="s">
        <v>174</v>
      </c>
      <c r="G213" s="7" t="s">
        <v>10</v>
      </c>
      <c r="H213" s="8">
        <v>64</v>
      </c>
      <c r="I213" s="7" t="s">
        <v>1018</v>
      </c>
      <c r="J213" s="7" t="s">
        <v>11</v>
      </c>
      <c r="K213" s="8">
        <v>2</v>
      </c>
      <c r="L213" s="7" t="s">
        <v>1024</v>
      </c>
      <c r="M213" s="10">
        <v>500</v>
      </c>
      <c r="N213" s="10">
        <v>1000</v>
      </c>
    </row>
    <row r="214" spans="1:14" x14ac:dyDescent="0.2">
      <c r="A214" s="8">
        <v>213</v>
      </c>
      <c r="B214" s="5">
        <v>45007</v>
      </c>
      <c r="C214" s="7" t="s">
        <v>1042</v>
      </c>
      <c r="D214" s="8">
        <v>3</v>
      </c>
      <c r="E214" s="8">
        <v>2023</v>
      </c>
      <c r="F214" s="7" t="s">
        <v>341</v>
      </c>
      <c r="G214" s="7" t="s">
        <v>10</v>
      </c>
      <c r="H214" s="8">
        <v>39</v>
      </c>
      <c r="I214" s="7" t="s">
        <v>1017</v>
      </c>
      <c r="J214" s="7" t="s">
        <v>11</v>
      </c>
      <c r="K214" s="8">
        <v>2</v>
      </c>
      <c r="L214" s="7" t="s">
        <v>1024</v>
      </c>
      <c r="M214" s="10">
        <v>50</v>
      </c>
      <c r="N214" s="10">
        <v>100</v>
      </c>
    </row>
    <row r="215" spans="1:14" x14ac:dyDescent="0.2">
      <c r="A215" s="8">
        <v>214</v>
      </c>
      <c r="B215" s="5">
        <v>45007</v>
      </c>
      <c r="C215" s="7" t="s">
        <v>1042</v>
      </c>
      <c r="D215" s="8">
        <v>3</v>
      </c>
      <c r="E215" s="8">
        <v>2023</v>
      </c>
      <c r="F215" s="7" t="s">
        <v>396</v>
      </c>
      <c r="G215" s="7" t="s">
        <v>13</v>
      </c>
      <c r="H215" s="8">
        <v>46</v>
      </c>
      <c r="I215" s="7" t="s">
        <v>1019</v>
      </c>
      <c r="J215" s="7" t="s">
        <v>11</v>
      </c>
      <c r="K215" s="8">
        <v>3</v>
      </c>
      <c r="L215" s="7" t="s">
        <v>1022</v>
      </c>
      <c r="M215" s="10">
        <v>30</v>
      </c>
      <c r="N215" s="10">
        <v>90</v>
      </c>
    </row>
    <row r="216" spans="1:14" x14ac:dyDescent="0.2">
      <c r="A216" s="8">
        <v>215</v>
      </c>
      <c r="B216" s="5">
        <v>45007</v>
      </c>
      <c r="C216" s="7" t="s">
        <v>1042</v>
      </c>
      <c r="D216" s="8">
        <v>3</v>
      </c>
      <c r="E216" s="8">
        <v>2023</v>
      </c>
      <c r="F216" s="7" t="s">
        <v>986</v>
      </c>
      <c r="G216" s="7" t="s">
        <v>10</v>
      </c>
      <c r="H216" s="8">
        <v>60</v>
      </c>
      <c r="I216" s="7" t="s">
        <v>1018</v>
      </c>
      <c r="J216" s="7" t="s">
        <v>14</v>
      </c>
      <c r="K216" s="8">
        <v>1</v>
      </c>
      <c r="L216" s="7" t="s">
        <v>1023</v>
      </c>
      <c r="M216" s="10">
        <v>50</v>
      </c>
      <c r="N216" s="10">
        <v>50</v>
      </c>
    </row>
    <row r="217" spans="1:14" x14ac:dyDescent="0.2">
      <c r="A217" s="8">
        <v>216</v>
      </c>
      <c r="B217" s="5">
        <v>45007</v>
      </c>
      <c r="C217" s="7" t="s">
        <v>1042</v>
      </c>
      <c r="D217" s="8">
        <v>3</v>
      </c>
      <c r="E217" s="8">
        <v>2023</v>
      </c>
      <c r="F217" s="7" t="s">
        <v>991</v>
      </c>
      <c r="G217" s="7" t="s">
        <v>13</v>
      </c>
      <c r="H217" s="8">
        <v>53</v>
      </c>
      <c r="I217" s="7" t="s">
        <v>1019</v>
      </c>
      <c r="J217" s="7" t="s">
        <v>14</v>
      </c>
      <c r="K217" s="8">
        <v>3</v>
      </c>
      <c r="L217" s="7" t="s">
        <v>1022</v>
      </c>
      <c r="M217" s="10">
        <v>50</v>
      </c>
      <c r="N217" s="10">
        <v>150</v>
      </c>
    </row>
    <row r="218" spans="1:14" x14ac:dyDescent="0.2">
      <c r="A218" s="8">
        <v>217</v>
      </c>
      <c r="B218" s="5">
        <v>45008</v>
      </c>
      <c r="C218" s="7" t="s">
        <v>1042</v>
      </c>
      <c r="D218" s="8">
        <v>3</v>
      </c>
      <c r="E218" s="8">
        <v>2023</v>
      </c>
      <c r="F218" s="7" t="s">
        <v>46</v>
      </c>
      <c r="G218" s="7" t="s">
        <v>13</v>
      </c>
      <c r="H218" s="8">
        <v>50</v>
      </c>
      <c r="I218" s="7" t="s">
        <v>1019</v>
      </c>
      <c r="J218" s="7" t="s">
        <v>16</v>
      </c>
      <c r="K218" s="8">
        <v>2</v>
      </c>
      <c r="L218" s="7" t="s">
        <v>1024</v>
      </c>
      <c r="M218" s="10">
        <v>50</v>
      </c>
      <c r="N218" s="10">
        <v>100</v>
      </c>
    </row>
    <row r="219" spans="1:14" x14ac:dyDescent="0.2">
      <c r="A219" s="8">
        <v>218</v>
      </c>
      <c r="B219" s="5">
        <v>45008</v>
      </c>
      <c r="C219" s="7" t="s">
        <v>1042</v>
      </c>
      <c r="D219" s="8">
        <v>3</v>
      </c>
      <c r="E219" s="8">
        <v>2023</v>
      </c>
      <c r="F219" s="7" t="s">
        <v>151</v>
      </c>
      <c r="G219" s="7" t="s">
        <v>10</v>
      </c>
      <c r="H219" s="8">
        <v>49</v>
      </c>
      <c r="I219" s="7" t="s">
        <v>1019</v>
      </c>
      <c r="J219" s="7" t="s">
        <v>14</v>
      </c>
      <c r="K219" s="8">
        <v>4</v>
      </c>
      <c r="L219" s="7" t="s">
        <v>1025</v>
      </c>
      <c r="M219" s="10">
        <v>50</v>
      </c>
      <c r="N219" s="10">
        <v>200</v>
      </c>
    </row>
    <row r="220" spans="1:14" x14ac:dyDescent="0.2">
      <c r="A220" s="8">
        <v>219</v>
      </c>
      <c r="B220" s="5">
        <v>45008</v>
      </c>
      <c r="C220" s="7" t="s">
        <v>1042</v>
      </c>
      <c r="D220" s="8">
        <v>3</v>
      </c>
      <c r="E220" s="8">
        <v>2023</v>
      </c>
      <c r="F220" s="7" t="s">
        <v>484</v>
      </c>
      <c r="G220" s="7" t="s">
        <v>10</v>
      </c>
      <c r="H220" s="8">
        <v>32</v>
      </c>
      <c r="I220" s="7" t="s">
        <v>1021</v>
      </c>
      <c r="J220" s="7" t="s">
        <v>14</v>
      </c>
      <c r="K220" s="8">
        <v>3</v>
      </c>
      <c r="L220" s="7" t="s">
        <v>1022</v>
      </c>
      <c r="M220" s="10">
        <v>50</v>
      </c>
      <c r="N220" s="10">
        <v>150</v>
      </c>
    </row>
    <row r="221" spans="1:14" x14ac:dyDescent="0.2">
      <c r="A221" s="8">
        <v>220</v>
      </c>
      <c r="B221" s="5">
        <v>45008</v>
      </c>
      <c r="C221" s="7" t="s">
        <v>1042</v>
      </c>
      <c r="D221" s="8">
        <v>3</v>
      </c>
      <c r="E221" s="8">
        <v>2023</v>
      </c>
      <c r="F221" s="7" t="s">
        <v>649</v>
      </c>
      <c r="G221" s="7" t="s">
        <v>13</v>
      </c>
      <c r="H221" s="8">
        <v>21</v>
      </c>
      <c r="I221" s="7" t="s">
        <v>1021</v>
      </c>
      <c r="J221" s="7" t="s">
        <v>11</v>
      </c>
      <c r="K221" s="8">
        <v>3</v>
      </c>
      <c r="L221" s="7" t="s">
        <v>1022</v>
      </c>
      <c r="M221" s="10">
        <v>500</v>
      </c>
      <c r="N221" s="10">
        <v>1500</v>
      </c>
    </row>
    <row r="222" spans="1:14" x14ac:dyDescent="0.2">
      <c r="A222" s="8">
        <v>221</v>
      </c>
      <c r="B222" s="5">
        <v>45009</v>
      </c>
      <c r="C222" s="7" t="s">
        <v>1042</v>
      </c>
      <c r="D222" s="8">
        <v>3</v>
      </c>
      <c r="E222" s="8">
        <v>2023</v>
      </c>
      <c r="F222" s="7" t="s">
        <v>190</v>
      </c>
      <c r="G222" s="7" t="s">
        <v>10</v>
      </c>
      <c r="H222" s="8">
        <v>45</v>
      </c>
      <c r="I222" s="7" t="s">
        <v>1017</v>
      </c>
      <c r="J222" s="7" t="s">
        <v>11</v>
      </c>
      <c r="K222" s="8">
        <v>2</v>
      </c>
      <c r="L222" s="7" t="s">
        <v>1024</v>
      </c>
      <c r="M222" s="10">
        <v>50</v>
      </c>
      <c r="N222" s="10">
        <v>100</v>
      </c>
    </row>
    <row r="223" spans="1:14" x14ac:dyDescent="0.2">
      <c r="A223" s="8">
        <v>222</v>
      </c>
      <c r="B223" s="5">
        <v>45009</v>
      </c>
      <c r="C223" s="7" t="s">
        <v>1042</v>
      </c>
      <c r="D223" s="8">
        <v>3</v>
      </c>
      <c r="E223" s="8">
        <v>2023</v>
      </c>
      <c r="F223" s="7" t="s">
        <v>439</v>
      </c>
      <c r="G223" s="7" t="s">
        <v>10</v>
      </c>
      <c r="H223" s="8">
        <v>23</v>
      </c>
      <c r="I223" s="7" t="s">
        <v>1021</v>
      </c>
      <c r="J223" s="7" t="s">
        <v>16</v>
      </c>
      <c r="K223" s="8">
        <v>3</v>
      </c>
      <c r="L223" s="7" t="s">
        <v>1022</v>
      </c>
      <c r="M223" s="10">
        <v>50</v>
      </c>
      <c r="N223" s="10">
        <v>150</v>
      </c>
    </row>
    <row r="224" spans="1:14" x14ac:dyDescent="0.2">
      <c r="A224" s="8">
        <v>223</v>
      </c>
      <c r="B224" s="5">
        <v>45010</v>
      </c>
      <c r="C224" s="7" t="s">
        <v>1042</v>
      </c>
      <c r="D224" s="8">
        <v>3</v>
      </c>
      <c r="E224" s="8">
        <v>2023</v>
      </c>
      <c r="F224" s="7" t="s">
        <v>89</v>
      </c>
      <c r="G224" s="7" t="s">
        <v>13</v>
      </c>
      <c r="H224" s="8">
        <v>22</v>
      </c>
      <c r="I224" s="7" t="s">
        <v>1021</v>
      </c>
      <c r="J224" s="7" t="s">
        <v>16</v>
      </c>
      <c r="K224" s="8">
        <v>2</v>
      </c>
      <c r="L224" s="7" t="s">
        <v>1024</v>
      </c>
      <c r="M224" s="10">
        <v>50</v>
      </c>
      <c r="N224" s="10">
        <v>100</v>
      </c>
    </row>
    <row r="225" spans="1:14" x14ac:dyDescent="0.2">
      <c r="A225" s="8">
        <v>224</v>
      </c>
      <c r="B225" s="5">
        <v>45010</v>
      </c>
      <c r="C225" s="7" t="s">
        <v>1042</v>
      </c>
      <c r="D225" s="8">
        <v>3</v>
      </c>
      <c r="E225" s="8">
        <v>2023</v>
      </c>
      <c r="F225" s="7" t="s">
        <v>104</v>
      </c>
      <c r="G225" s="7" t="s">
        <v>13</v>
      </c>
      <c r="H225" s="8">
        <v>55</v>
      </c>
      <c r="I225" s="7" t="s">
        <v>1019</v>
      </c>
      <c r="J225" s="7" t="s">
        <v>16</v>
      </c>
      <c r="K225" s="8">
        <v>1</v>
      </c>
      <c r="L225" s="7" t="s">
        <v>1023</v>
      </c>
      <c r="M225" s="10">
        <v>500</v>
      </c>
      <c r="N225" s="10">
        <v>500</v>
      </c>
    </row>
    <row r="226" spans="1:14" x14ac:dyDescent="0.2">
      <c r="A226" s="8">
        <v>225</v>
      </c>
      <c r="B226" s="5">
        <v>45010</v>
      </c>
      <c r="C226" s="7" t="s">
        <v>1042</v>
      </c>
      <c r="D226" s="8">
        <v>3</v>
      </c>
      <c r="E226" s="8">
        <v>2023</v>
      </c>
      <c r="F226" s="7" t="s">
        <v>474</v>
      </c>
      <c r="G226" s="7" t="s">
        <v>13</v>
      </c>
      <c r="H226" s="8">
        <v>18</v>
      </c>
      <c r="I226" s="7" t="s">
        <v>1020</v>
      </c>
      <c r="J226" s="7" t="s">
        <v>11</v>
      </c>
      <c r="K226" s="8">
        <v>2</v>
      </c>
      <c r="L226" s="7" t="s">
        <v>1024</v>
      </c>
      <c r="M226" s="10">
        <v>500</v>
      </c>
      <c r="N226" s="10">
        <v>1000</v>
      </c>
    </row>
    <row r="227" spans="1:14" x14ac:dyDescent="0.2">
      <c r="A227" s="8">
        <v>226</v>
      </c>
      <c r="B227" s="5">
        <v>45010</v>
      </c>
      <c r="C227" s="7" t="s">
        <v>1042</v>
      </c>
      <c r="D227" s="8">
        <v>3</v>
      </c>
      <c r="E227" s="8">
        <v>2023</v>
      </c>
      <c r="F227" s="7" t="s">
        <v>777</v>
      </c>
      <c r="G227" s="7" t="s">
        <v>13</v>
      </c>
      <c r="H227" s="8">
        <v>40</v>
      </c>
      <c r="I227" s="7" t="s">
        <v>1017</v>
      </c>
      <c r="J227" s="7" t="s">
        <v>14</v>
      </c>
      <c r="K227" s="8">
        <v>1</v>
      </c>
      <c r="L227" s="7" t="s">
        <v>1023</v>
      </c>
      <c r="M227" s="10">
        <v>25</v>
      </c>
      <c r="N227" s="10">
        <v>25</v>
      </c>
    </row>
    <row r="228" spans="1:14" x14ac:dyDescent="0.2">
      <c r="A228" s="8">
        <v>227</v>
      </c>
      <c r="B228" s="5">
        <v>45011</v>
      </c>
      <c r="C228" s="7" t="s">
        <v>1042</v>
      </c>
      <c r="D228" s="8">
        <v>3</v>
      </c>
      <c r="E228" s="8">
        <v>2023</v>
      </c>
      <c r="F228" s="7" t="s">
        <v>215</v>
      </c>
      <c r="G228" s="7" t="s">
        <v>13</v>
      </c>
      <c r="H228" s="8">
        <v>34</v>
      </c>
      <c r="I228" s="7" t="s">
        <v>1021</v>
      </c>
      <c r="J228" s="7" t="s">
        <v>14</v>
      </c>
      <c r="K228" s="8">
        <v>4</v>
      </c>
      <c r="L228" s="7" t="s">
        <v>1025</v>
      </c>
      <c r="M228" s="10">
        <v>300</v>
      </c>
      <c r="N228" s="10">
        <v>1200</v>
      </c>
    </row>
    <row r="229" spans="1:14" x14ac:dyDescent="0.2">
      <c r="A229" s="8">
        <v>228</v>
      </c>
      <c r="B229" s="5">
        <v>45011</v>
      </c>
      <c r="C229" s="7" t="s">
        <v>1042</v>
      </c>
      <c r="D229" s="8">
        <v>3</v>
      </c>
      <c r="E229" s="8">
        <v>2023</v>
      </c>
      <c r="F229" s="7" t="s">
        <v>314</v>
      </c>
      <c r="G229" s="7" t="s">
        <v>10</v>
      </c>
      <c r="H229" s="8">
        <v>30</v>
      </c>
      <c r="I229" s="7" t="s">
        <v>1021</v>
      </c>
      <c r="J229" s="7" t="s">
        <v>14</v>
      </c>
      <c r="K229" s="8">
        <v>4</v>
      </c>
      <c r="L229" s="7" t="s">
        <v>1025</v>
      </c>
      <c r="M229" s="10">
        <v>30</v>
      </c>
      <c r="N229" s="10">
        <v>120</v>
      </c>
    </row>
    <row r="230" spans="1:14" x14ac:dyDescent="0.2">
      <c r="A230" s="8">
        <v>229</v>
      </c>
      <c r="B230" s="5">
        <v>45011</v>
      </c>
      <c r="C230" s="7" t="s">
        <v>1042</v>
      </c>
      <c r="D230" s="8">
        <v>3</v>
      </c>
      <c r="E230" s="8">
        <v>2023</v>
      </c>
      <c r="F230" s="7" t="s">
        <v>716</v>
      </c>
      <c r="G230" s="7" t="s">
        <v>10</v>
      </c>
      <c r="H230" s="8">
        <v>34</v>
      </c>
      <c r="I230" s="7" t="s">
        <v>1021</v>
      </c>
      <c r="J230" s="7" t="s">
        <v>16</v>
      </c>
      <c r="K230" s="8">
        <v>2</v>
      </c>
      <c r="L230" s="7" t="s">
        <v>1024</v>
      </c>
      <c r="M230" s="10">
        <v>50</v>
      </c>
      <c r="N230" s="10">
        <v>100</v>
      </c>
    </row>
    <row r="231" spans="1:14" x14ac:dyDescent="0.2">
      <c r="A231" s="8">
        <v>230</v>
      </c>
      <c r="B231" s="5">
        <v>45012</v>
      </c>
      <c r="C231" s="7" t="s">
        <v>1042</v>
      </c>
      <c r="D231" s="8">
        <v>3</v>
      </c>
      <c r="E231" s="8">
        <v>2023</v>
      </c>
      <c r="F231" s="7" t="s">
        <v>307</v>
      </c>
      <c r="G231" s="7" t="s">
        <v>13</v>
      </c>
      <c r="H231" s="8">
        <v>23</v>
      </c>
      <c r="I231" s="7" t="s">
        <v>1021</v>
      </c>
      <c r="J231" s="7" t="s">
        <v>14</v>
      </c>
      <c r="K231" s="8">
        <v>3</v>
      </c>
      <c r="L231" s="7" t="s">
        <v>1022</v>
      </c>
      <c r="M231" s="10">
        <v>30</v>
      </c>
      <c r="N231" s="10">
        <v>90</v>
      </c>
    </row>
    <row r="232" spans="1:14" x14ac:dyDescent="0.2">
      <c r="A232" s="8">
        <v>231</v>
      </c>
      <c r="B232" s="5">
        <v>45012</v>
      </c>
      <c r="C232" s="7" t="s">
        <v>1042</v>
      </c>
      <c r="D232" s="8">
        <v>3</v>
      </c>
      <c r="E232" s="8">
        <v>2023</v>
      </c>
      <c r="F232" s="7" t="s">
        <v>773</v>
      </c>
      <c r="G232" s="7" t="s">
        <v>10</v>
      </c>
      <c r="H232" s="8">
        <v>27</v>
      </c>
      <c r="I232" s="7" t="s">
        <v>1021</v>
      </c>
      <c r="J232" s="7" t="s">
        <v>11</v>
      </c>
      <c r="K232" s="8">
        <v>1</v>
      </c>
      <c r="L232" s="7" t="s">
        <v>1023</v>
      </c>
      <c r="M232" s="10">
        <v>500</v>
      </c>
      <c r="N232" s="10">
        <v>500</v>
      </c>
    </row>
    <row r="233" spans="1:14" x14ac:dyDescent="0.2">
      <c r="A233" s="8">
        <v>232</v>
      </c>
      <c r="B233" s="5">
        <v>45013</v>
      </c>
      <c r="C233" s="7" t="s">
        <v>1042</v>
      </c>
      <c r="D233" s="8">
        <v>3</v>
      </c>
      <c r="E233" s="8">
        <v>2023</v>
      </c>
      <c r="F233" s="7" t="s">
        <v>588</v>
      </c>
      <c r="G233" s="7" t="s">
        <v>10</v>
      </c>
      <c r="H233" s="8">
        <v>60</v>
      </c>
      <c r="I233" s="7" t="s">
        <v>1018</v>
      </c>
      <c r="J233" s="7" t="s">
        <v>14</v>
      </c>
      <c r="K233" s="8">
        <v>2</v>
      </c>
      <c r="L233" s="7" t="s">
        <v>1024</v>
      </c>
      <c r="M233" s="10">
        <v>50</v>
      </c>
      <c r="N233" s="10">
        <v>100</v>
      </c>
    </row>
    <row r="234" spans="1:14" x14ac:dyDescent="0.2">
      <c r="A234" s="8">
        <v>233</v>
      </c>
      <c r="B234" s="5">
        <v>45014</v>
      </c>
      <c r="C234" s="7" t="s">
        <v>1042</v>
      </c>
      <c r="D234" s="8">
        <v>3</v>
      </c>
      <c r="E234" s="8">
        <v>2023</v>
      </c>
      <c r="F234" s="7" t="s">
        <v>101</v>
      </c>
      <c r="G234" s="7" t="s">
        <v>10</v>
      </c>
      <c r="H234" s="8">
        <v>56</v>
      </c>
      <c r="I234" s="7" t="s">
        <v>1018</v>
      </c>
      <c r="J234" s="7" t="s">
        <v>14</v>
      </c>
      <c r="K234" s="8">
        <v>1</v>
      </c>
      <c r="L234" s="7" t="s">
        <v>1023</v>
      </c>
      <c r="M234" s="10">
        <v>500</v>
      </c>
      <c r="N234" s="10">
        <v>500</v>
      </c>
    </row>
    <row r="235" spans="1:14" x14ac:dyDescent="0.2">
      <c r="A235" s="8">
        <v>234</v>
      </c>
      <c r="B235" s="5">
        <v>45015</v>
      </c>
      <c r="C235" s="7" t="s">
        <v>1042</v>
      </c>
      <c r="D235" s="8">
        <v>3</v>
      </c>
      <c r="E235" s="8">
        <v>2023</v>
      </c>
      <c r="F235" s="7" t="s">
        <v>988</v>
      </c>
      <c r="G235" s="7" t="s">
        <v>13</v>
      </c>
      <c r="H235" s="8">
        <v>56</v>
      </c>
      <c r="I235" s="7" t="s">
        <v>1018</v>
      </c>
      <c r="J235" s="7" t="s">
        <v>14</v>
      </c>
      <c r="K235" s="8">
        <v>4</v>
      </c>
      <c r="L235" s="7" t="s">
        <v>1025</v>
      </c>
      <c r="M235" s="10">
        <v>50</v>
      </c>
      <c r="N235" s="10">
        <v>200</v>
      </c>
    </row>
    <row r="236" spans="1:14" x14ac:dyDescent="0.2">
      <c r="A236" s="8">
        <v>235</v>
      </c>
      <c r="B236" s="5">
        <v>45016</v>
      </c>
      <c r="C236" s="7" t="s">
        <v>1042</v>
      </c>
      <c r="D236" s="8">
        <v>3</v>
      </c>
      <c r="E236" s="8">
        <v>2023</v>
      </c>
      <c r="F236" s="7" t="s">
        <v>566</v>
      </c>
      <c r="G236" s="7" t="s">
        <v>10</v>
      </c>
      <c r="H236" s="8">
        <v>24</v>
      </c>
      <c r="I236" s="7" t="s">
        <v>1021</v>
      </c>
      <c r="J236" s="7" t="s">
        <v>14</v>
      </c>
      <c r="K236" s="8">
        <v>4</v>
      </c>
      <c r="L236" s="7" t="s">
        <v>1025</v>
      </c>
      <c r="M236" s="10">
        <v>300</v>
      </c>
      <c r="N236" s="10">
        <v>1200</v>
      </c>
    </row>
    <row r="237" spans="1:14" x14ac:dyDescent="0.2">
      <c r="A237" s="8">
        <v>236</v>
      </c>
      <c r="B237" s="5">
        <v>45017</v>
      </c>
      <c r="C237" s="7" t="s">
        <v>1042</v>
      </c>
      <c r="D237" s="8">
        <v>3</v>
      </c>
      <c r="E237" s="8">
        <v>2023</v>
      </c>
      <c r="F237" s="7" t="s">
        <v>475</v>
      </c>
      <c r="G237" s="7" t="s">
        <v>10</v>
      </c>
      <c r="H237" s="8">
        <v>63</v>
      </c>
      <c r="I237" s="7" t="s">
        <v>1018</v>
      </c>
      <c r="J237" s="7" t="s">
        <v>16</v>
      </c>
      <c r="K237" s="8">
        <v>4</v>
      </c>
      <c r="L237" s="7" t="s">
        <v>1025</v>
      </c>
      <c r="M237" s="10">
        <v>300</v>
      </c>
      <c r="N237" s="10">
        <v>1200</v>
      </c>
    </row>
    <row r="238" spans="1:14" x14ac:dyDescent="0.2">
      <c r="A238" s="8">
        <v>237</v>
      </c>
      <c r="B238" s="5">
        <v>45017</v>
      </c>
      <c r="C238" s="7" t="s">
        <v>1043</v>
      </c>
      <c r="D238" s="8">
        <v>4</v>
      </c>
      <c r="E238" s="8">
        <v>2023</v>
      </c>
      <c r="F238" s="7" t="s">
        <v>627</v>
      </c>
      <c r="G238" s="7" t="s">
        <v>13</v>
      </c>
      <c r="H238" s="8">
        <v>39</v>
      </c>
      <c r="I238" s="7" t="s">
        <v>1017</v>
      </c>
      <c r="J238" s="7" t="s">
        <v>11</v>
      </c>
      <c r="K238" s="8">
        <v>4</v>
      </c>
      <c r="L238" s="7" t="s">
        <v>1025</v>
      </c>
      <c r="M238" s="10">
        <v>300</v>
      </c>
      <c r="N238" s="10">
        <v>1200</v>
      </c>
    </row>
    <row r="239" spans="1:14" x14ac:dyDescent="0.2">
      <c r="A239" s="8">
        <v>238</v>
      </c>
      <c r="B239" s="5">
        <v>45017</v>
      </c>
      <c r="C239" s="7" t="s">
        <v>1043</v>
      </c>
      <c r="D239" s="8">
        <v>4</v>
      </c>
      <c r="E239" s="8">
        <v>2023</v>
      </c>
      <c r="F239" s="7" t="s">
        <v>821</v>
      </c>
      <c r="G239" s="7" t="s">
        <v>10</v>
      </c>
      <c r="H239" s="8">
        <v>33</v>
      </c>
      <c r="I239" s="7" t="s">
        <v>1021</v>
      </c>
      <c r="J239" s="7" t="s">
        <v>11</v>
      </c>
      <c r="K239" s="8">
        <v>4</v>
      </c>
      <c r="L239" s="7" t="s">
        <v>1025</v>
      </c>
      <c r="M239" s="10">
        <v>500</v>
      </c>
      <c r="N239" s="10">
        <v>2000</v>
      </c>
    </row>
    <row r="240" spans="1:14" x14ac:dyDescent="0.2">
      <c r="A240" s="8">
        <v>239</v>
      </c>
      <c r="B240" s="5">
        <v>45018</v>
      </c>
      <c r="C240" s="7" t="s">
        <v>1043</v>
      </c>
      <c r="D240" s="8">
        <v>4</v>
      </c>
      <c r="E240" s="8">
        <v>2023</v>
      </c>
      <c r="F240" s="7" t="s">
        <v>179</v>
      </c>
      <c r="G240" s="7" t="s">
        <v>10</v>
      </c>
      <c r="H240" s="8">
        <v>34</v>
      </c>
      <c r="I240" s="7" t="s">
        <v>1021</v>
      </c>
      <c r="J240" s="7" t="s">
        <v>14</v>
      </c>
      <c r="K240" s="8">
        <v>4</v>
      </c>
      <c r="L240" s="7" t="s">
        <v>1025</v>
      </c>
      <c r="M240" s="10">
        <v>500</v>
      </c>
      <c r="N240" s="10">
        <v>2000</v>
      </c>
    </row>
    <row r="241" spans="1:14" x14ac:dyDescent="0.2">
      <c r="A241" s="8">
        <v>240</v>
      </c>
      <c r="B241" s="5">
        <v>45018</v>
      </c>
      <c r="C241" s="7" t="s">
        <v>1043</v>
      </c>
      <c r="D241" s="8">
        <v>4</v>
      </c>
      <c r="E241" s="8">
        <v>2023</v>
      </c>
      <c r="F241" s="7" t="s">
        <v>478</v>
      </c>
      <c r="G241" s="7" t="s">
        <v>13</v>
      </c>
      <c r="H241" s="8">
        <v>43</v>
      </c>
      <c r="I241" s="7" t="s">
        <v>1017</v>
      </c>
      <c r="J241" s="7" t="s">
        <v>16</v>
      </c>
      <c r="K241" s="8">
        <v>3</v>
      </c>
      <c r="L241" s="7" t="s">
        <v>1022</v>
      </c>
      <c r="M241" s="10">
        <v>50</v>
      </c>
      <c r="N241" s="10">
        <v>150</v>
      </c>
    </row>
    <row r="242" spans="1:14" x14ac:dyDescent="0.2">
      <c r="A242" s="8">
        <v>241</v>
      </c>
      <c r="B242" s="5">
        <v>45018</v>
      </c>
      <c r="C242" s="7" t="s">
        <v>1043</v>
      </c>
      <c r="D242" s="8">
        <v>4</v>
      </c>
      <c r="E242" s="8">
        <v>2023</v>
      </c>
      <c r="F242" s="7" t="s">
        <v>515</v>
      </c>
      <c r="G242" s="7" t="s">
        <v>10</v>
      </c>
      <c r="H242" s="8">
        <v>43</v>
      </c>
      <c r="I242" s="7" t="s">
        <v>1017</v>
      </c>
      <c r="J242" s="7" t="s">
        <v>16</v>
      </c>
      <c r="K242" s="8">
        <v>3</v>
      </c>
      <c r="L242" s="7" t="s">
        <v>1022</v>
      </c>
      <c r="M242" s="10">
        <v>50</v>
      </c>
      <c r="N242" s="10">
        <v>150</v>
      </c>
    </row>
    <row r="243" spans="1:14" x14ac:dyDescent="0.2">
      <c r="A243" s="8">
        <v>242</v>
      </c>
      <c r="B243" s="5">
        <v>45018</v>
      </c>
      <c r="C243" s="7" t="s">
        <v>1043</v>
      </c>
      <c r="D243" s="8">
        <v>4</v>
      </c>
      <c r="E243" s="8">
        <v>2023</v>
      </c>
      <c r="F243" s="7" t="s">
        <v>918</v>
      </c>
      <c r="G243" s="7" t="s">
        <v>10</v>
      </c>
      <c r="H243" s="8">
        <v>58</v>
      </c>
      <c r="I243" s="7" t="s">
        <v>1018</v>
      </c>
      <c r="J243" s="7" t="s">
        <v>11</v>
      </c>
      <c r="K243" s="8">
        <v>1</v>
      </c>
      <c r="L243" s="7" t="s">
        <v>1023</v>
      </c>
      <c r="M243" s="10">
        <v>300</v>
      </c>
      <c r="N243" s="10">
        <v>300</v>
      </c>
    </row>
    <row r="244" spans="1:14" x14ac:dyDescent="0.2">
      <c r="A244" s="8">
        <v>243</v>
      </c>
      <c r="B244" s="5">
        <v>45020</v>
      </c>
      <c r="C244" s="7" t="s">
        <v>1043</v>
      </c>
      <c r="D244" s="8">
        <v>4</v>
      </c>
      <c r="E244" s="8">
        <v>2023</v>
      </c>
      <c r="F244" s="7" t="s">
        <v>293</v>
      </c>
      <c r="G244" s="7" t="s">
        <v>13</v>
      </c>
      <c r="H244" s="8">
        <v>37</v>
      </c>
      <c r="I244" s="7" t="s">
        <v>1017</v>
      </c>
      <c r="J244" s="7" t="s">
        <v>14</v>
      </c>
      <c r="K244" s="8">
        <v>3</v>
      </c>
      <c r="L244" s="7" t="s">
        <v>1022</v>
      </c>
      <c r="M244" s="10">
        <v>500</v>
      </c>
      <c r="N244" s="10">
        <v>1500</v>
      </c>
    </row>
    <row r="245" spans="1:14" x14ac:dyDescent="0.2">
      <c r="A245" s="8">
        <v>244</v>
      </c>
      <c r="B245" s="5">
        <v>45020</v>
      </c>
      <c r="C245" s="7" t="s">
        <v>1043</v>
      </c>
      <c r="D245" s="8">
        <v>4</v>
      </c>
      <c r="E245" s="8">
        <v>2023</v>
      </c>
      <c r="F245" s="7" t="s">
        <v>732</v>
      </c>
      <c r="G245" s="7" t="s">
        <v>13</v>
      </c>
      <c r="H245" s="8">
        <v>42</v>
      </c>
      <c r="I245" s="7" t="s">
        <v>1017</v>
      </c>
      <c r="J245" s="7" t="s">
        <v>14</v>
      </c>
      <c r="K245" s="8">
        <v>2</v>
      </c>
      <c r="L245" s="7" t="s">
        <v>1024</v>
      </c>
      <c r="M245" s="10">
        <v>30</v>
      </c>
      <c r="N245" s="10">
        <v>60</v>
      </c>
    </row>
    <row r="246" spans="1:14" x14ac:dyDescent="0.2">
      <c r="A246" s="8">
        <v>245</v>
      </c>
      <c r="B246" s="5">
        <v>45020</v>
      </c>
      <c r="C246" s="7" t="s">
        <v>1043</v>
      </c>
      <c r="D246" s="8">
        <v>4</v>
      </c>
      <c r="E246" s="8">
        <v>2023</v>
      </c>
      <c r="F246" s="7" t="s">
        <v>847</v>
      </c>
      <c r="G246" s="7" t="s">
        <v>13</v>
      </c>
      <c r="H246" s="8">
        <v>56</v>
      </c>
      <c r="I246" s="7" t="s">
        <v>1018</v>
      </c>
      <c r="J246" s="7" t="s">
        <v>11</v>
      </c>
      <c r="K246" s="8">
        <v>2</v>
      </c>
      <c r="L246" s="7" t="s">
        <v>1024</v>
      </c>
      <c r="M246" s="10">
        <v>30</v>
      </c>
      <c r="N246" s="10">
        <v>60</v>
      </c>
    </row>
    <row r="247" spans="1:14" x14ac:dyDescent="0.2">
      <c r="A247" s="8">
        <v>246</v>
      </c>
      <c r="B247" s="5">
        <v>45021</v>
      </c>
      <c r="C247" s="7" t="s">
        <v>1043</v>
      </c>
      <c r="D247" s="8">
        <v>4</v>
      </c>
      <c r="E247" s="8">
        <v>2023</v>
      </c>
      <c r="F247" s="7" t="s">
        <v>904</v>
      </c>
      <c r="G247" s="7" t="s">
        <v>10</v>
      </c>
      <c r="H247" s="8">
        <v>41</v>
      </c>
      <c r="I247" s="7" t="s">
        <v>1017</v>
      </c>
      <c r="J247" s="7" t="s">
        <v>16</v>
      </c>
      <c r="K247" s="8">
        <v>3</v>
      </c>
      <c r="L247" s="7" t="s">
        <v>1022</v>
      </c>
      <c r="M247" s="10">
        <v>300</v>
      </c>
      <c r="N247" s="10">
        <v>900</v>
      </c>
    </row>
    <row r="248" spans="1:14" x14ac:dyDescent="0.2">
      <c r="A248" s="8">
        <v>247</v>
      </c>
      <c r="B248" s="5">
        <v>45021</v>
      </c>
      <c r="C248" s="7" t="s">
        <v>1043</v>
      </c>
      <c r="D248" s="8">
        <v>4</v>
      </c>
      <c r="E248" s="8">
        <v>2023</v>
      </c>
      <c r="F248" s="7" t="s">
        <v>941</v>
      </c>
      <c r="G248" s="7" t="s">
        <v>13</v>
      </c>
      <c r="H248" s="8">
        <v>35</v>
      </c>
      <c r="I248" s="7" t="s">
        <v>1017</v>
      </c>
      <c r="J248" s="7" t="s">
        <v>14</v>
      </c>
      <c r="K248" s="8">
        <v>4</v>
      </c>
      <c r="L248" s="7" t="s">
        <v>1025</v>
      </c>
      <c r="M248" s="10">
        <v>300</v>
      </c>
      <c r="N248" s="10">
        <v>1200</v>
      </c>
    </row>
    <row r="249" spans="1:14" x14ac:dyDescent="0.2">
      <c r="A249" s="8">
        <v>248</v>
      </c>
      <c r="B249" s="5">
        <v>45022</v>
      </c>
      <c r="C249" s="7" t="s">
        <v>1043</v>
      </c>
      <c r="D249" s="8">
        <v>4</v>
      </c>
      <c r="E249" s="8">
        <v>2023</v>
      </c>
      <c r="F249" s="7" t="s">
        <v>345</v>
      </c>
      <c r="G249" s="7" t="s">
        <v>10</v>
      </c>
      <c r="H249" s="8">
        <v>58</v>
      </c>
      <c r="I249" s="7" t="s">
        <v>1018</v>
      </c>
      <c r="J249" s="7" t="s">
        <v>16</v>
      </c>
      <c r="K249" s="8">
        <v>4</v>
      </c>
      <c r="L249" s="7" t="s">
        <v>1025</v>
      </c>
      <c r="M249" s="10">
        <v>300</v>
      </c>
      <c r="N249" s="10">
        <v>1200</v>
      </c>
    </row>
    <row r="250" spans="1:14" x14ac:dyDescent="0.2">
      <c r="A250" s="8">
        <v>249</v>
      </c>
      <c r="B250" s="5">
        <v>45024</v>
      </c>
      <c r="C250" s="7" t="s">
        <v>1043</v>
      </c>
      <c r="D250" s="8">
        <v>4</v>
      </c>
      <c r="E250" s="8">
        <v>2023</v>
      </c>
      <c r="F250" s="7" t="s">
        <v>268</v>
      </c>
      <c r="G250" s="7" t="s">
        <v>10</v>
      </c>
      <c r="H250" s="8">
        <v>48</v>
      </c>
      <c r="I250" s="7" t="s">
        <v>1019</v>
      </c>
      <c r="J250" s="7" t="s">
        <v>14</v>
      </c>
      <c r="K250" s="8">
        <v>1</v>
      </c>
      <c r="L250" s="7" t="s">
        <v>1023</v>
      </c>
      <c r="M250" s="10">
        <v>30</v>
      </c>
      <c r="N250" s="10">
        <v>30</v>
      </c>
    </row>
    <row r="251" spans="1:14" x14ac:dyDescent="0.2">
      <c r="A251" s="8">
        <v>250</v>
      </c>
      <c r="B251" s="5">
        <v>45024</v>
      </c>
      <c r="C251" s="7" t="s">
        <v>1043</v>
      </c>
      <c r="D251" s="8">
        <v>4</v>
      </c>
      <c r="E251" s="8">
        <v>2023</v>
      </c>
      <c r="F251" s="7" t="s">
        <v>288</v>
      </c>
      <c r="G251" s="7" t="s">
        <v>10</v>
      </c>
      <c r="H251" s="8">
        <v>43</v>
      </c>
      <c r="I251" s="7" t="s">
        <v>1017</v>
      </c>
      <c r="J251" s="7" t="s">
        <v>14</v>
      </c>
      <c r="K251" s="8">
        <v>2</v>
      </c>
      <c r="L251" s="7" t="s">
        <v>1024</v>
      </c>
      <c r="M251" s="10">
        <v>500</v>
      </c>
      <c r="N251" s="10">
        <v>1000</v>
      </c>
    </row>
    <row r="252" spans="1:14" x14ac:dyDescent="0.2">
      <c r="A252" s="8">
        <v>251</v>
      </c>
      <c r="B252" s="5">
        <v>45024</v>
      </c>
      <c r="C252" s="7" t="s">
        <v>1043</v>
      </c>
      <c r="D252" s="8">
        <v>4</v>
      </c>
      <c r="E252" s="8">
        <v>2023</v>
      </c>
      <c r="F252" s="7" t="s">
        <v>327</v>
      </c>
      <c r="G252" s="7" t="s">
        <v>10</v>
      </c>
      <c r="H252" s="8">
        <v>52</v>
      </c>
      <c r="I252" s="7" t="s">
        <v>1019</v>
      </c>
      <c r="J252" s="7" t="s">
        <v>14</v>
      </c>
      <c r="K252" s="8">
        <v>4</v>
      </c>
      <c r="L252" s="7" t="s">
        <v>1025</v>
      </c>
      <c r="M252" s="10">
        <v>30</v>
      </c>
      <c r="N252" s="10">
        <v>120</v>
      </c>
    </row>
    <row r="253" spans="1:14" x14ac:dyDescent="0.2">
      <c r="A253" s="8">
        <v>252</v>
      </c>
      <c r="B253" s="5">
        <v>45024</v>
      </c>
      <c r="C253" s="7" t="s">
        <v>1043</v>
      </c>
      <c r="D253" s="8">
        <v>4</v>
      </c>
      <c r="E253" s="8">
        <v>2023</v>
      </c>
      <c r="F253" s="7" t="s">
        <v>530</v>
      </c>
      <c r="G253" s="7" t="s">
        <v>13</v>
      </c>
      <c r="H253" s="8">
        <v>47</v>
      </c>
      <c r="I253" s="7" t="s">
        <v>1019</v>
      </c>
      <c r="J253" s="7" t="s">
        <v>14</v>
      </c>
      <c r="K253" s="8">
        <v>4</v>
      </c>
      <c r="L253" s="7" t="s">
        <v>1025</v>
      </c>
      <c r="M253" s="10">
        <v>25</v>
      </c>
      <c r="N253" s="10">
        <v>100</v>
      </c>
    </row>
    <row r="254" spans="1:14" x14ac:dyDescent="0.2">
      <c r="A254" s="8">
        <v>253</v>
      </c>
      <c r="B254" s="5">
        <v>45024</v>
      </c>
      <c r="C254" s="7" t="s">
        <v>1043</v>
      </c>
      <c r="D254" s="8">
        <v>4</v>
      </c>
      <c r="E254" s="8">
        <v>2023</v>
      </c>
      <c r="F254" s="7" t="s">
        <v>860</v>
      </c>
      <c r="G254" s="7" t="s">
        <v>13</v>
      </c>
      <c r="H254" s="8">
        <v>18</v>
      </c>
      <c r="I254" s="7" t="s">
        <v>1020</v>
      </c>
      <c r="J254" s="7" t="s">
        <v>16</v>
      </c>
      <c r="K254" s="8">
        <v>4</v>
      </c>
      <c r="L254" s="7" t="s">
        <v>1025</v>
      </c>
      <c r="M254" s="10">
        <v>300</v>
      </c>
      <c r="N254" s="10">
        <v>1200</v>
      </c>
    </row>
    <row r="255" spans="1:14" x14ac:dyDescent="0.2">
      <c r="A255" s="8">
        <v>254</v>
      </c>
      <c r="B255" s="5">
        <v>45025</v>
      </c>
      <c r="C255" s="7" t="s">
        <v>1043</v>
      </c>
      <c r="D255" s="8">
        <v>4</v>
      </c>
      <c r="E255" s="8">
        <v>2023</v>
      </c>
      <c r="F255" s="7" t="s">
        <v>74</v>
      </c>
      <c r="G255" s="7" t="s">
        <v>10</v>
      </c>
      <c r="H255" s="8">
        <v>21</v>
      </c>
      <c r="I255" s="7" t="s">
        <v>1021</v>
      </c>
      <c r="J255" s="7" t="s">
        <v>11</v>
      </c>
      <c r="K255" s="8">
        <v>4</v>
      </c>
      <c r="L255" s="7" t="s">
        <v>1025</v>
      </c>
      <c r="M255" s="10">
        <v>50</v>
      </c>
      <c r="N255" s="10">
        <v>200</v>
      </c>
    </row>
    <row r="256" spans="1:14" x14ac:dyDescent="0.2">
      <c r="A256" s="8">
        <v>255</v>
      </c>
      <c r="B256" s="5">
        <v>45025</v>
      </c>
      <c r="C256" s="7" t="s">
        <v>1043</v>
      </c>
      <c r="D256" s="8">
        <v>4</v>
      </c>
      <c r="E256" s="8">
        <v>2023</v>
      </c>
      <c r="F256" s="7" t="s">
        <v>287</v>
      </c>
      <c r="G256" s="7" t="s">
        <v>13</v>
      </c>
      <c r="H256" s="8">
        <v>23</v>
      </c>
      <c r="I256" s="7" t="s">
        <v>1021</v>
      </c>
      <c r="J256" s="7" t="s">
        <v>14</v>
      </c>
      <c r="K256" s="8">
        <v>2</v>
      </c>
      <c r="L256" s="7" t="s">
        <v>1024</v>
      </c>
      <c r="M256" s="10">
        <v>500</v>
      </c>
      <c r="N256" s="10">
        <v>1000</v>
      </c>
    </row>
    <row r="257" spans="1:14" x14ac:dyDescent="0.2">
      <c r="A257" s="8">
        <v>256</v>
      </c>
      <c r="B257" s="5">
        <v>45025</v>
      </c>
      <c r="C257" s="7" t="s">
        <v>1043</v>
      </c>
      <c r="D257" s="8">
        <v>4</v>
      </c>
      <c r="E257" s="8">
        <v>2023</v>
      </c>
      <c r="F257" s="7" t="s">
        <v>499</v>
      </c>
      <c r="G257" s="7" t="s">
        <v>13</v>
      </c>
      <c r="H257" s="8">
        <v>35</v>
      </c>
      <c r="I257" s="7" t="s">
        <v>1017</v>
      </c>
      <c r="J257" s="7" t="s">
        <v>16</v>
      </c>
      <c r="K257" s="8">
        <v>1</v>
      </c>
      <c r="L257" s="7" t="s">
        <v>1023</v>
      </c>
      <c r="M257" s="10">
        <v>25</v>
      </c>
      <c r="N257" s="10">
        <v>25</v>
      </c>
    </row>
    <row r="258" spans="1:14" x14ac:dyDescent="0.2">
      <c r="A258" s="8">
        <v>257</v>
      </c>
      <c r="B258" s="5">
        <v>45025</v>
      </c>
      <c r="C258" s="7" t="s">
        <v>1043</v>
      </c>
      <c r="D258" s="8">
        <v>4</v>
      </c>
      <c r="E258" s="8">
        <v>2023</v>
      </c>
      <c r="F258" s="7" t="s">
        <v>561</v>
      </c>
      <c r="G258" s="7" t="s">
        <v>13</v>
      </c>
      <c r="H258" s="8">
        <v>51</v>
      </c>
      <c r="I258" s="7" t="s">
        <v>1019</v>
      </c>
      <c r="J258" s="7" t="s">
        <v>14</v>
      </c>
      <c r="K258" s="8">
        <v>2</v>
      </c>
      <c r="L258" s="7" t="s">
        <v>1024</v>
      </c>
      <c r="M258" s="10">
        <v>30</v>
      </c>
      <c r="N258" s="10">
        <v>60</v>
      </c>
    </row>
    <row r="259" spans="1:14" x14ac:dyDescent="0.2">
      <c r="A259" s="8">
        <v>258</v>
      </c>
      <c r="B259" s="5">
        <v>45025</v>
      </c>
      <c r="C259" s="7" t="s">
        <v>1043</v>
      </c>
      <c r="D259" s="8">
        <v>4</v>
      </c>
      <c r="E259" s="8">
        <v>2023</v>
      </c>
      <c r="F259" s="7" t="s">
        <v>899</v>
      </c>
      <c r="G259" s="7" t="s">
        <v>10</v>
      </c>
      <c r="H259" s="8">
        <v>37</v>
      </c>
      <c r="I259" s="7" t="s">
        <v>1017</v>
      </c>
      <c r="J259" s="7" t="s">
        <v>16</v>
      </c>
      <c r="K259" s="8">
        <v>3</v>
      </c>
      <c r="L259" s="7" t="s">
        <v>1022</v>
      </c>
      <c r="M259" s="10">
        <v>300</v>
      </c>
      <c r="N259" s="10">
        <v>900</v>
      </c>
    </row>
    <row r="260" spans="1:14" x14ac:dyDescent="0.2">
      <c r="A260" s="8">
        <v>259</v>
      </c>
      <c r="B260" s="5">
        <v>45025</v>
      </c>
      <c r="C260" s="7" t="s">
        <v>1043</v>
      </c>
      <c r="D260" s="8">
        <v>4</v>
      </c>
      <c r="E260" s="8">
        <v>2023</v>
      </c>
      <c r="F260" s="7" t="s">
        <v>905</v>
      </c>
      <c r="G260" s="7" t="s">
        <v>10</v>
      </c>
      <c r="H260" s="8">
        <v>20</v>
      </c>
      <c r="I260" s="7" t="s">
        <v>1021</v>
      </c>
      <c r="J260" s="7" t="s">
        <v>16</v>
      </c>
      <c r="K260" s="8">
        <v>1</v>
      </c>
      <c r="L260" s="7" t="s">
        <v>1023</v>
      </c>
      <c r="M260" s="10">
        <v>50</v>
      </c>
      <c r="N260" s="10">
        <v>50</v>
      </c>
    </row>
    <row r="261" spans="1:14" x14ac:dyDescent="0.2">
      <c r="A261" s="8">
        <v>260</v>
      </c>
      <c r="B261" s="5">
        <v>45026</v>
      </c>
      <c r="C261" s="7" t="s">
        <v>1043</v>
      </c>
      <c r="D261" s="8">
        <v>4</v>
      </c>
      <c r="E261" s="8">
        <v>2023</v>
      </c>
      <c r="F261" s="7" t="s">
        <v>614</v>
      </c>
      <c r="G261" s="7" t="s">
        <v>10</v>
      </c>
      <c r="H261" s="8">
        <v>19</v>
      </c>
      <c r="I261" s="7" t="s">
        <v>1021</v>
      </c>
      <c r="J261" s="7" t="s">
        <v>14</v>
      </c>
      <c r="K261" s="8">
        <v>1</v>
      </c>
      <c r="L261" s="7" t="s">
        <v>1023</v>
      </c>
      <c r="M261" s="10">
        <v>30</v>
      </c>
      <c r="N261" s="10">
        <v>30</v>
      </c>
    </row>
    <row r="262" spans="1:14" x14ac:dyDescent="0.2">
      <c r="A262" s="8">
        <v>261</v>
      </c>
      <c r="B262" s="5">
        <v>45026</v>
      </c>
      <c r="C262" s="7" t="s">
        <v>1043</v>
      </c>
      <c r="D262" s="8">
        <v>4</v>
      </c>
      <c r="E262" s="8">
        <v>2023</v>
      </c>
      <c r="F262" s="7" t="s">
        <v>914</v>
      </c>
      <c r="G262" s="7" t="s">
        <v>10</v>
      </c>
      <c r="H262" s="8">
        <v>31</v>
      </c>
      <c r="I262" s="7" t="s">
        <v>1021</v>
      </c>
      <c r="J262" s="7" t="s">
        <v>16</v>
      </c>
      <c r="K262" s="8">
        <v>1</v>
      </c>
      <c r="L262" s="7" t="s">
        <v>1023</v>
      </c>
      <c r="M262" s="10">
        <v>30</v>
      </c>
      <c r="N262" s="10">
        <v>30</v>
      </c>
    </row>
    <row r="263" spans="1:14" x14ac:dyDescent="0.2">
      <c r="A263" s="8">
        <v>262</v>
      </c>
      <c r="B263" s="5">
        <v>45027</v>
      </c>
      <c r="C263" s="7" t="s">
        <v>1043</v>
      </c>
      <c r="D263" s="8">
        <v>4</v>
      </c>
      <c r="E263" s="8">
        <v>2023</v>
      </c>
      <c r="F263" s="7" t="s">
        <v>540</v>
      </c>
      <c r="G263" s="7" t="s">
        <v>10</v>
      </c>
      <c r="H263" s="8">
        <v>57</v>
      </c>
      <c r="I263" s="7" t="s">
        <v>1018</v>
      </c>
      <c r="J263" s="7" t="s">
        <v>14</v>
      </c>
      <c r="K263" s="8">
        <v>2</v>
      </c>
      <c r="L263" s="7" t="s">
        <v>1024</v>
      </c>
      <c r="M263" s="10">
        <v>25</v>
      </c>
      <c r="N263" s="10">
        <v>50</v>
      </c>
    </row>
    <row r="264" spans="1:14" x14ac:dyDescent="0.2">
      <c r="A264" s="8">
        <v>263</v>
      </c>
      <c r="B264" s="5">
        <v>45028</v>
      </c>
      <c r="C264" s="7" t="s">
        <v>1043</v>
      </c>
      <c r="D264" s="8">
        <v>4</v>
      </c>
      <c r="E264" s="8">
        <v>2023</v>
      </c>
      <c r="F264" s="7" t="s">
        <v>36</v>
      </c>
      <c r="G264" s="7" t="s">
        <v>13</v>
      </c>
      <c r="H264" s="8">
        <v>35</v>
      </c>
      <c r="I264" s="7" t="s">
        <v>1017</v>
      </c>
      <c r="J264" s="7" t="s">
        <v>14</v>
      </c>
      <c r="K264" s="8">
        <v>4</v>
      </c>
      <c r="L264" s="7" t="s">
        <v>1025</v>
      </c>
      <c r="M264" s="10">
        <v>30</v>
      </c>
      <c r="N264" s="10">
        <v>120</v>
      </c>
    </row>
    <row r="265" spans="1:14" x14ac:dyDescent="0.2">
      <c r="A265" s="8">
        <v>264</v>
      </c>
      <c r="B265" s="5">
        <v>45028</v>
      </c>
      <c r="C265" s="7" t="s">
        <v>1043</v>
      </c>
      <c r="D265" s="8">
        <v>4</v>
      </c>
      <c r="E265" s="8">
        <v>2023</v>
      </c>
      <c r="F265" s="7" t="s">
        <v>187</v>
      </c>
      <c r="G265" s="7" t="s">
        <v>13</v>
      </c>
      <c r="H265" s="8">
        <v>39</v>
      </c>
      <c r="I265" s="7" t="s">
        <v>1017</v>
      </c>
      <c r="J265" s="7" t="s">
        <v>11</v>
      </c>
      <c r="K265" s="8">
        <v>1</v>
      </c>
      <c r="L265" s="7" t="s">
        <v>1023</v>
      </c>
      <c r="M265" s="10">
        <v>300</v>
      </c>
      <c r="N265" s="10">
        <v>300</v>
      </c>
    </row>
    <row r="266" spans="1:14" x14ac:dyDescent="0.2">
      <c r="A266" s="8">
        <v>265</v>
      </c>
      <c r="B266" s="5">
        <v>45028</v>
      </c>
      <c r="C266" s="7" t="s">
        <v>1043</v>
      </c>
      <c r="D266" s="8">
        <v>4</v>
      </c>
      <c r="E266" s="8">
        <v>2023</v>
      </c>
      <c r="F266" s="7" t="s">
        <v>602</v>
      </c>
      <c r="G266" s="7" t="s">
        <v>13</v>
      </c>
      <c r="H266" s="8">
        <v>36</v>
      </c>
      <c r="I266" s="7" t="s">
        <v>1017</v>
      </c>
      <c r="J266" s="7" t="s">
        <v>11</v>
      </c>
      <c r="K266" s="8">
        <v>2</v>
      </c>
      <c r="L266" s="7" t="s">
        <v>1024</v>
      </c>
      <c r="M266" s="10">
        <v>500</v>
      </c>
      <c r="N266" s="10">
        <v>1000</v>
      </c>
    </row>
    <row r="267" spans="1:14" x14ac:dyDescent="0.2">
      <c r="A267" s="8">
        <v>266</v>
      </c>
      <c r="B267" s="5">
        <v>45028</v>
      </c>
      <c r="C267" s="7" t="s">
        <v>1043</v>
      </c>
      <c r="D267" s="8">
        <v>4</v>
      </c>
      <c r="E267" s="8">
        <v>2023</v>
      </c>
      <c r="F267" s="7" t="s">
        <v>787</v>
      </c>
      <c r="G267" s="7" t="s">
        <v>13</v>
      </c>
      <c r="H267" s="8">
        <v>40</v>
      </c>
      <c r="I267" s="7" t="s">
        <v>1017</v>
      </c>
      <c r="J267" s="7" t="s">
        <v>14</v>
      </c>
      <c r="K267" s="8">
        <v>2</v>
      </c>
      <c r="L267" s="7" t="s">
        <v>1024</v>
      </c>
      <c r="M267" s="10">
        <v>25</v>
      </c>
      <c r="N267" s="10">
        <v>50</v>
      </c>
    </row>
    <row r="268" spans="1:14" x14ac:dyDescent="0.2">
      <c r="A268" s="8">
        <v>267</v>
      </c>
      <c r="B268" s="5">
        <v>45028</v>
      </c>
      <c r="C268" s="7" t="s">
        <v>1043</v>
      </c>
      <c r="D268" s="8">
        <v>4</v>
      </c>
      <c r="E268" s="8">
        <v>2023</v>
      </c>
      <c r="F268" s="7" t="s">
        <v>1013</v>
      </c>
      <c r="G268" s="7" t="s">
        <v>10</v>
      </c>
      <c r="H268" s="8">
        <v>47</v>
      </c>
      <c r="I268" s="7" t="s">
        <v>1019</v>
      </c>
      <c r="J268" s="7" t="s">
        <v>16</v>
      </c>
      <c r="K268" s="8">
        <v>4</v>
      </c>
      <c r="L268" s="7" t="s">
        <v>1025</v>
      </c>
      <c r="M268" s="10">
        <v>30</v>
      </c>
      <c r="N268" s="10">
        <v>120</v>
      </c>
    </row>
    <row r="269" spans="1:14" x14ac:dyDescent="0.2">
      <c r="A269" s="8">
        <v>268</v>
      </c>
      <c r="B269" s="5">
        <v>45029</v>
      </c>
      <c r="C269" s="7" t="s">
        <v>1043</v>
      </c>
      <c r="D269" s="8">
        <v>4</v>
      </c>
      <c r="E269" s="8">
        <v>2023</v>
      </c>
      <c r="F269" s="7" t="s">
        <v>223</v>
      </c>
      <c r="G269" s="7" t="s">
        <v>10</v>
      </c>
      <c r="H269" s="8">
        <v>37</v>
      </c>
      <c r="I269" s="7" t="s">
        <v>1017</v>
      </c>
      <c r="J269" s="7" t="s">
        <v>16</v>
      </c>
      <c r="K269" s="8">
        <v>4</v>
      </c>
      <c r="L269" s="7" t="s">
        <v>1025</v>
      </c>
      <c r="M269" s="10">
        <v>50</v>
      </c>
      <c r="N269" s="10">
        <v>200</v>
      </c>
    </row>
    <row r="270" spans="1:14" x14ac:dyDescent="0.2">
      <c r="A270" s="8">
        <v>269</v>
      </c>
      <c r="B270" s="5">
        <v>45029</v>
      </c>
      <c r="C270" s="7" t="s">
        <v>1043</v>
      </c>
      <c r="D270" s="8">
        <v>4</v>
      </c>
      <c r="E270" s="8">
        <v>2023</v>
      </c>
      <c r="F270" s="7" t="s">
        <v>491</v>
      </c>
      <c r="G270" s="7" t="s">
        <v>13</v>
      </c>
      <c r="H270" s="8">
        <v>58</v>
      </c>
      <c r="I270" s="7" t="s">
        <v>1018</v>
      </c>
      <c r="J270" s="7" t="s">
        <v>14</v>
      </c>
      <c r="K270" s="8">
        <v>2</v>
      </c>
      <c r="L270" s="7" t="s">
        <v>1024</v>
      </c>
      <c r="M270" s="10">
        <v>30</v>
      </c>
      <c r="N270" s="10">
        <v>60</v>
      </c>
    </row>
    <row r="271" spans="1:14" x14ac:dyDescent="0.2">
      <c r="A271" s="8">
        <v>270</v>
      </c>
      <c r="B271" s="5">
        <v>45029</v>
      </c>
      <c r="C271" s="7" t="s">
        <v>1043</v>
      </c>
      <c r="D271" s="8">
        <v>4</v>
      </c>
      <c r="E271" s="8">
        <v>2023</v>
      </c>
      <c r="F271" s="7" t="s">
        <v>758</v>
      </c>
      <c r="G271" s="7" t="s">
        <v>10</v>
      </c>
      <c r="H271" s="8">
        <v>54</v>
      </c>
      <c r="I271" s="7" t="s">
        <v>1019</v>
      </c>
      <c r="J271" s="7" t="s">
        <v>11</v>
      </c>
      <c r="K271" s="8">
        <v>2</v>
      </c>
      <c r="L271" s="7" t="s">
        <v>1024</v>
      </c>
      <c r="M271" s="10">
        <v>50</v>
      </c>
      <c r="N271" s="10">
        <v>100</v>
      </c>
    </row>
    <row r="272" spans="1:14" x14ac:dyDescent="0.2">
      <c r="A272" s="8">
        <v>271</v>
      </c>
      <c r="B272" s="5">
        <v>45031</v>
      </c>
      <c r="C272" s="7" t="s">
        <v>1043</v>
      </c>
      <c r="D272" s="8">
        <v>4</v>
      </c>
      <c r="E272" s="8">
        <v>2023</v>
      </c>
      <c r="F272" s="7" t="s">
        <v>367</v>
      </c>
      <c r="G272" s="7" t="s">
        <v>13</v>
      </c>
      <c r="H272" s="8">
        <v>49</v>
      </c>
      <c r="I272" s="7" t="s">
        <v>1019</v>
      </c>
      <c r="J272" s="7" t="s">
        <v>11</v>
      </c>
      <c r="K272" s="8">
        <v>4</v>
      </c>
      <c r="L272" s="7" t="s">
        <v>1025</v>
      </c>
      <c r="M272" s="10">
        <v>50</v>
      </c>
      <c r="N272" s="10">
        <v>200</v>
      </c>
    </row>
    <row r="273" spans="1:14" x14ac:dyDescent="0.2">
      <c r="A273" s="8">
        <v>272</v>
      </c>
      <c r="B273" s="5">
        <v>45031</v>
      </c>
      <c r="C273" s="7" t="s">
        <v>1043</v>
      </c>
      <c r="D273" s="8">
        <v>4</v>
      </c>
      <c r="E273" s="8">
        <v>2023</v>
      </c>
      <c r="F273" s="7" t="s">
        <v>421</v>
      </c>
      <c r="G273" s="7" t="s">
        <v>13</v>
      </c>
      <c r="H273" s="8">
        <v>64</v>
      </c>
      <c r="I273" s="7" t="s">
        <v>1018</v>
      </c>
      <c r="J273" s="7" t="s">
        <v>11</v>
      </c>
      <c r="K273" s="8">
        <v>1</v>
      </c>
      <c r="L273" s="7" t="s">
        <v>1023</v>
      </c>
      <c r="M273" s="10">
        <v>500</v>
      </c>
      <c r="N273" s="10">
        <v>500</v>
      </c>
    </row>
    <row r="274" spans="1:14" x14ac:dyDescent="0.2">
      <c r="A274" s="8">
        <v>273</v>
      </c>
      <c r="B274" s="5">
        <v>45032</v>
      </c>
      <c r="C274" s="7" t="s">
        <v>1043</v>
      </c>
      <c r="D274" s="8">
        <v>4</v>
      </c>
      <c r="E274" s="8">
        <v>2023</v>
      </c>
      <c r="F274" s="7" t="s">
        <v>687</v>
      </c>
      <c r="G274" s="7" t="s">
        <v>13</v>
      </c>
      <c r="H274" s="8">
        <v>38</v>
      </c>
      <c r="I274" s="7" t="s">
        <v>1017</v>
      </c>
      <c r="J274" s="7" t="s">
        <v>14</v>
      </c>
      <c r="K274" s="8">
        <v>1</v>
      </c>
      <c r="L274" s="7" t="s">
        <v>1023</v>
      </c>
      <c r="M274" s="10">
        <v>300</v>
      </c>
      <c r="N274" s="10">
        <v>300</v>
      </c>
    </row>
    <row r="275" spans="1:14" x14ac:dyDescent="0.2">
      <c r="A275" s="8">
        <v>274</v>
      </c>
      <c r="B275" s="5">
        <v>45033</v>
      </c>
      <c r="C275" s="7" t="s">
        <v>1043</v>
      </c>
      <c r="D275" s="8">
        <v>4</v>
      </c>
      <c r="E275" s="8">
        <v>2023</v>
      </c>
      <c r="F275" s="7" t="s">
        <v>980</v>
      </c>
      <c r="G275" s="7" t="s">
        <v>10</v>
      </c>
      <c r="H275" s="8">
        <v>62</v>
      </c>
      <c r="I275" s="7" t="s">
        <v>1018</v>
      </c>
      <c r="J275" s="7" t="s">
        <v>11</v>
      </c>
      <c r="K275" s="8">
        <v>1</v>
      </c>
      <c r="L275" s="7" t="s">
        <v>1023</v>
      </c>
      <c r="M275" s="10">
        <v>25</v>
      </c>
      <c r="N275" s="10">
        <v>25</v>
      </c>
    </row>
    <row r="276" spans="1:14" x14ac:dyDescent="0.2">
      <c r="A276" s="8">
        <v>275</v>
      </c>
      <c r="B276" s="5">
        <v>45034</v>
      </c>
      <c r="C276" s="7" t="s">
        <v>1043</v>
      </c>
      <c r="D276" s="8">
        <v>4</v>
      </c>
      <c r="E276" s="8">
        <v>2023</v>
      </c>
      <c r="F276" s="7" t="s">
        <v>92</v>
      </c>
      <c r="G276" s="7" t="s">
        <v>10</v>
      </c>
      <c r="H276" s="8">
        <v>34</v>
      </c>
      <c r="I276" s="7" t="s">
        <v>1021</v>
      </c>
      <c r="J276" s="7" t="s">
        <v>11</v>
      </c>
      <c r="K276" s="8">
        <v>1</v>
      </c>
      <c r="L276" s="7" t="s">
        <v>1023</v>
      </c>
      <c r="M276" s="10">
        <v>300</v>
      </c>
      <c r="N276" s="10">
        <v>300</v>
      </c>
    </row>
    <row r="277" spans="1:14" x14ac:dyDescent="0.2">
      <c r="A277" s="8">
        <v>276</v>
      </c>
      <c r="B277" s="5">
        <v>45034</v>
      </c>
      <c r="C277" s="7" t="s">
        <v>1043</v>
      </c>
      <c r="D277" s="8">
        <v>4</v>
      </c>
      <c r="E277" s="8">
        <v>2023</v>
      </c>
      <c r="F277" s="7" t="s">
        <v>419</v>
      </c>
      <c r="G277" s="7" t="s">
        <v>13</v>
      </c>
      <c r="H277" s="8">
        <v>22</v>
      </c>
      <c r="I277" s="7" t="s">
        <v>1021</v>
      </c>
      <c r="J277" s="7" t="s">
        <v>11</v>
      </c>
      <c r="K277" s="8">
        <v>4</v>
      </c>
      <c r="L277" s="7" t="s">
        <v>1025</v>
      </c>
      <c r="M277" s="10">
        <v>25</v>
      </c>
      <c r="N277" s="10">
        <v>100</v>
      </c>
    </row>
    <row r="278" spans="1:14" x14ac:dyDescent="0.2">
      <c r="A278" s="8">
        <v>277</v>
      </c>
      <c r="B278" s="5">
        <v>45034</v>
      </c>
      <c r="C278" s="7" t="s">
        <v>1043</v>
      </c>
      <c r="D278" s="8">
        <v>4</v>
      </c>
      <c r="E278" s="8">
        <v>2023</v>
      </c>
      <c r="F278" s="7" t="s">
        <v>463</v>
      </c>
      <c r="G278" s="7" t="s">
        <v>13</v>
      </c>
      <c r="H278" s="8">
        <v>59</v>
      </c>
      <c r="I278" s="7" t="s">
        <v>1018</v>
      </c>
      <c r="J278" s="7" t="s">
        <v>11</v>
      </c>
      <c r="K278" s="8">
        <v>2</v>
      </c>
      <c r="L278" s="7" t="s">
        <v>1024</v>
      </c>
      <c r="M278" s="10">
        <v>25</v>
      </c>
      <c r="N278" s="10">
        <v>50</v>
      </c>
    </row>
    <row r="279" spans="1:14" x14ac:dyDescent="0.2">
      <c r="A279" s="8">
        <v>278</v>
      </c>
      <c r="B279" s="5">
        <v>45034</v>
      </c>
      <c r="C279" s="7" t="s">
        <v>1043</v>
      </c>
      <c r="D279" s="8">
        <v>4</v>
      </c>
      <c r="E279" s="8">
        <v>2023</v>
      </c>
      <c r="F279" s="7" t="s">
        <v>575</v>
      </c>
      <c r="G279" s="7" t="s">
        <v>10</v>
      </c>
      <c r="H279" s="8">
        <v>54</v>
      </c>
      <c r="I279" s="7" t="s">
        <v>1019</v>
      </c>
      <c r="J279" s="7" t="s">
        <v>16</v>
      </c>
      <c r="K279" s="8">
        <v>2</v>
      </c>
      <c r="L279" s="7" t="s">
        <v>1024</v>
      </c>
      <c r="M279" s="10">
        <v>25</v>
      </c>
      <c r="N279" s="10">
        <v>50</v>
      </c>
    </row>
    <row r="280" spans="1:14" x14ac:dyDescent="0.2">
      <c r="A280" s="8">
        <v>279</v>
      </c>
      <c r="B280" s="5">
        <v>45035</v>
      </c>
      <c r="C280" s="7" t="s">
        <v>1043</v>
      </c>
      <c r="D280" s="8">
        <v>4</v>
      </c>
      <c r="E280" s="8">
        <v>2023</v>
      </c>
      <c r="F280" s="7" t="s">
        <v>121</v>
      </c>
      <c r="G280" s="7" t="s">
        <v>13</v>
      </c>
      <c r="H280" s="8">
        <v>27</v>
      </c>
      <c r="I280" s="7" t="s">
        <v>1021</v>
      </c>
      <c r="J280" s="7" t="s">
        <v>11</v>
      </c>
      <c r="K280" s="8">
        <v>3</v>
      </c>
      <c r="L280" s="7" t="s">
        <v>1022</v>
      </c>
      <c r="M280" s="10">
        <v>25</v>
      </c>
      <c r="N280" s="10">
        <v>75</v>
      </c>
    </row>
    <row r="281" spans="1:14" x14ac:dyDescent="0.2">
      <c r="A281" s="8">
        <v>280</v>
      </c>
      <c r="B281" s="5">
        <v>45035</v>
      </c>
      <c r="C281" s="7" t="s">
        <v>1043</v>
      </c>
      <c r="D281" s="8">
        <v>4</v>
      </c>
      <c r="E281" s="8">
        <v>2023</v>
      </c>
      <c r="F281" s="7" t="s">
        <v>124</v>
      </c>
      <c r="G281" s="7" t="s">
        <v>13</v>
      </c>
      <c r="H281" s="8">
        <v>34</v>
      </c>
      <c r="I281" s="7" t="s">
        <v>1021</v>
      </c>
      <c r="J281" s="7" t="s">
        <v>16</v>
      </c>
      <c r="K281" s="8">
        <v>3</v>
      </c>
      <c r="L281" s="7" t="s">
        <v>1022</v>
      </c>
      <c r="M281" s="10">
        <v>500</v>
      </c>
      <c r="N281" s="10">
        <v>1500</v>
      </c>
    </row>
    <row r="282" spans="1:14" x14ac:dyDescent="0.2">
      <c r="A282" s="8">
        <v>281</v>
      </c>
      <c r="B282" s="5">
        <v>45035</v>
      </c>
      <c r="C282" s="7" t="s">
        <v>1043</v>
      </c>
      <c r="D282" s="8">
        <v>4</v>
      </c>
      <c r="E282" s="8">
        <v>2023</v>
      </c>
      <c r="F282" s="7" t="s">
        <v>220</v>
      </c>
      <c r="G282" s="7" t="s">
        <v>13</v>
      </c>
      <c r="H282" s="8">
        <v>42</v>
      </c>
      <c r="I282" s="7" t="s">
        <v>1017</v>
      </c>
      <c r="J282" s="7" t="s">
        <v>11</v>
      </c>
      <c r="K282" s="8">
        <v>2</v>
      </c>
      <c r="L282" s="7" t="s">
        <v>1024</v>
      </c>
      <c r="M282" s="10">
        <v>25</v>
      </c>
      <c r="N282" s="10">
        <v>50</v>
      </c>
    </row>
    <row r="283" spans="1:14" x14ac:dyDescent="0.2">
      <c r="A283" s="8">
        <v>282</v>
      </c>
      <c r="B283" s="5">
        <v>45035</v>
      </c>
      <c r="C283" s="7" t="s">
        <v>1043</v>
      </c>
      <c r="D283" s="8">
        <v>4</v>
      </c>
      <c r="E283" s="8">
        <v>2023</v>
      </c>
      <c r="F283" s="7" t="s">
        <v>737</v>
      </c>
      <c r="G283" s="7" t="s">
        <v>10</v>
      </c>
      <c r="H283" s="8">
        <v>61</v>
      </c>
      <c r="I283" s="7" t="s">
        <v>1018</v>
      </c>
      <c r="J283" s="7" t="s">
        <v>14</v>
      </c>
      <c r="K283" s="8">
        <v>3</v>
      </c>
      <c r="L283" s="7" t="s">
        <v>1022</v>
      </c>
      <c r="M283" s="10">
        <v>50</v>
      </c>
      <c r="N283" s="10">
        <v>150</v>
      </c>
    </row>
    <row r="284" spans="1:14" x14ac:dyDescent="0.2">
      <c r="A284" s="8">
        <v>283</v>
      </c>
      <c r="B284" s="5">
        <v>45035</v>
      </c>
      <c r="C284" s="7" t="s">
        <v>1043</v>
      </c>
      <c r="D284" s="8">
        <v>4</v>
      </c>
      <c r="E284" s="8">
        <v>2023</v>
      </c>
      <c r="F284" s="7" t="s">
        <v>849</v>
      </c>
      <c r="G284" s="7" t="s">
        <v>13</v>
      </c>
      <c r="H284" s="8">
        <v>22</v>
      </c>
      <c r="I284" s="7" t="s">
        <v>1021</v>
      </c>
      <c r="J284" s="7" t="s">
        <v>14</v>
      </c>
      <c r="K284" s="8">
        <v>1</v>
      </c>
      <c r="L284" s="7" t="s">
        <v>1023</v>
      </c>
      <c r="M284" s="10">
        <v>50</v>
      </c>
      <c r="N284" s="10">
        <v>50</v>
      </c>
    </row>
    <row r="285" spans="1:14" x14ac:dyDescent="0.2">
      <c r="A285" s="8">
        <v>284</v>
      </c>
      <c r="B285" s="5">
        <v>45035</v>
      </c>
      <c r="C285" s="7" t="s">
        <v>1043</v>
      </c>
      <c r="D285" s="8">
        <v>4</v>
      </c>
      <c r="E285" s="8">
        <v>2023</v>
      </c>
      <c r="F285" s="7" t="s">
        <v>982</v>
      </c>
      <c r="G285" s="7" t="s">
        <v>13</v>
      </c>
      <c r="H285" s="8">
        <v>40</v>
      </c>
      <c r="I285" s="7" t="s">
        <v>1017</v>
      </c>
      <c r="J285" s="7" t="s">
        <v>14</v>
      </c>
      <c r="K285" s="8">
        <v>3</v>
      </c>
      <c r="L285" s="7" t="s">
        <v>1022</v>
      </c>
      <c r="M285" s="10">
        <v>300</v>
      </c>
      <c r="N285" s="10">
        <v>900</v>
      </c>
    </row>
    <row r="286" spans="1:14" x14ac:dyDescent="0.2">
      <c r="A286" s="8">
        <v>285</v>
      </c>
      <c r="B286" s="5">
        <v>45036</v>
      </c>
      <c r="C286" s="7" t="s">
        <v>1043</v>
      </c>
      <c r="D286" s="8">
        <v>4</v>
      </c>
      <c r="E286" s="8">
        <v>2023</v>
      </c>
      <c r="F286" s="7" t="s">
        <v>259</v>
      </c>
      <c r="G286" s="7" t="s">
        <v>13</v>
      </c>
      <c r="H286" s="8">
        <v>48</v>
      </c>
      <c r="I286" s="7" t="s">
        <v>1019</v>
      </c>
      <c r="J286" s="7" t="s">
        <v>16</v>
      </c>
      <c r="K286" s="8">
        <v>2</v>
      </c>
      <c r="L286" s="7" t="s">
        <v>1024</v>
      </c>
      <c r="M286" s="10">
        <v>25</v>
      </c>
      <c r="N286" s="10">
        <v>50</v>
      </c>
    </row>
    <row r="287" spans="1:14" x14ac:dyDescent="0.2">
      <c r="A287" s="8">
        <v>286</v>
      </c>
      <c r="B287" s="5">
        <v>45036</v>
      </c>
      <c r="C287" s="7" t="s">
        <v>1043</v>
      </c>
      <c r="D287" s="8">
        <v>4</v>
      </c>
      <c r="E287" s="8">
        <v>2023</v>
      </c>
      <c r="F287" s="7" t="s">
        <v>311</v>
      </c>
      <c r="G287" s="7" t="s">
        <v>10</v>
      </c>
      <c r="H287" s="8">
        <v>27</v>
      </c>
      <c r="I287" s="7" t="s">
        <v>1021</v>
      </c>
      <c r="J287" s="7" t="s">
        <v>11</v>
      </c>
      <c r="K287" s="8">
        <v>4</v>
      </c>
      <c r="L287" s="7" t="s">
        <v>1025</v>
      </c>
      <c r="M287" s="10">
        <v>300</v>
      </c>
      <c r="N287" s="10">
        <v>1200</v>
      </c>
    </row>
    <row r="288" spans="1:14" x14ac:dyDescent="0.2">
      <c r="A288" s="8">
        <v>287</v>
      </c>
      <c r="B288" s="5">
        <v>45036</v>
      </c>
      <c r="C288" s="7" t="s">
        <v>1043</v>
      </c>
      <c r="D288" s="8">
        <v>4</v>
      </c>
      <c r="E288" s="8">
        <v>2023</v>
      </c>
      <c r="F288" s="7" t="s">
        <v>387</v>
      </c>
      <c r="G288" s="7" t="s">
        <v>13</v>
      </c>
      <c r="H288" s="8">
        <v>59</v>
      </c>
      <c r="I288" s="7" t="s">
        <v>1018</v>
      </c>
      <c r="J288" s="7" t="s">
        <v>11</v>
      </c>
      <c r="K288" s="8">
        <v>3</v>
      </c>
      <c r="L288" s="7" t="s">
        <v>1022</v>
      </c>
      <c r="M288" s="10">
        <v>25</v>
      </c>
      <c r="N288" s="10">
        <v>75</v>
      </c>
    </row>
    <row r="289" spans="1:14" x14ac:dyDescent="0.2">
      <c r="A289" s="8">
        <v>288</v>
      </c>
      <c r="B289" s="5">
        <v>45036</v>
      </c>
      <c r="C289" s="7" t="s">
        <v>1043</v>
      </c>
      <c r="D289" s="8">
        <v>4</v>
      </c>
      <c r="E289" s="8">
        <v>2023</v>
      </c>
      <c r="F289" s="7" t="s">
        <v>585</v>
      </c>
      <c r="G289" s="7" t="s">
        <v>10</v>
      </c>
      <c r="H289" s="8">
        <v>31</v>
      </c>
      <c r="I289" s="7" t="s">
        <v>1021</v>
      </c>
      <c r="J289" s="7" t="s">
        <v>14</v>
      </c>
      <c r="K289" s="8">
        <v>4</v>
      </c>
      <c r="L289" s="7" t="s">
        <v>1025</v>
      </c>
      <c r="M289" s="10">
        <v>500</v>
      </c>
      <c r="N289" s="10">
        <v>2000</v>
      </c>
    </row>
    <row r="290" spans="1:14" x14ac:dyDescent="0.2">
      <c r="A290" s="8">
        <v>289</v>
      </c>
      <c r="B290" s="5">
        <v>45036</v>
      </c>
      <c r="C290" s="7" t="s">
        <v>1043</v>
      </c>
      <c r="D290" s="8">
        <v>4</v>
      </c>
      <c r="E290" s="8">
        <v>2023</v>
      </c>
      <c r="F290" s="7" t="s">
        <v>678</v>
      </c>
      <c r="G290" s="7" t="s">
        <v>10</v>
      </c>
      <c r="H290" s="8">
        <v>57</v>
      </c>
      <c r="I290" s="7" t="s">
        <v>1018</v>
      </c>
      <c r="J290" s="7" t="s">
        <v>14</v>
      </c>
      <c r="K290" s="8">
        <v>1</v>
      </c>
      <c r="L290" s="7" t="s">
        <v>1023</v>
      </c>
      <c r="M290" s="10">
        <v>50</v>
      </c>
      <c r="N290" s="10">
        <v>50</v>
      </c>
    </row>
    <row r="291" spans="1:14" x14ac:dyDescent="0.2">
      <c r="A291" s="8">
        <v>290</v>
      </c>
      <c r="B291" s="5">
        <v>45037</v>
      </c>
      <c r="C291" s="7" t="s">
        <v>1043</v>
      </c>
      <c r="D291" s="8">
        <v>4</v>
      </c>
      <c r="E291" s="8">
        <v>2023</v>
      </c>
      <c r="F291" s="7" t="s">
        <v>52</v>
      </c>
      <c r="G291" s="7" t="s">
        <v>10</v>
      </c>
      <c r="H291" s="8">
        <v>23</v>
      </c>
      <c r="I291" s="7" t="s">
        <v>1021</v>
      </c>
      <c r="J291" s="7" t="s">
        <v>14</v>
      </c>
      <c r="K291" s="8">
        <v>4</v>
      </c>
      <c r="L291" s="7" t="s">
        <v>1025</v>
      </c>
      <c r="M291" s="10">
        <v>30</v>
      </c>
      <c r="N291" s="10">
        <v>120</v>
      </c>
    </row>
    <row r="292" spans="1:14" x14ac:dyDescent="0.2">
      <c r="A292" s="8">
        <v>291</v>
      </c>
      <c r="B292" s="5">
        <v>45037</v>
      </c>
      <c r="C292" s="7" t="s">
        <v>1043</v>
      </c>
      <c r="D292" s="8">
        <v>4</v>
      </c>
      <c r="E292" s="8">
        <v>2023</v>
      </c>
      <c r="F292" s="7" t="s">
        <v>906</v>
      </c>
      <c r="G292" s="7" t="s">
        <v>10</v>
      </c>
      <c r="H292" s="8">
        <v>49</v>
      </c>
      <c r="I292" s="7" t="s">
        <v>1019</v>
      </c>
      <c r="J292" s="7" t="s">
        <v>16</v>
      </c>
      <c r="K292" s="8">
        <v>1</v>
      </c>
      <c r="L292" s="7" t="s">
        <v>1023</v>
      </c>
      <c r="M292" s="10">
        <v>50</v>
      </c>
      <c r="N292" s="10">
        <v>50</v>
      </c>
    </row>
    <row r="293" spans="1:14" x14ac:dyDescent="0.2">
      <c r="A293" s="8">
        <v>292</v>
      </c>
      <c r="B293" s="5">
        <v>45038</v>
      </c>
      <c r="C293" s="7" t="s">
        <v>1043</v>
      </c>
      <c r="D293" s="8">
        <v>4</v>
      </c>
      <c r="E293" s="8">
        <v>2023</v>
      </c>
      <c r="F293" s="7" t="s">
        <v>30</v>
      </c>
      <c r="G293" s="7" t="s">
        <v>13</v>
      </c>
      <c r="H293" s="8">
        <v>27</v>
      </c>
      <c r="I293" s="7" t="s">
        <v>1021</v>
      </c>
      <c r="J293" s="7" t="s">
        <v>14</v>
      </c>
      <c r="K293" s="8">
        <v>4</v>
      </c>
      <c r="L293" s="7" t="s">
        <v>1025</v>
      </c>
      <c r="M293" s="10">
        <v>25</v>
      </c>
      <c r="N293" s="10">
        <v>100</v>
      </c>
    </row>
    <row r="294" spans="1:14" x14ac:dyDescent="0.2">
      <c r="A294" s="8">
        <v>293</v>
      </c>
      <c r="B294" s="5">
        <v>45038</v>
      </c>
      <c r="C294" s="7" t="s">
        <v>1043</v>
      </c>
      <c r="D294" s="8">
        <v>4</v>
      </c>
      <c r="E294" s="8">
        <v>2023</v>
      </c>
      <c r="F294" s="7" t="s">
        <v>329</v>
      </c>
      <c r="G294" s="7" t="s">
        <v>13</v>
      </c>
      <c r="H294" s="8">
        <v>48</v>
      </c>
      <c r="I294" s="7" t="s">
        <v>1019</v>
      </c>
      <c r="J294" s="7" t="s">
        <v>14</v>
      </c>
      <c r="K294" s="8">
        <v>2</v>
      </c>
      <c r="L294" s="7" t="s">
        <v>1024</v>
      </c>
      <c r="M294" s="10">
        <v>25</v>
      </c>
      <c r="N294" s="10">
        <v>50</v>
      </c>
    </row>
    <row r="295" spans="1:14" x14ac:dyDescent="0.2">
      <c r="A295" s="8">
        <v>294</v>
      </c>
      <c r="B295" s="5">
        <v>45038</v>
      </c>
      <c r="C295" s="7" t="s">
        <v>1043</v>
      </c>
      <c r="D295" s="8">
        <v>4</v>
      </c>
      <c r="E295" s="8">
        <v>2023</v>
      </c>
      <c r="F295" s="7" t="s">
        <v>768</v>
      </c>
      <c r="G295" s="7" t="s">
        <v>13</v>
      </c>
      <c r="H295" s="8">
        <v>58</v>
      </c>
      <c r="I295" s="7" t="s">
        <v>1018</v>
      </c>
      <c r="J295" s="7" t="s">
        <v>14</v>
      </c>
      <c r="K295" s="8">
        <v>3</v>
      </c>
      <c r="L295" s="7" t="s">
        <v>1022</v>
      </c>
      <c r="M295" s="10">
        <v>25</v>
      </c>
      <c r="N295" s="10">
        <v>75</v>
      </c>
    </row>
    <row r="296" spans="1:14" x14ac:dyDescent="0.2">
      <c r="A296" s="8">
        <v>295</v>
      </c>
      <c r="B296" s="5">
        <v>45039</v>
      </c>
      <c r="C296" s="7" t="s">
        <v>1043</v>
      </c>
      <c r="D296" s="8">
        <v>4</v>
      </c>
      <c r="E296" s="8">
        <v>2023</v>
      </c>
      <c r="F296" s="7" t="s">
        <v>41</v>
      </c>
      <c r="G296" s="7" t="s">
        <v>13</v>
      </c>
      <c r="H296" s="8">
        <v>43</v>
      </c>
      <c r="I296" s="7" t="s">
        <v>1017</v>
      </c>
      <c r="J296" s="7" t="s">
        <v>11</v>
      </c>
      <c r="K296" s="8">
        <v>1</v>
      </c>
      <c r="L296" s="7" t="s">
        <v>1023</v>
      </c>
      <c r="M296" s="10">
        <v>500</v>
      </c>
      <c r="N296" s="10">
        <v>500</v>
      </c>
    </row>
    <row r="297" spans="1:14" x14ac:dyDescent="0.2">
      <c r="A297" s="8">
        <v>296</v>
      </c>
      <c r="B297" s="5">
        <v>45039</v>
      </c>
      <c r="C297" s="7" t="s">
        <v>1043</v>
      </c>
      <c r="D297" s="8">
        <v>4</v>
      </c>
      <c r="E297" s="8">
        <v>2023</v>
      </c>
      <c r="F297" s="7" t="s">
        <v>111</v>
      </c>
      <c r="G297" s="7" t="s">
        <v>13</v>
      </c>
      <c r="H297" s="8">
        <v>55</v>
      </c>
      <c r="I297" s="7" t="s">
        <v>1019</v>
      </c>
      <c r="J297" s="7" t="s">
        <v>11</v>
      </c>
      <c r="K297" s="8">
        <v>2</v>
      </c>
      <c r="L297" s="7" t="s">
        <v>1024</v>
      </c>
      <c r="M297" s="10">
        <v>50</v>
      </c>
      <c r="N297" s="10">
        <v>100</v>
      </c>
    </row>
    <row r="298" spans="1:14" x14ac:dyDescent="0.2">
      <c r="A298" s="8">
        <v>297</v>
      </c>
      <c r="B298" s="5">
        <v>45039</v>
      </c>
      <c r="C298" s="7" t="s">
        <v>1043</v>
      </c>
      <c r="D298" s="8">
        <v>4</v>
      </c>
      <c r="E298" s="8">
        <v>2023</v>
      </c>
      <c r="F298" s="7" t="s">
        <v>142</v>
      </c>
      <c r="G298" s="7" t="s">
        <v>13</v>
      </c>
      <c r="H298" s="8">
        <v>21</v>
      </c>
      <c r="I298" s="7" t="s">
        <v>1021</v>
      </c>
      <c r="J298" s="7" t="s">
        <v>11</v>
      </c>
      <c r="K298" s="8">
        <v>2</v>
      </c>
      <c r="L298" s="7" t="s">
        <v>1024</v>
      </c>
      <c r="M298" s="10">
        <v>300</v>
      </c>
      <c r="N298" s="10">
        <v>600</v>
      </c>
    </row>
    <row r="299" spans="1:14" x14ac:dyDescent="0.2">
      <c r="A299" s="8">
        <v>298</v>
      </c>
      <c r="B299" s="5">
        <v>45039</v>
      </c>
      <c r="C299" s="7" t="s">
        <v>1043</v>
      </c>
      <c r="D299" s="8">
        <v>4</v>
      </c>
      <c r="E299" s="8">
        <v>2023</v>
      </c>
      <c r="F299" s="7" t="s">
        <v>243</v>
      </c>
      <c r="G299" s="7" t="s">
        <v>10</v>
      </c>
      <c r="H299" s="8">
        <v>54</v>
      </c>
      <c r="I299" s="7" t="s">
        <v>1019</v>
      </c>
      <c r="J299" s="7" t="s">
        <v>11</v>
      </c>
      <c r="K299" s="8">
        <v>1</v>
      </c>
      <c r="L299" s="7" t="s">
        <v>1023</v>
      </c>
      <c r="M299" s="10">
        <v>25</v>
      </c>
      <c r="N299" s="10">
        <v>25</v>
      </c>
    </row>
    <row r="300" spans="1:14" x14ac:dyDescent="0.2">
      <c r="A300" s="8">
        <v>299</v>
      </c>
      <c r="B300" s="5">
        <v>45039</v>
      </c>
      <c r="C300" s="7" t="s">
        <v>1043</v>
      </c>
      <c r="D300" s="8">
        <v>4</v>
      </c>
      <c r="E300" s="8">
        <v>2023</v>
      </c>
      <c r="F300" s="7" t="s">
        <v>626</v>
      </c>
      <c r="G300" s="7" t="s">
        <v>13</v>
      </c>
      <c r="H300" s="8">
        <v>52</v>
      </c>
      <c r="I300" s="7" t="s">
        <v>1019</v>
      </c>
      <c r="J300" s="7" t="s">
        <v>14</v>
      </c>
      <c r="K300" s="8">
        <v>3</v>
      </c>
      <c r="L300" s="7" t="s">
        <v>1022</v>
      </c>
      <c r="M300" s="10">
        <v>30</v>
      </c>
      <c r="N300" s="10">
        <v>90</v>
      </c>
    </row>
    <row r="301" spans="1:14" x14ac:dyDescent="0.2">
      <c r="A301" s="8">
        <v>300</v>
      </c>
      <c r="B301" s="5">
        <v>45039</v>
      </c>
      <c r="C301" s="7" t="s">
        <v>1043</v>
      </c>
      <c r="D301" s="8">
        <v>4</v>
      </c>
      <c r="E301" s="8">
        <v>2023</v>
      </c>
      <c r="F301" s="7" t="s">
        <v>704</v>
      </c>
      <c r="G301" s="7" t="s">
        <v>13</v>
      </c>
      <c r="H301" s="8">
        <v>51</v>
      </c>
      <c r="I301" s="7" t="s">
        <v>1019</v>
      </c>
      <c r="J301" s="7" t="s">
        <v>14</v>
      </c>
      <c r="K301" s="8">
        <v>3</v>
      </c>
      <c r="L301" s="7" t="s">
        <v>1022</v>
      </c>
      <c r="M301" s="10">
        <v>30</v>
      </c>
      <c r="N301" s="10">
        <v>90</v>
      </c>
    </row>
    <row r="302" spans="1:14" x14ac:dyDescent="0.2">
      <c r="A302" s="8">
        <v>301</v>
      </c>
      <c r="B302" s="5">
        <v>45039</v>
      </c>
      <c r="C302" s="7" t="s">
        <v>1043</v>
      </c>
      <c r="D302" s="8">
        <v>4</v>
      </c>
      <c r="E302" s="8">
        <v>2023</v>
      </c>
      <c r="F302" s="7" t="s">
        <v>706</v>
      </c>
      <c r="G302" s="7" t="s">
        <v>10</v>
      </c>
      <c r="H302" s="8">
        <v>41</v>
      </c>
      <c r="I302" s="7" t="s">
        <v>1017</v>
      </c>
      <c r="J302" s="7" t="s">
        <v>11</v>
      </c>
      <c r="K302" s="8">
        <v>3</v>
      </c>
      <c r="L302" s="7" t="s">
        <v>1022</v>
      </c>
      <c r="M302" s="10">
        <v>500</v>
      </c>
      <c r="N302" s="10">
        <v>1500</v>
      </c>
    </row>
    <row r="303" spans="1:14" x14ac:dyDescent="0.2">
      <c r="A303" s="8">
        <v>302</v>
      </c>
      <c r="B303" s="5">
        <v>45040</v>
      </c>
      <c r="C303" s="7" t="s">
        <v>1043</v>
      </c>
      <c r="D303" s="8">
        <v>4</v>
      </c>
      <c r="E303" s="8">
        <v>2023</v>
      </c>
      <c r="F303" s="7" t="s">
        <v>490</v>
      </c>
      <c r="G303" s="7" t="s">
        <v>10</v>
      </c>
      <c r="H303" s="8">
        <v>43</v>
      </c>
      <c r="I303" s="7" t="s">
        <v>1017</v>
      </c>
      <c r="J303" s="7" t="s">
        <v>14</v>
      </c>
      <c r="K303" s="8">
        <v>4</v>
      </c>
      <c r="L303" s="7" t="s">
        <v>1025</v>
      </c>
      <c r="M303" s="10">
        <v>30</v>
      </c>
      <c r="N303" s="10">
        <v>120</v>
      </c>
    </row>
    <row r="304" spans="1:14" x14ac:dyDescent="0.2">
      <c r="A304" s="8">
        <v>303</v>
      </c>
      <c r="B304" s="5">
        <v>45040</v>
      </c>
      <c r="C304" s="7" t="s">
        <v>1043</v>
      </c>
      <c r="D304" s="8">
        <v>4</v>
      </c>
      <c r="E304" s="8">
        <v>2023</v>
      </c>
      <c r="F304" s="7" t="s">
        <v>876</v>
      </c>
      <c r="G304" s="7" t="s">
        <v>13</v>
      </c>
      <c r="H304" s="8">
        <v>30</v>
      </c>
      <c r="I304" s="7" t="s">
        <v>1021</v>
      </c>
      <c r="J304" s="7" t="s">
        <v>16</v>
      </c>
      <c r="K304" s="8">
        <v>2</v>
      </c>
      <c r="L304" s="7" t="s">
        <v>1024</v>
      </c>
      <c r="M304" s="10">
        <v>25</v>
      </c>
      <c r="N304" s="10">
        <v>50</v>
      </c>
    </row>
    <row r="305" spans="1:14" x14ac:dyDescent="0.2">
      <c r="A305" s="8">
        <v>304</v>
      </c>
      <c r="B305" s="5">
        <v>45041</v>
      </c>
      <c r="C305" s="7" t="s">
        <v>1043</v>
      </c>
      <c r="D305" s="8">
        <v>4</v>
      </c>
      <c r="E305" s="8">
        <v>2023</v>
      </c>
      <c r="F305" s="7" t="s">
        <v>19</v>
      </c>
      <c r="G305" s="7" t="s">
        <v>13</v>
      </c>
      <c r="H305" s="8">
        <v>45</v>
      </c>
      <c r="I305" s="7" t="s">
        <v>1017</v>
      </c>
      <c r="J305" s="7" t="s">
        <v>11</v>
      </c>
      <c r="K305" s="8">
        <v>1</v>
      </c>
      <c r="L305" s="7" t="s">
        <v>1023</v>
      </c>
      <c r="M305" s="10">
        <v>30</v>
      </c>
      <c r="N305" s="10">
        <v>30</v>
      </c>
    </row>
    <row r="306" spans="1:14" x14ac:dyDescent="0.2">
      <c r="A306" s="8">
        <v>305</v>
      </c>
      <c r="B306" s="5">
        <v>45041</v>
      </c>
      <c r="C306" s="7" t="s">
        <v>1043</v>
      </c>
      <c r="D306" s="8">
        <v>4</v>
      </c>
      <c r="E306" s="8">
        <v>2023</v>
      </c>
      <c r="F306" s="7" t="s">
        <v>496</v>
      </c>
      <c r="G306" s="7" t="s">
        <v>10</v>
      </c>
      <c r="H306" s="8">
        <v>55</v>
      </c>
      <c r="I306" s="7" t="s">
        <v>1019</v>
      </c>
      <c r="J306" s="7" t="s">
        <v>14</v>
      </c>
      <c r="K306" s="8">
        <v>1</v>
      </c>
      <c r="L306" s="7" t="s">
        <v>1023</v>
      </c>
      <c r="M306" s="10">
        <v>30</v>
      </c>
      <c r="N306" s="10">
        <v>30</v>
      </c>
    </row>
    <row r="307" spans="1:14" x14ac:dyDescent="0.2">
      <c r="A307" s="8">
        <v>306</v>
      </c>
      <c r="B307" s="5">
        <v>45041</v>
      </c>
      <c r="C307" s="7" t="s">
        <v>1043</v>
      </c>
      <c r="D307" s="8">
        <v>4</v>
      </c>
      <c r="E307" s="8">
        <v>2023</v>
      </c>
      <c r="F307" s="7" t="s">
        <v>751</v>
      </c>
      <c r="G307" s="7" t="s">
        <v>10</v>
      </c>
      <c r="H307" s="8">
        <v>41</v>
      </c>
      <c r="I307" s="7" t="s">
        <v>1017</v>
      </c>
      <c r="J307" s="7" t="s">
        <v>14</v>
      </c>
      <c r="K307" s="8">
        <v>2</v>
      </c>
      <c r="L307" s="7" t="s">
        <v>1024</v>
      </c>
      <c r="M307" s="10">
        <v>50</v>
      </c>
      <c r="N307" s="10">
        <v>100</v>
      </c>
    </row>
    <row r="308" spans="1:14" x14ac:dyDescent="0.2">
      <c r="A308" s="8">
        <v>307</v>
      </c>
      <c r="B308" s="5">
        <v>45042</v>
      </c>
      <c r="C308" s="7" t="s">
        <v>1043</v>
      </c>
      <c r="D308" s="8">
        <v>4</v>
      </c>
      <c r="E308" s="8">
        <v>2023</v>
      </c>
      <c r="F308" s="7" t="s">
        <v>235</v>
      </c>
      <c r="G308" s="7" t="s">
        <v>10</v>
      </c>
      <c r="H308" s="8">
        <v>51</v>
      </c>
      <c r="I308" s="7" t="s">
        <v>1019</v>
      </c>
      <c r="J308" s="7" t="s">
        <v>14</v>
      </c>
      <c r="K308" s="8">
        <v>4</v>
      </c>
      <c r="L308" s="7" t="s">
        <v>1025</v>
      </c>
      <c r="M308" s="10">
        <v>30</v>
      </c>
      <c r="N308" s="10">
        <v>120</v>
      </c>
    </row>
    <row r="309" spans="1:14" x14ac:dyDescent="0.2">
      <c r="A309" s="8">
        <v>308</v>
      </c>
      <c r="B309" s="5">
        <v>45042</v>
      </c>
      <c r="C309" s="7" t="s">
        <v>1043</v>
      </c>
      <c r="D309" s="8">
        <v>4</v>
      </c>
      <c r="E309" s="8">
        <v>2023</v>
      </c>
      <c r="F309" s="7" t="s">
        <v>601</v>
      </c>
      <c r="G309" s="7" t="s">
        <v>10</v>
      </c>
      <c r="H309" s="8">
        <v>38</v>
      </c>
      <c r="I309" s="7" t="s">
        <v>1017</v>
      </c>
      <c r="J309" s="7" t="s">
        <v>16</v>
      </c>
      <c r="K309" s="8">
        <v>2</v>
      </c>
      <c r="L309" s="7" t="s">
        <v>1024</v>
      </c>
      <c r="M309" s="10">
        <v>30</v>
      </c>
      <c r="N309" s="10">
        <v>60</v>
      </c>
    </row>
    <row r="310" spans="1:14" x14ac:dyDescent="0.2">
      <c r="A310" s="8">
        <v>309</v>
      </c>
      <c r="B310" s="5">
        <v>45042</v>
      </c>
      <c r="C310" s="7" t="s">
        <v>1043</v>
      </c>
      <c r="D310" s="8">
        <v>4</v>
      </c>
      <c r="E310" s="8">
        <v>2023</v>
      </c>
      <c r="F310" s="7" t="s">
        <v>966</v>
      </c>
      <c r="G310" s="7" t="s">
        <v>10</v>
      </c>
      <c r="H310" s="8">
        <v>45</v>
      </c>
      <c r="I310" s="7" t="s">
        <v>1017</v>
      </c>
      <c r="J310" s="7" t="s">
        <v>11</v>
      </c>
      <c r="K310" s="8">
        <v>3</v>
      </c>
      <c r="L310" s="7" t="s">
        <v>1022</v>
      </c>
      <c r="M310" s="10">
        <v>30</v>
      </c>
      <c r="N310" s="10">
        <v>90</v>
      </c>
    </row>
    <row r="311" spans="1:14" x14ac:dyDescent="0.2">
      <c r="A311" s="8">
        <v>310</v>
      </c>
      <c r="B311" s="5">
        <v>45043</v>
      </c>
      <c r="C311" s="7" t="s">
        <v>1043</v>
      </c>
      <c r="D311" s="8">
        <v>4</v>
      </c>
      <c r="E311" s="8">
        <v>2023</v>
      </c>
      <c r="F311" s="7" t="s">
        <v>79</v>
      </c>
      <c r="G311" s="7" t="s">
        <v>13</v>
      </c>
      <c r="H311" s="8">
        <v>45</v>
      </c>
      <c r="I311" s="7" t="s">
        <v>1017</v>
      </c>
      <c r="J311" s="7" t="s">
        <v>16</v>
      </c>
      <c r="K311" s="8">
        <v>1</v>
      </c>
      <c r="L311" s="7" t="s">
        <v>1023</v>
      </c>
      <c r="M311" s="10">
        <v>30</v>
      </c>
      <c r="N311" s="10">
        <v>30</v>
      </c>
    </row>
    <row r="312" spans="1:14" x14ac:dyDescent="0.2">
      <c r="A312" s="8">
        <v>311</v>
      </c>
      <c r="B312" s="5">
        <v>45043</v>
      </c>
      <c r="C312" s="7" t="s">
        <v>1043</v>
      </c>
      <c r="D312" s="8">
        <v>4</v>
      </c>
      <c r="E312" s="8">
        <v>2023</v>
      </c>
      <c r="F312" s="7" t="s">
        <v>495</v>
      </c>
      <c r="G312" s="7" t="s">
        <v>13</v>
      </c>
      <c r="H312" s="8">
        <v>28</v>
      </c>
      <c r="I312" s="7" t="s">
        <v>1021</v>
      </c>
      <c r="J312" s="7" t="s">
        <v>14</v>
      </c>
      <c r="K312" s="8">
        <v>4</v>
      </c>
      <c r="L312" s="7" t="s">
        <v>1025</v>
      </c>
      <c r="M312" s="10">
        <v>300</v>
      </c>
      <c r="N312" s="10">
        <v>1200</v>
      </c>
    </row>
    <row r="313" spans="1:14" x14ac:dyDescent="0.2">
      <c r="A313" s="8">
        <v>312</v>
      </c>
      <c r="B313" s="5">
        <v>45043</v>
      </c>
      <c r="C313" s="7" t="s">
        <v>1043</v>
      </c>
      <c r="D313" s="8">
        <v>4</v>
      </c>
      <c r="E313" s="8">
        <v>2023</v>
      </c>
      <c r="F313" s="7" t="s">
        <v>916</v>
      </c>
      <c r="G313" s="7" t="s">
        <v>13</v>
      </c>
      <c r="H313" s="8">
        <v>51</v>
      </c>
      <c r="I313" s="7" t="s">
        <v>1019</v>
      </c>
      <c r="J313" s="7" t="s">
        <v>11</v>
      </c>
      <c r="K313" s="8">
        <v>4</v>
      </c>
      <c r="L313" s="7" t="s">
        <v>1025</v>
      </c>
      <c r="M313" s="10">
        <v>50</v>
      </c>
      <c r="N313" s="10">
        <v>200</v>
      </c>
    </row>
    <row r="314" spans="1:14" x14ac:dyDescent="0.2">
      <c r="A314" s="8">
        <v>313</v>
      </c>
      <c r="B314" s="5">
        <v>45044</v>
      </c>
      <c r="C314" s="7" t="s">
        <v>1043</v>
      </c>
      <c r="D314" s="8">
        <v>4</v>
      </c>
      <c r="E314" s="8">
        <v>2023</v>
      </c>
      <c r="F314" s="7" t="s">
        <v>115</v>
      </c>
      <c r="G314" s="7" t="s">
        <v>13</v>
      </c>
      <c r="H314" s="8">
        <v>47</v>
      </c>
      <c r="I314" s="7" t="s">
        <v>1019</v>
      </c>
      <c r="J314" s="7" t="s">
        <v>11</v>
      </c>
      <c r="K314" s="8">
        <v>2</v>
      </c>
      <c r="L314" s="7" t="s">
        <v>1024</v>
      </c>
      <c r="M314" s="10">
        <v>25</v>
      </c>
      <c r="N314" s="10">
        <v>50</v>
      </c>
    </row>
    <row r="315" spans="1:14" x14ac:dyDescent="0.2">
      <c r="A315" s="8">
        <v>314</v>
      </c>
      <c r="B315" s="5">
        <v>45044</v>
      </c>
      <c r="C315" s="7" t="s">
        <v>1043</v>
      </c>
      <c r="D315" s="8">
        <v>4</v>
      </c>
      <c r="E315" s="8">
        <v>2023</v>
      </c>
      <c r="F315" s="7" t="s">
        <v>241</v>
      </c>
      <c r="G315" s="7" t="s">
        <v>13</v>
      </c>
      <c r="H315" s="8">
        <v>59</v>
      </c>
      <c r="I315" s="7" t="s">
        <v>1018</v>
      </c>
      <c r="J315" s="7" t="s">
        <v>16</v>
      </c>
      <c r="K315" s="8">
        <v>2</v>
      </c>
      <c r="L315" s="7" t="s">
        <v>1024</v>
      </c>
      <c r="M315" s="10">
        <v>30</v>
      </c>
      <c r="N315" s="10">
        <v>60</v>
      </c>
    </row>
    <row r="316" spans="1:14" x14ac:dyDescent="0.2">
      <c r="A316" s="8">
        <v>315</v>
      </c>
      <c r="B316" s="5">
        <v>45044</v>
      </c>
      <c r="C316" s="7" t="s">
        <v>1043</v>
      </c>
      <c r="D316" s="8">
        <v>4</v>
      </c>
      <c r="E316" s="8">
        <v>2023</v>
      </c>
      <c r="F316" s="7" t="s">
        <v>249</v>
      </c>
      <c r="G316" s="7" t="s">
        <v>13</v>
      </c>
      <c r="H316" s="8">
        <v>54</v>
      </c>
      <c r="I316" s="7" t="s">
        <v>1019</v>
      </c>
      <c r="J316" s="7" t="s">
        <v>14</v>
      </c>
      <c r="K316" s="8">
        <v>1</v>
      </c>
      <c r="L316" s="7" t="s">
        <v>1023</v>
      </c>
      <c r="M316" s="10">
        <v>25</v>
      </c>
      <c r="N316" s="10">
        <v>25</v>
      </c>
    </row>
    <row r="317" spans="1:14" x14ac:dyDescent="0.2">
      <c r="A317" s="8">
        <v>316</v>
      </c>
      <c r="B317" s="5">
        <v>45045</v>
      </c>
      <c r="C317" s="7" t="s">
        <v>1043</v>
      </c>
      <c r="D317" s="8">
        <v>4</v>
      </c>
      <c r="E317" s="8">
        <v>2023</v>
      </c>
      <c r="F317" s="7" t="s">
        <v>673</v>
      </c>
      <c r="G317" s="7" t="s">
        <v>13</v>
      </c>
      <c r="H317" s="8">
        <v>38</v>
      </c>
      <c r="I317" s="7" t="s">
        <v>1017</v>
      </c>
      <c r="J317" s="7" t="s">
        <v>11</v>
      </c>
      <c r="K317" s="8">
        <v>2</v>
      </c>
      <c r="L317" s="7" t="s">
        <v>1024</v>
      </c>
      <c r="M317" s="10">
        <v>500</v>
      </c>
      <c r="N317" s="10">
        <v>1000</v>
      </c>
    </row>
    <row r="318" spans="1:14" x14ac:dyDescent="0.2">
      <c r="A318" s="8">
        <v>317</v>
      </c>
      <c r="B318" s="5">
        <v>45045</v>
      </c>
      <c r="C318" s="7" t="s">
        <v>1043</v>
      </c>
      <c r="D318" s="8">
        <v>4</v>
      </c>
      <c r="E318" s="8">
        <v>2023</v>
      </c>
      <c r="F318" s="7" t="s">
        <v>897</v>
      </c>
      <c r="G318" s="7" t="s">
        <v>13</v>
      </c>
      <c r="H318" s="8">
        <v>26</v>
      </c>
      <c r="I318" s="7" t="s">
        <v>1021</v>
      </c>
      <c r="J318" s="7" t="s">
        <v>14</v>
      </c>
      <c r="K318" s="8">
        <v>2</v>
      </c>
      <c r="L318" s="7" t="s">
        <v>1024</v>
      </c>
      <c r="M318" s="10">
        <v>30</v>
      </c>
      <c r="N318" s="10">
        <v>60</v>
      </c>
    </row>
    <row r="319" spans="1:14" x14ac:dyDescent="0.2">
      <c r="A319" s="8">
        <v>318</v>
      </c>
      <c r="B319" s="5">
        <v>45045</v>
      </c>
      <c r="C319" s="7" t="s">
        <v>1043</v>
      </c>
      <c r="D319" s="8">
        <v>4</v>
      </c>
      <c r="E319" s="8">
        <v>2023</v>
      </c>
      <c r="F319" s="7" t="s">
        <v>1000</v>
      </c>
      <c r="G319" s="7" t="s">
        <v>13</v>
      </c>
      <c r="H319" s="8">
        <v>30</v>
      </c>
      <c r="I319" s="7" t="s">
        <v>1021</v>
      </c>
      <c r="J319" s="7" t="s">
        <v>14</v>
      </c>
      <c r="K319" s="8">
        <v>3</v>
      </c>
      <c r="L319" s="7" t="s">
        <v>1022</v>
      </c>
      <c r="M319" s="10">
        <v>300</v>
      </c>
      <c r="N319" s="10">
        <v>900</v>
      </c>
    </row>
    <row r="320" spans="1:14" x14ac:dyDescent="0.2">
      <c r="A320" s="8">
        <v>319</v>
      </c>
      <c r="B320" s="5">
        <v>45046</v>
      </c>
      <c r="C320" s="7" t="s">
        <v>1043</v>
      </c>
      <c r="D320" s="8">
        <v>4</v>
      </c>
      <c r="E320" s="8">
        <v>2023</v>
      </c>
      <c r="F320" s="7" t="s">
        <v>31</v>
      </c>
      <c r="G320" s="7" t="s">
        <v>13</v>
      </c>
      <c r="H320" s="8">
        <v>47</v>
      </c>
      <c r="I320" s="7" t="s">
        <v>1019</v>
      </c>
      <c r="J320" s="7" t="s">
        <v>16</v>
      </c>
      <c r="K320" s="8">
        <v>2</v>
      </c>
      <c r="L320" s="7" t="s">
        <v>1024</v>
      </c>
      <c r="M320" s="10">
        <v>25</v>
      </c>
      <c r="N320" s="10">
        <v>50</v>
      </c>
    </row>
    <row r="321" spans="1:14" x14ac:dyDescent="0.2">
      <c r="A321" s="8">
        <v>320</v>
      </c>
      <c r="B321" s="5">
        <v>45046</v>
      </c>
      <c r="C321" s="7" t="s">
        <v>1043</v>
      </c>
      <c r="D321" s="8">
        <v>4</v>
      </c>
      <c r="E321" s="8">
        <v>2023</v>
      </c>
      <c r="F321" s="7" t="s">
        <v>82</v>
      </c>
      <c r="G321" s="7" t="s">
        <v>13</v>
      </c>
      <c r="H321" s="8">
        <v>56</v>
      </c>
      <c r="I321" s="7" t="s">
        <v>1018</v>
      </c>
      <c r="J321" s="7" t="s">
        <v>11</v>
      </c>
      <c r="K321" s="8">
        <v>3</v>
      </c>
      <c r="L321" s="7" t="s">
        <v>1022</v>
      </c>
      <c r="M321" s="10">
        <v>25</v>
      </c>
      <c r="N321" s="10">
        <v>75</v>
      </c>
    </row>
    <row r="322" spans="1:14" x14ac:dyDescent="0.2">
      <c r="A322" s="8">
        <v>321</v>
      </c>
      <c r="B322" s="5">
        <v>45046</v>
      </c>
      <c r="C322" s="7" t="s">
        <v>1043</v>
      </c>
      <c r="D322" s="8">
        <v>4</v>
      </c>
      <c r="E322" s="8">
        <v>2023</v>
      </c>
      <c r="F322" s="7" t="s">
        <v>1008</v>
      </c>
      <c r="G322" s="7" t="s">
        <v>13</v>
      </c>
      <c r="H322" s="8">
        <v>41</v>
      </c>
      <c r="I322" s="7" t="s">
        <v>1017</v>
      </c>
      <c r="J322" s="7" t="s">
        <v>14</v>
      </c>
      <c r="K322" s="8">
        <v>1</v>
      </c>
      <c r="L322" s="7" t="s">
        <v>1023</v>
      </c>
      <c r="M322" s="10">
        <v>30</v>
      </c>
      <c r="N322" s="10">
        <v>30</v>
      </c>
    </row>
    <row r="323" spans="1:14" x14ac:dyDescent="0.2">
      <c r="A323" s="8">
        <v>322</v>
      </c>
      <c r="B323" s="5">
        <v>45047</v>
      </c>
      <c r="C323" s="7" t="s">
        <v>1043</v>
      </c>
      <c r="D323" s="8">
        <v>4</v>
      </c>
      <c r="E323" s="8">
        <v>2023</v>
      </c>
      <c r="F323" s="7" t="s">
        <v>350</v>
      </c>
      <c r="G323" s="7" t="s">
        <v>10</v>
      </c>
      <c r="H323" s="8">
        <v>38</v>
      </c>
      <c r="I323" s="7" t="s">
        <v>1017</v>
      </c>
      <c r="J323" s="7" t="s">
        <v>14</v>
      </c>
      <c r="K323" s="8">
        <v>1</v>
      </c>
      <c r="L323" s="7" t="s">
        <v>1023</v>
      </c>
      <c r="M323" s="10">
        <v>500</v>
      </c>
      <c r="N323" s="10">
        <v>500</v>
      </c>
    </row>
    <row r="324" spans="1:14" x14ac:dyDescent="0.2">
      <c r="A324" s="8">
        <v>323</v>
      </c>
      <c r="B324" s="5">
        <v>45047</v>
      </c>
      <c r="C324" s="7" t="s">
        <v>1016</v>
      </c>
      <c r="D324" s="8">
        <v>5</v>
      </c>
      <c r="E324" s="8">
        <v>2023</v>
      </c>
      <c r="F324" s="7" t="s">
        <v>598</v>
      </c>
      <c r="G324" s="7" t="s">
        <v>13</v>
      </c>
      <c r="H324" s="8">
        <v>24</v>
      </c>
      <c r="I324" s="7" t="s">
        <v>1021</v>
      </c>
      <c r="J324" s="7" t="s">
        <v>14</v>
      </c>
      <c r="K324" s="8">
        <v>1</v>
      </c>
      <c r="L324" s="7" t="s">
        <v>1023</v>
      </c>
      <c r="M324" s="10">
        <v>25</v>
      </c>
      <c r="N324" s="10">
        <v>25</v>
      </c>
    </row>
    <row r="325" spans="1:14" x14ac:dyDescent="0.2">
      <c r="A325" s="8">
        <v>324</v>
      </c>
      <c r="B325" s="5">
        <v>45047</v>
      </c>
      <c r="C325" s="7" t="s">
        <v>1016</v>
      </c>
      <c r="D325" s="8">
        <v>5</v>
      </c>
      <c r="E325" s="8">
        <v>2023</v>
      </c>
      <c r="F325" s="7" t="s">
        <v>665</v>
      </c>
      <c r="G325" s="7" t="s">
        <v>13</v>
      </c>
      <c r="H325" s="8">
        <v>34</v>
      </c>
      <c r="I325" s="7" t="s">
        <v>1021</v>
      </c>
      <c r="J325" s="7" t="s">
        <v>11</v>
      </c>
      <c r="K325" s="8">
        <v>2</v>
      </c>
      <c r="L325" s="7" t="s">
        <v>1024</v>
      </c>
      <c r="M325" s="10">
        <v>50</v>
      </c>
      <c r="N325" s="10">
        <v>100</v>
      </c>
    </row>
    <row r="326" spans="1:14" x14ac:dyDescent="0.2">
      <c r="A326" s="8">
        <v>325</v>
      </c>
      <c r="B326" s="5">
        <v>45048</v>
      </c>
      <c r="C326" s="7" t="s">
        <v>1016</v>
      </c>
      <c r="D326" s="8">
        <v>5</v>
      </c>
      <c r="E326" s="8">
        <v>2023</v>
      </c>
      <c r="F326" s="7" t="s">
        <v>255</v>
      </c>
      <c r="G326" s="7" t="s">
        <v>10</v>
      </c>
      <c r="H326" s="8">
        <v>21</v>
      </c>
      <c r="I326" s="7" t="s">
        <v>1021</v>
      </c>
      <c r="J326" s="7" t="s">
        <v>14</v>
      </c>
      <c r="K326" s="8">
        <v>1</v>
      </c>
      <c r="L326" s="7" t="s">
        <v>1023</v>
      </c>
      <c r="M326" s="10">
        <v>25</v>
      </c>
      <c r="N326" s="10">
        <v>25</v>
      </c>
    </row>
    <row r="327" spans="1:14" x14ac:dyDescent="0.2">
      <c r="A327" s="8">
        <v>326</v>
      </c>
      <c r="B327" s="5">
        <v>45048</v>
      </c>
      <c r="C327" s="7" t="s">
        <v>1016</v>
      </c>
      <c r="D327" s="8">
        <v>5</v>
      </c>
      <c r="E327" s="8">
        <v>2023</v>
      </c>
      <c r="F327" s="7" t="s">
        <v>306</v>
      </c>
      <c r="G327" s="7" t="s">
        <v>10</v>
      </c>
      <c r="H327" s="8">
        <v>50</v>
      </c>
      <c r="I327" s="7" t="s">
        <v>1019</v>
      </c>
      <c r="J327" s="7" t="s">
        <v>16</v>
      </c>
      <c r="K327" s="8">
        <v>3</v>
      </c>
      <c r="L327" s="7" t="s">
        <v>1022</v>
      </c>
      <c r="M327" s="10">
        <v>30</v>
      </c>
      <c r="N327" s="10">
        <v>90</v>
      </c>
    </row>
    <row r="328" spans="1:14" x14ac:dyDescent="0.2">
      <c r="A328" s="8">
        <v>327</v>
      </c>
      <c r="B328" s="5">
        <v>45048</v>
      </c>
      <c r="C328" s="7" t="s">
        <v>1016</v>
      </c>
      <c r="D328" s="8">
        <v>5</v>
      </c>
      <c r="E328" s="8">
        <v>2023</v>
      </c>
      <c r="F328" s="7" t="s">
        <v>473</v>
      </c>
      <c r="G328" s="7" t="s">
        <v>10</v>
      </c>
      <c r="H328" s="8">
        <v>40</v>
      </c>
      <c r="I328" s="7" t="s">
        <v>1017</v>
      </c>
      <c r="J328" s="7" t="s">
        <v>11</v>
      </c>
      <c r="K328" s="8">
        <v>1</v>
      </c>
      <c r="L328" s="7" t="s">
        <v>1023</v>
      </c>
      <c r="M328" s="10">
        <v>50</v>
      </c>
      <c r="N328" s="10">
        <v>50</v>
      </c>
    </row>
    <row r="329" spans="1:14" x14ac:dyDescent="0.2">
      <c r="A329" s="8">
        <v>328</v>
      </c>
      <c r="B329" s="5">
        <v>45049</v>
      </c>
      <c r="C329" s="7" t="s">
        <v>1016</v>
      </c>
      <c r="D329" s="8">
        <v>5</v>
      </c>
      <c r="E329" s="8">
        <v>2023</v>
      </c>
      <c r="F329" s="7" t="s">
        <v>201</v>
      </c>
      <c r="G329" s="7" t="s">
        <v>10</v>
      </c>
      <c r="H329" s="8">
        <v>40</v>
      </c>
      <c r="I329" s="7" t="s">
        <v>1017</v>
      </c>
      <c r="J329" s="7" t="s">
        <v>14</v>
      </c>
      <c r="K329" s="8">
        <v>3</v>
      </c>
      <c r="L329" s="7" t="s">
        <v>1022</v>
      </c>
      <c r="M329" s="10">
        <v>25</v>
      </c>
      <c r="N329" s="10">
        <v>75</v>
      </c>
    </row>
    <row r="330" spans="1:14" x14ac:dyDescent="0.2">
      <c r="A330" s="8">
        <v>329</v>
      </c>
      <c r="B330" s="5">
        <v>45049</v>
      </c>
      <c r="C330" s="7" t="s">
        <v>1016</v>
      </c>
      <c r="D330" s="8">
        <v>5</v>
      </c>
      <c r="E330" s="8">
        <v>2023</v>
      </c>
      <c r="F330" s="7" t="s">
        <v>370</v>
      </c>
      <c r="G330" s="7" t="s">
        <v>13</v>
      </c>
      <c r="H330" s="8">
        <v>40</v>
      </c>
      <c r="I330" s="7" t="s">
        <v>1017</v>
      </c>
      <c r="J330" s="7" t="s">
        <v>16</v>
      </c>
      <c r="K330" s="8">
        <v>3</v>
      </c>
      <c r="L330" s="7" t="s">
        <v>1022</v>
      </c>
      <c r="M330" s="10">
        <v>25</v>
      </c>
      <c r="N330" s="10">
        <v>75</v>
      </c>
    </row>
    <row r="331" spans="1:14" x14ac:dyDescent="0.2">
      <c r="A331" s="8">
        <v>330</v>
      </c>
      <c r="B331" s="5">
        <v>45049</v>
      </c>
      <c r="C331" s="7" t="s">
        <v>1016</v>
      </c>
      <c r="D331" s="8">
        <v>5</v>
      </c>
      <c r="E331" s="8">
        <v>2023</v>
      </c>
      <c r="F331" s="7" t="s">
        <v>659</v>
      </c>
      <c r="G331" s="7" t="s">
        <v>10</v>
      </c>
      <c r="H331" s="8">
        <v>38</v>
      </c>
      <c r="I331" s="7" t="s">
        <v>1017</v>
      </c>
      <c r="J331" s="7" t="s">
        <v>14</v>
      </c>
      <c r="K331" s="8">
        <v>3</v>
      </c>
      <c r="L331" s="7" t="s">
        <v>1022</v>
      </c>
      <c r="M331" s="10">
        <v>30</v>
      </c>
      <c r="N331" s="10">
        <v>90</v>
      </c>
    </row>
    <row r="332" spans="1:14" x14ac:dyDescent="0.2">
      <c r="A332" s="8">
        <v>331</v>
      </c>
      <c r="B332" s="5">
        <v>45049</v>
      </c>
      <c r="C332" s="7" t="s">
        <v>1016</v>
      </c>
      <c r="D332" s="8">
        <v>5</v>
      </c>
      <c r="E332" s="8">
        <v>2023</v>
      </c>
      <c r="F332" s="7" t="s">
        <v>762</v>
      </c>
      <c r="G332" s="7" t="s">
        <v>10</v>
      </c>
      <c r="H332" s="8">
        <v>42</v>
      </c>
      <c r="I332" s="7" t="s">
        <v>1017</v>
      </c>
      <c r="J332" s="7" t="s">
        <v>11</v>
      </c>
      <c r="K332" s="8">
        <v>1</v>
      </c>
      <c r="L332" s="7" t="s">
        <v>1023</v>
      </c>
      <c r="M332" s="10">
        <v>30</v>
      </c>
      <c r="N332" s="10">
        <v>30</v>
      </c>
    </row>
    <row r="333" spans="1:14" x14ac:dyDescent="0.2">
      <c r="A333" s="8">
        <v>332</v>
      </c>
      <c r="B333" s="5">
        <v>45049</v>
      </c>
      <c r="C333" s="7" t="s">
        <v>1016</v>
      </c>
      <c r="D333" s="8">
        <v>5</v>
      </c>
      <c r="E333" s="8">
        <v>2023</v>
      </c>
      <c r="F333" s="7" t="s">
        <v>987</v>
      </c>
      <c r="G333" s="7" t="s">
        <v>10</v>
      </c>
      <c r="H333" s="8">
        <v>47</v>
      </c>
      <c r="I333" s="7" t="s">
        <v>1019</v>
      </c>
      <c r="J333" s="7" t="s">
        <v>11</v>
      </c>
      <c r="K333" s="8">
        <v>1</v>
      </c>
      <c r="L333" s="7" t="s">
        <v>1023</v>
      </c>
      <c r="M333" s="10">
        <v>30</v>
      </c>
      <c r="N333" s="10">
        <v>30</v>
      </c>
    </row>
    <row r="334" spans="1:14" x14ac:dyDescent="0.2">
      <c r="A334" s="8">
        <v>333</v>
      </c>
      <c r="B334" s="5">
        <v>45050</v>
      </c>
      <c r="C334" s="7" t="s">
        <v>1016</v>
      </c>
      <c r="D334" s="8">
        <v>5</v>
      </c>
      <c r="E334" s="8">
        <v>2023</v>
      </c>
      <c r="F334" s="7" t="s">
        <v>203</v>
      </c>
      <c r="G334" s="7" t="s">
        <v>13</v>
      </c>
      <c r="H334" s="8">
        <v>60</v>
      </c>
      <c r="I334" s="7" t="s">
        <v>1018</v>
      </c>
      <c r="J334" s="7" t="s">
        <v>11</v>
      </c>
      <c r="K334" s="8">
        <v>3</v>
      </c>
      <c r="L334" s="7" t="s">
        <v>1022</v>
      </c>
      <c r="M334" s="10">
        <v>30</v>
      </c>
      <c r="N334" s="10">
        <v>90</v>
      </c>
    </row>
    <row r="335" spans="1:14" x14ac:dyDescent="0.2">
      <c r="A335" s="8">
        <v>334</v>
      </c>
      <c r="B335" s="5">
        <v>45050</v>
      </c>
      <c r="C335" s="7" t="s">
        <v>1016</v>
      </c>
      <c r="D335" s="8">
        <v>5</v>
      </c>
      <c r="E335" s="8">
        <v>2023</v>
      </c>
      <c r="F335" s="7" t="s">
        <v>862</v>
      </c>
      <c r="G335" s="7" t="s">
        <v>10</v>
      </c>
      <c r="H335" s="8">
        <v>32</v>
      </c>
      <c r="I335" s="7" t="s">
        <v>1021</v>
      </c>
      <c r="J335" s="7" t="s">
        <v>14</v>
      </c>
      <c r="K335" s="8">
        <v>2</v>
      </c>
      <c r="L335" s="7" t="s">
        <v>1024</v>
      </c>
      <c r="M335" s="10">
        <v>25</v>
      </c>
      <c r="N335" s="10">
        <v>50</v>
      </c>
    </row>
    <row r="336" spans="1:14" x14ac:dyDescent="0.2">
      <c r="A336" s="8">
        <v>335</v>
      </c>
      <c r="B336" s="5">
        <v>45050</v>
      </c>
      <c r="C336" s="7" t="s">
        <v>1016</v>
      </c>
      <c r="D336" s="8">
        <v>5</v>
      </c>
      <c r="E336" s="8">
        <v>2023</v>
      </c>
      <c r="F336" s="7" t="s">
        <v>866</v>
      </c>
      <c r="G336" s="7" t="s">
        <v>10</v>
      </c>
      <c r="H336" s="8">
        <v>21</v>
      </c>
      <c r="I336" s="7" t="s">
        <v>1021</v>
      </c>
      <c r="J336" s="7" t="s">
        <v>11</v>
      </c>
      <c r="K336" s="8">
        <v>2</v>
      </c>
      <c r="L336" s="7" t="s">
        <v>1024</v>
      </c>
      <c r="M336" s="10">
        <v>500</v>
      </c>
      <c r="N336" s="10">
        <v>1000</v>
      </c>
    </row>
    <row r="337" spans="1:14" x14ac:dyDescent="0.2">
      <c r="A337" s="8">
        <v>336</v>
      </c>
      <c r="B337" s="5">
        <v>45051</v>
      </c>
      <c r="C337" s="7" t="s">
        <v>1016</v>
      </c>
      <c r="D337" s="8">
        <v>5</v>
      </c>
      <c r="E337" s="8">
        <v>2023</v>
      </c>
      <c r="F337" s="7" t="s">
        <v>265</v>
      </c>
      <c r="G337" s="7" t="s">
        <v>10</v>
      </c>
      <c r="H337" s="8">
        <v>54</v>
      </c>
      <c r="I337" s="7" t="s">
        <v>1019</v>
      </c>
      <c r="J337" s="7" t="s">
        <v>16</v>
      </c>
      <c r="K337" s="8">
        <v>1</v>
      </c>
      <c r="L337" s="7" t="s">
        <v>1023</v>
      </c>
      <c r="M337" s="10">
        <v>300</v>
      </c>
      <c r="N337" s="10">
        <v>300</v>
      </c>
    </row>
    <row r="338" spans="1:14" x14ac:dyDescent="0.2">
      <c r="A338" s="8">
        <v>337</v>
      </c>
      <c r="B338" s="5">
        <v>45051</v>
      </c>
      <c r="C338" s="7" t="s">
        <v>1016</v>
      </c>
      <c r="D338" s="8">
        <v>5</v>
      </c>
      <c r="E338" s="8">
        <v>2023</v>
      </c>
      <c r="F338" s="7" t="s">
        <v>619</v>
      </c>
      <c r="G338" s="7" t="s">
        <v>10</v>
      </c>
      <c r="H338" s="8">
        <v>22</v>
      </c>
      <c r="I338" s="7" t="s">
        <v>1021</v>
      </c>
      <c r="J338" s="7" t="s">
        <v>16</v>
      </c>
      <c r="K338" s="8">
        <v>1</v>
      </c>
      <c r="L338" s="7" t="s">
        <v>1023</v>
      </c>
      <c r="M338" s="10">
        <v>50</v>
      </c>
      <c r="N338" s="10">
        <v>50</v>
      </c>
    </row>
    <row r="339" spans="1:14" x14ac:dyDescent="0.2">
      <c r="A339" s="8">
        <v>338</v>
      </c>
      <c r="B339" s="5">
        <v>45051</v>
      </c>
      <c r="C339" s="7" t="s">
        <v>1016</v>
      </c>
      <c r="D339" s="8">
        <v>5</v>
      </c>
      <c r="E339" s="8">
        <v>2023</v>
      </c>
      <c r="F339" s="7" t="s">
        <v>792</v>
      </c>
      <c r="G339" s="7" t="s">
        <v>13</v>
      </c>
      <c r="H339" s="8">
        <v>56</v>
      </c>
      <c r="I339" s="7" t="s">
        <v>1018</v>
      </c>
      <c r="J339" s="7" t="s">
        <v>16</v>
      </c>
      <c r="K339" s="8">
        <v>2</v>
      </c>
      <c r="L339" s="7" t="s">
        <v>1024</v>
      </c>
      <c r="M339" s="10">
        <v>500</v>
      </c>
      <c r="N339" s="10">
        <v>1000</v>
      </c>
    </row>
    <row r="340" spans="1:14" x14ac:dyDescent="0.2">
      <c r="A340" s="8">
        <v>339</v>
      </c>
      <c r="B340" s="5">
        <v>45051</v>
      </c>
      <c r="C340" s="7" t="s">
        <v>1016</v>
      </c>
      <c r="D340" s="8">
        <v>5</v>
      </c>
      <c r="E340" s="8">
        <v>2023</v>
      </c>
      <c r="F340" s="7" t="s">
        <v>837</v>
      </c>
      <c r="G340" s="7" t="s">
        <v>10</v>
      </c>
      <c r="H340" s="8">
        <v>63</v>
      </c>
      <c r="I340" s="7" t="s">
        <v>1018</v>
      </c>
      <c r="J340" s="7" t="s">
        <v>14</v>
      </c>
      <c r="K340" s="8">
        <v>4</v>
      </c>
      <c r="L340" s="7" t="s">
        <v>1025</v>
      </c>
      <c r="M340" s="10">
        <v>30</v>
      </c>
      <c r="N340" s="10">
        <v>120</v>
      </c>
    </row>
    <row r="341" spans="1:14" x14ac:dyDescent="0.2">
      <c r="A341" s="8">
        <v>340</v>
      </c>
      <c r="B341" s="5">
        <v>45051</v>
      </c>
      <c r="C341" s="7" t="s">
        <v>1016</v>
      </c>
      <c r="D341" s="8">
        <v>5</v>
      </c>
      <c r="E341" s="8">
        <v>2023</v>
      </c>
      <c r="F341" s="7" t="s">
        <v>879</v>
      </c>
      <c r="G341" s="7" t="s">
        <v>10</v>
      </c>
      <c r="H341" s="8">
        <v>24</v>
      </c>
      <c r="I341" s="7" t="s">
        <v>1021</v>
      </c>
      <c r="J341" s="7" t="s">
        <v>16</v>
      </c>
      <c r="K341" s="8">
        <v>1</v>
      </c>
      <c r="L341" s="7" t="s">
        <v>1023</v>
      </c>
      <c r="M341" s="10">
        <v>50</v>
      </c>
      <c r="N341" s="10">
        <v>50</v>
      </c>
    </row>
    <row r="342" spans="1:14" x14ac:dyDescent="0.2">
      <c r="A342" s="8">
        <v>341</v>
      </c>
      <c r="B342" s="5">
        <v>45052</v>
      </c>
      <c r="C342" s="7" t="s">
        <v>1016</v>
      </c>
      <c r="D342" s="8">
        <v>5</v>
      </c>
      <c r="E342" s="8">
        <v>2023</v>
      </c>
      <c r="F342" s="7" t="s">
        <v>18</v>
      </c>
      <c r="G342" s="7" t="s">
        <v>10</v>
      </c>
      <c r="H342" s="8">
        <v>30</v>
      </c>
      <c r="I342" s="7" t="s">
        <v>1021</v>
      </c>
      <c r="J342" s="7" t="s">
        <v>11</v>
      </c>
      <c r="K342" s="8">
        <v>2</v>
      </c>
      <c r="L342" s="7" t="s">
        <v>1024</v>
      </c>
      <c r="M342" s="10">
        <v>50</v>
      </c>
      <c r="N342" s="10">
        <v>100</v>
      </c>
    </row>
    <row r="343" spans="1:14" x14ac:dyDescent="0.2">
      <c r="A343" s="8">
        <v>342</v>
      </c>
      <c r="B343" s="5">
        <v>45052</v>
      </c>
      <c r="C343" s="7" t="s">
        <v>1016</v>
      </c>
      <c r="D343" s="8">
        <v>5</v>
      </c>
      <c r="E343" s="8">
        <v>2023</v>
      </c>
      <c r="F343" s="7" t="s">
        <v>103</v>
      </c>
      <c r="G343" s="7" t="s">
        <v>13</v>
      </c>
      <c r="H343" s="8">
        <v>51</v>
      </c>
      <c r="I343" s="7" t="s">
        <v>1019</v>
      </c>
      <c r="J343" s="7" t="s">
        <v>16</v>
      </c>
      <c r="K343" s="8">
        <v>1</v>
      </c>
      <c r="L343" s="7" t="s">
        <v>1023</v>
      </c>
      <c r="M343" s="10">
        <v>30</v>
      </c>
      <c r="N343" s="10">
        <v>30</v>
      </c>
    </row>
    <row r="344" spans="1:14" x14ac:dyDescent="0.2">
      <c r="A344" s="8">
        <v>343</v>
      </c>
      <c r="B344" s="5">
        <v>45052</v>
      </c>
      <c r="C344" s="7" t="s">
        <v>1016</v>
      </c>
      <c r="D344" s="8">
        <v>5</v>
      </c>
      <c r="E344" s="8">
        <v>2023</v>
      </c>
      <c r="F344" s="7" t="s">
        <v>393</v>
      </c>
      <c r="G344" s="7" t="s">
        <v>10</v>
      </c>
      <c r="H344" s="8">
        <v>56</v>
      </c>
      <c r="I344" s="7" t="s">
        <v>1018</v>
      </c>
      <c r="J344" s="7" t="s">
        <v>16</v>
      </c>
      <c r="K344" s="8">
        <v>2</v>
      </c>
      <c r="L344" s="7" t="s">
        <v>1024</v>
      </c>
      <c r="M344" s="10">
        <v>300</v>
      </c>
      <c r="N344" s="10">
        <v>600</v>
      </c>
    </row>
    <row r="345" spans="1:14" x14ac:dyDescent="0.2">
      <c r="A345" s="8">
        <v>344</v>
      </c>
      <c r="B345" s="5">
        <v>45052</v>
      </c>
      <c r="C345" s="7" t="s">
        <v>1016</v>
      </c>
      <c r="D345" s="8">
        <v>5</v>
      </c>
      <c r="E345" s="8">
        <v>2023</v>
      </c>
      <c r="F345" s="7" t="s">
        <v>606</v>
      </c>
      <c r="G345" s="7" t="s">
        <v>10</v>
      </c>
      <c r="H345" s="8">
        <v>35</v>
      </c>
      <c r="I345" s="7" t="s">
        <v>1017</v>
      </c>
      <c r="J345" s="7" t="s">
        <v>16</v>
      </c>
      <c r="K345" s="8">
        <v>2</v>
      </c>
      <c r="L345" s="7" t="s">
        <v>1024</v>
      </c>
      <c r="M345" s="10">
        <v>30</v>
      </c>
      <c r="N345" s="10">
        <v>60</v>
      </c>
    </row>
    <row r="346" spans="1:14" x14ac:dyDescent="0.2">
      <c r="A346" s="8">
        <v>345</v>
      </c>
      <c r="B346" s="5">
        <v>45052</v>
      </c>
      <c r="C346" s="7" t="s">
        <v>1016</v>
      </c>
      <c r="D346" s="8">
        <v>5</v>
      </c>
      <c r="E346" s="8">
        <v>2023</v>
      </c>
      <c r="F346" s="7" t="s">
        <v>833</v>
      </c>
      <c r="G346" s="7" t="s">
        <v>10</v>
      </c>
      <c r="H346" s="8">
        <v>49</v>
      </c>
      <c r="I346" s="7" t="s">
        <v>1019</v>
      </c>
      <c r="J346" s="7" t="s">
        <v>16</v>
      </c>
      <c r="K346" s="8">
        <v>4</v>
      </c>
      <c r="L346" s="7" t="s">
        <v>1025</v>
      </c>
      <c r="M346" s="10">
        <v>50</v>
      </c>
      <c r="N346" s="10">
        <v>200</v>
      </c>
    </row>
    <row r="347" spans="1:14" x14ac:dyDescent="0.2">
      <c r="A347" s="8">
        <v>346</v>
      </c>
      <c r="B347" s="5">
        <v>45053</v>
      </c>
      <c r="C347" s="7" t="s">
        <v>1016</v>
      </c>
      <c r="D347" s="8">
        <v>5</v>
      </c>
      <c r="E347" s="8">
        <v>2023</v>
      </c>
      <c r="F347" s="7" t="s">
        <v>133</v>
      </c>
      <c r="G347" s="7" t="s">
        <v>10</v>
      </c>
      <c r="H347" s="8">
        <v>60</v>
      </c>
      <c r="I347" s="7" t="s">
        <v>1018</v>
      </c>
      <c r="J347" s="7" t="s">
        <v>11</v>
      </c>
      <c r="K347" s="8">
        <v>1</v>
      </c>
      <c r="L347" s="7" t="s">
        <v>1023</v>
      </c>
      <c r="M347" s="10">
        <v>50</v>
      </c>
      <c r="N347" s="10">
        <v>50</v>
      </c>
    </row>
    <row r="348" spans="1:14" x14ac:dyDescent="0.2">
      <c r="A348" s="8">
        <v>347</v>
      </c>
      <c r="B348" s="5">
        <v>45053</v>
      </c>
      <c r="C348" s="7" t="s">
        <v>1016</v>
      </c>
      <c r="D348" s="8">
        <v>5</v>
      </c>
      <c r="E348" s="8">
        <v>2023</v>
      </c>
      <c r="F348" s="7" t="s">
        <v>234</v>
      </c>
      <c r="G348" s="7" t="s">
        <v>10</v>
      </c>
      <c r="H348" s="8">
        <v>39</v>
      </c>
      <c r="I348" s="7" t="s">
        <v>1017</v>
      </c>
      <c r="J348" s="7" t="s">
        <v>11</v>
      </c>
      <c r="K348" s="8">
        <v>2</v>
      </c>
      <c r="L348" s="7" t="s">
        <v>1024</v>
      </c>
      <c r="M348" s="10">
        <v>300</v>
      </c>
      <c r="N348" s="10">
        <v>600</v>
      </c>
    </row>
    <row r="349" spans="1:14" x14ac:dyDescent="0.2">
      <c r="A349" s="8">
        <v>348</v>
      </c>
      <c r="B349" s="5">
        <v>45053</v>
      </c>
      <c r="C349" s="7" t="s">
        <v>1016</v>
      </c>
      <c r="D349" s="8">
        <v>5</v>
      </c>
      <c r="E349" s="8">
        <v>2023</v>
      </c>
      <c r="F349" s="7" t="s">
        <v>354</v>
      </c>
      <c r="G349" s="7" t="s">
        <v>10</v>
      </c>
      <c r="H349" s="8">
        <v>31</v>
      </c>
      <c r="I349" s="7" t="s">
        <v>1021</v>
      </c>
      <c r="J349" s="7" t="s">
        <v>14</v>
      </c>
      <c r="K349" s="8">
        <v>4</v>
      </c>
      <c r="L349" s="7" t="s">
        <v>1025</v>
      </c>
      <c r="M349" s="10">
        <v>50</v>
      </c>
      <c r="N349" s="10">
        <v>200</v>
      </c>
    </row>
    <row r="350" spans="1:14" x14ac:dyDescent="0.2">
      <c r="A350" s="8">
        <v>349</v>
      </c>
      <c r="B350" s="5">
        <v>45053</v>
      </c>
      <c r="C350" s="7" t="s">
        <v>1016</v>
      </c>
      <c r="D350" s="8">
        <v>5</v>
      </c>
      <c r="E350" s="8">
        <v>2023</v>
      </c>
      <c r="F350" s="7" t="s">
        <v>653</v>
      </c>
      <c r="G350" s="7" t="s">
        <v>13</v>
      </c>
      <c r="H350" s="8">
        <v>51</v>
      </c>
      <c r="I350" s="7" t="s">
        <v>1019</v>
      </c>
      <c r="J350" s="7" t="s">
        <v>16</v>
      </c>
      <c r="K350" s="8">
        <v>4</v>
      </c>
      <c r="L350" s="7" t="s">
        <v>1025</v>
      </c>
      <c r="M350" s="10">
        <v>30</v>
      </c>
      <c r="N350" s="10">
        <v>120</v>
      </c>
    </row>
    <row r="351" spans="1:14" x14ac:dyDescent="0.2">
      <c r="A351" s="8">
        <v>350</v>
      </c>
      <c r="B351" s="5">
        <v>45053</v>
      </c>
      <c r="C351" s="7" t="s">
        <v>1016</v>
      </c>
      <c r="D351" s="8">
        <v>5</v>
      </c>
      <c r="E351" s="8">
        <v>2023</v>
      </c>
      <c r="F351" s="7" t="s">
        <v>757</v>
      </c>
      <c r="G351" s="7" t="s">
        <v>10</v>
      </c>
      <c r="H351" s="8">
        <v>40</v>
      </c>
      <c r="I351" s="7" t="s">
        <v>1017</v>
      </c>
      <c r="J351" s="7" t="s">
        <v>16</v>
      </c>
      <c r="K351" s="8">
        <v>1</v>
      </c>
      <c r="L351" s="7" t="s">
        <v>1023</v>
      </c>
      <c r="M351" s="10">
        <v>25</v>
      </c>
      <c r="N351" s="10">
        <v>25</v>
      </c>
    </row>
    <row r="352" spans="1:14" x14ac:dyDescent="0.2">
      <c r="A352" s="8">
        <v>351</v>
      </c>
      <c r="B352" s="5">
        <v>45054</v>
      </c>
      <c r="C352" s="7" t="s">
        <v>1016</v>
      </c>
      <c r="D352" s="8">
        <v>5</v>
      </c>
      <c r="E352" s="8">
        <v>2023</v>
      </c>
      <c r="F352" s="7" t="s">
        <v>286</v>
      </c>
      <c r="G352" s="7" t="s">
        <v>13</v>
      </c>
      <c r="H352" s="8">
        <v>22</v>
      </c>
      <c r="I352" s="7" t="s">
        <v>1021</v>
      </c>
      <c r="J352" s="7" t="s">
        <v>11</v>
      </c>
      <c r="K352" s="8">
        <v>1</v>
      </c>
      <c r="L352" s="7" t="s">
        <v>1023</v>
      </c>
      <c r="M352" s="10">
        <v>50</v>
      </c>
      <c r="N352" s="10">
        <v>50</v>
      </c>
    </row>
    <row r="353" spans="1:14" x14ac:dyDescent="0.2">
      <c r="A353" s="8">
        <v>352</v>
      </c>
      <c r="B353" s="5">
        <v>45054</v>
      </c>
      <c r="C353" s="7" t="s">
        <v>1016</v>
      </c>
      <c r="D353" s="8">
        <v>5</v>
      </c>
      <c r="E353" s="8">
        <v>2023</v>
      </c>
      <c r="F353" s="7" t="s">
        <v>296</v>
      </c>
      <c r="G353" s="7" t="s">
        <v>13</v>
      </c>
      <c r="H353" s="8">
        <v>18</v>
      </c>
      <c r="I353" s="7" t="s">
        <v>1020</v>
      </c>
      <c r="J353" s="7" t="s">
        <v>16</v>
      </c>
      <c r="K353" s="8">
        <v>1</v>
      </c>
      <c r="L353" s="7" t="s">
        <v>1023</v>
      </c>
      <c r="M353" s="10">
        <v>500</v>
      </c>
      <c r="N353" s="10">
        <v>500</v>
      </c>
    </row>
    <row r="354" spans="1:14" x14ac:dyDescent="0.2">
      <c r="A354" s="8">
        <v>353</v>
      </c>
      <c r="B354" s="5">
        <v>45054</v>
      </c>
      <c r="C354" s="7" t="s">
        <v>1016</v>
      </c>
      <c r="D354" s="8">
        <v>5</v>
      </c>
      <c r="E354" s="8">
        <v>2023</v>
      </c>
      <c r="F354" s="7" t="s">
        <v>465</v>
      </c>
      <c r="G354" s="7" t="s">
        <v>13</v>
      </c>
      <c r="H354" s="8">
        <v>48</v>
      </c>
      <c r="I354" s="7" t="s">
        <v>1019</v>
      </c>
      <c r="J354" s="7" t="s">
        <v>14</v>
      </c>
      <c r="K354" s="8">
        <v>3</v>
      </c>
      <c r="L354" s="7" t="s">
        <v>1022</v>
      </c>
      <c r="M354" s="10">
        <v>500</v>
      </c>
      <c r="N354" s="10">
        <v>1500</v>
      </c>
    </row>
    <row r="355" spans="1:14" x14ac:dyDescent="0.2">
      <c r="A355" s="8">
        <v>354</v>
      </c>
      <c r="B355" s="5">
        <v>45054</v>
      </c>
      <c r="C355" s="7" t="s">
        <v>1016</v>
      </c>
      <c r="D355" s="8">
        <v>5</v>
      </c>
      <c r="E355" s="8">
        <v>2023</v>
      </c>
      <c r="F355" s="7" t="s">
        <v>482</v>
      </c>
      <c r="G355" s="7" t="s">
        <v>10</v>
      </c>
      <c r="H355" s="8">
        <v>18</v>
      </c>
      <c r="I355" s="7" t="s">
        <v>1020</v>
      </c>
      <c r="J355" s="7" t="s">
        <v>11</v>
      </c>
      <c r="K355" s="8">
        <v>3</v>
      </c>
      <c r="L355" s="7" t="s">
        <v>1022</v>
      </c>
      <c r="M355" s="10">
        <v>25</v>
      </c>
      <c r="N355" s="10">
        <v>75</v>
      </c>
    </row>
    <row r="356" spans="1:14" x14ac:dyDescent="0.2">
      <c r="A356" s="8">
        <v>355</v>
      </c>
      <c r="B356" s="5">
        <v>45054</v>
      </c>
      <c r="C356" s="7" t="s">
        <v>1016</v>
      </c>
      <c r="D356" s="8">
        <v>5</v>
      </c>
      <c r="E356" s="8">
        <v>2023</v>
      </c>
      <c r="F356" s="7" t="s">
        <v>633</v>
      </c>
      <c r="G356" s="7" t="s">
        <v>10</v>
      </c>
      <c r="H356" s="8">
        <v>63</v>
      </c>
      <c r="I356" s="7" t="s">
        <v>1018</v>
      </c>
      <c r="J356" s="7" t="s">
        <v>16</v>
      </c>
      <c r="K356" s="8">
        <v>3</v>
      </c>
      <c r="L356" s="7" t="s">
        <v>1022</v>
      </c>
      <c r="M356" s="10">
        <v>25</v>
      </c>
      <c r="N356" s="10">
        <v>75</v>
      </c>
    </row>
    <row r="357" spans="1:14" x14ac:dyDescent="0.2">
      <c r="A357" s="8">
        <v>356</v>
      </c>
      <c r="B357" s="5">
        <v>45054</v>
      </c>
      <c r="C357" s="7" t="s">
        <v>1016</v>
      </c>
      <c r="D357" s="8">
        <v>5</v>
      </c>
      <c r="E357" s="8">
        <v>2023</v>
      </c>
      <c r="F357" s="7" t="s">
        <v>959</v>
      </c>
      <c r="G357" s="7" t="s">
        <v>10</v>
      </c>
      <c r="H357" s="8">
        <v>62</v>
      </c>
      <c r="I357" s="7" t="s">
        <v>1018</v>
      </c>
      <c r="J357" s="7" t="s">
        <v>16</v>
      </c>
      <c r="K357" s="8">
        <v>4</v>
      </c>
      <c r="L357" s="7" t="s">
        <v>1025</v>
      </c>
      <c r="M357" s="10">
        <v>500</v>
      </c>
      <c r="N357" s="10">
        <v>2000</v>
      </c>
    </row>
    <row r="358" spans="1:14" x14ac:dyDescent="0.2">
      <c r="A358" s="8">
        <v>357</v>
      </c>
      <c r="B358" s="5">
        <v>45055</v>
      </c>
      <c r="C358" s="7" t="s">
        <v>1016</v>
      </c>
      <c r="D358" s="8">
        <v>5</v>
      </c>
      <c r="E358" s="8">
        <v>2023</v>
      </c>
      <c r="F358" s="7" t="s">
        <v>161</v>
      </c>
      <c r="G358" s="7" t="s">
        <v>10</v>
      </c>
      <c r="H358" s="8">
        <v>18</v>
      </c>
      <c r="I358" s="7" t="s">
        <v>1020</v>
      </c>
      <c r="J358" s="7" t="s">
        <v>14</v>
      </c>
      <c r="K358" s="8">
        <v>2</v>
      </c>
      <c r="L358" s="7" t="s">
        <v>1024</v>
      </c>
      <c r="M358" s="10">
        <v>30</v>
      </c>
      <c r="N358" s="10">
        <v>60</v>
      </c>
    </row>
    <row r="359" spans="1:14" x14ac:dyDescent="0.2">
      <c r="A359" s="8">
        <v>358</v>
      </c>
      <c r="B359" s="5">
        <v>45055</v>
      </c>
      <c r="C359" s="7" t="s">
        <v>1016</v>
      </c>
      <c r="D359" s="8">
        <v>5</v>
      </c>
      <c r="E359" s="8">
        <v>2023</v>
      </c>
      <c r="F359" s="7" t="s">
        <v>427</v>
      </c>
      <c r="G359" s="7" t="s">
        <v>10</v>
      </c>
      <c r="H359" s="8">
        <v>48</v>
      </c>
      <c r="I359" s="7" t="s">
        <v>1019</v>
      </c>
      <c r="J359" s="7" t="s">
        <v>11</v>
      </c>
      <c r="K359" s="8">
        <v>4</v>
      </c>
      <c r="L359" s="7" t="s">
        <v>1025</v>
      </c>
      <c r="M359" s="10">
        <v>25</v>
      </c>
      <c r="N359" s="10">
        <v>100</v>
      </c>
    </row>
    <row r="360" spans="1:14" x14ac:dyDescent="0.2">
      <c r="A360" s="8">
        <v>359</v>
      </c>
      <c r="B360" s="5">
        <v>45055</v>
      </c>
      <c r="C360" s="7" t="s">
        <v>1016</v>
      </c>
      <c r="D360" s="8">
        <v>5</v>
      </c>
      <c r="E360" s="8">
        <v>2023</v>
      </c>
      <c r="F360" s="7" t="s">
        <v>896</v>
      </c>
      <c r="G360" s="7" t="s">
        <v>10</v>
      </c>
      <c r="H360" s="8">
        <v>40</v>
      </c>
      <c r="I360" s="7" t="s">
        <v>1017</v>
      </c>
      <c r="J360" s="7" t="s">
        <v>16</v>
      </c>
      <c r="K360" s="8">
        <v>1</v>
      </c>
      <c r="L360" s="7" t="s">
        <v>1023</v>
      </c>
      <c r="M360" s="10">
        <v>500</v>
      </c>
      <c r="N360" s="10">
        <v>500</v>
      </c>
    </row>
    <row r="361" spans="1:14" x14ac:dyDescent="0.2">
      <c r="A361" s="8">
        <v>360</v>
      </c>
      <c r="B361" s="5">
        <v>45056</v>
      </c>
      <c r="C361" s="7" t="s">
        <v>1016</v>
      </c>
      <c r="D361" s="8">
        <v>5</v>
      </c>
      <c r="E361" s="8">
        <v>2023</v>
      </c>
      <c r="F361" s="7" t="s">
        <v>744</v>
      </c>
      <c r="G361" s="7" t="s">
        <v>10</v>
      </c>
      <c r="H361" s="8">
        <v>54</v>
      </c>
      <c r="I361" s="7" t="s">
        <v>1019</v>
      </c>
      <c r="J361" s="7" t="s">
        <v>14</v>
      </c>
      <c r="K361" s="8">
        <v>4</v>
      </c>
      <c r="L361" s="7" t="s">
        <v>1025</v>
      </c>
      <c r="M361" s="10">
        <v>500</v>
      </c>
      <c r="N361" s="10">
        <v>2000</v>
      </c>
    </row>
    <row r="362" spans="1:14" x14ac:dyDescent="0.2">
      <c r="A362" s="8">
        <v>361</v>
      </c>
      <c r="B362" s="5">
        <v>45056</v>
      </c>
      <c r="C362" s="7" t="s">
        <v>1016</v>
      </c>
      <c r="D362" s="8">
        <v>5</v>
      </c>
      <c r="E362" s="8">
        <v>2023</v>
      </c>
      <c r="F362" s="7" t="s">
        <v>943</v>
      </c>
      <c r="G362" s="7" t="s">
        <v>10</v>
      </c>
      <c r="H362" s="8">
        <v>54</v>
      </c>
      <c r="I362" s="7" t="s">
        <v>1019</v>
      </c>
      <c r="J362" s="7" t="s">
        <v>14</v>
      </c>
      <c r="K362" s="8">
        <v>4</v>
      </c>
      <c r="L362" s="7" t="s">
        <v>1025</v>
      </c>
      <c r="M362" s="10">
        <v>50</v>
      </c>
      <c r="N362" s="10">
        <v>200</v>
      </c>
    </row>
    <row r="363" spans="1:14" x14ac:dyDescent="0.2">
      <c r="A363" s="8">
        <v>362</v>
      </c>
      <c r="B363" s="5">
        <v>45057</v>
      </c>
      <c r="C363" s="7" t="s">
        <v>1016</v>
      </c>
      <c r="D363" s="8">
        <v>5</v>
      </c>
      <c r="E363" s="8">
        <v>2023</v>
      </c>
      <c r="F363" s="7" t="s">
        <v>531</v>
      </c>
      <c r="G363" s="7" t="s">
        <v>13</v>
      </c>
      <c r="H363" s="8">
        <v>40</v>
      </c>
      <c r="I363" s="7" t="s">
        <v>1017</v>
      </c>
      <c r="J363" s="7" t="s">
        <v>14</v>
      </c>
      <c r="K363" s="8">
        <v>1</v>
      </c>
      <c r="L363" s="7" t="s">
        <v>1023</v>
      </c>
      <c r="M363" s="10">
        <v>30</v>
      </c>
      <c r="N363" s="10">
        <v>30</v>
      </c>
    </row>
    <row r="364" spans="1:14" x14ac:dyDescent="0.2">
      <c r="A364" s="8">
        <v>363</v>
      </c>
      <c r="B364" s="5">
        <v>45058</v>
      </c>
      <c r="C364" s="7" t="s">
        <v>1016</v>
      </c>
      <c r="D364" s="8">
        <v>5</v>
      </c>
      <c r="E364" s="8">
        <v>2023</v>
      </c>
      <c r="F364" s="7" t="s">
        <v>771</v>
      </c>
      <c r="G364" s="7" t="s">
        <v>10</v>
      </c>
      <c r="H364" s="8">
        <v>64</v>
      </c>
      <c r="I364" s="7" t="s">
        <v>1018</v>
      </c>
      <c r="J364" s="7" t="s">
        <v>14</v>
      </c>
      <c r="K364" s="8">
        <v>4</v>
      </c>
      <c r="L364" s="7" t="s">
        <v>1025</v>
      </c>
      <c r="M364" s="10">
        <v>25</v>
      </c>
      <c r="N364" s="10">
        <v>100</v>
      </c>
    </row>
    <row r="365" spans="1:14" x14ac:dyDescent="0.2">
      <c r="A365" s="8">
        <v>364</v>
      </c>
      <c r="B365" s="5">
        <v>45059</v>
      </c>
      <c r="C365" s="7" t="s">
        <v>1016</v>
      </c>
      <c r="D365" s="8">
        <v>5</v>
      </c>
      <c r="E365" s="8">
        <v>2023</v>
      </c>
      <c r="F365" s="7" t="s">
        <v>652</v>
      </c>
      <c r="G365" s="7" t="s">
        <v>13</v>
      </c>
      <c r="H365" s="8">
        <v>62</v>
      </c>
      <c r="I365" s="7" t="s">
        <v>1018</v>
      </c>
      <c r="J365" s="7" t="s">
        <v>11</v>
      </c>
      <c r="K365" s="8">
        <v>4</v>
      </c>
      <c r="L365" s="7" t="s">
        <v>1025</v>
      </c>
      <c r="M365" s="10">
        <v>50</v>
      </c>
      <c r="N365" s="10">
        <v>200</v>
      </c>
    </row>
    <row r="366" spans="1:14" x14ac:dyDescent="0.2">
      <c r="A366" s="8">
        <v>365</v>
      </c>
      <c r="B366" s="5">
        <v>45059</v>
      </c>
      <c r="C366" s="7" t="s">
        <v>1016</v>
      </c>
      <c r="D366" s="8">
        <v>5</v>
      </c>
      <c r="E366" s="8">
        <v>2023</v>
      </c>
      <c r="F366" s="7" t="s">
        <v>851</v>
      </c>
      <c r="G366" s="7" t="s">
        <v>10</v>
      </c>
      <c r="H366" s="8">
        <v>47</v>
      </c>
      <c r="I366" s="7" t="s">
        <v>1019</v>
      </c>
      <c r="J366" s="7" t="s">
        <v>16</v>
      </c>
      <c r="K366" s="8">
        <v>2</v>
      </c>
      <c r="L366" s="7" t="s">
        <v>1024</v>
      </c>
      <c r="M366" s="10">
        <v>300</v>
      </c>
      <c r="N366" s="10">
        <v>600</v>
      </c>
    </row>
    <row r="367" spans="1:14" x14ac:dyDescent="0.2">
      <c r="A367" s="8">
        <v>366</v>
      </c>
      <c r="B367" s="5">
        <v>45060</v>
      </c>
      <c r="C367" s="7" t="s">
        <v>1016</v>
      </c>
      <c r="D367" s="8">
        <v>5</v>
      </c>
      <c r="E367" s="8">
        <v>2023</v>
      </c>
      <c r="F367" s="7" t="s">
        <v>366</v>
      </c>
      <c r="G367" s="7" t="s">
        <v>10</v>
      </c>
      <c r="H367" s="8">
        <v>31</v>
      </c>
      <c r="I367" s="7" t="s">
        <v>1021</v>
      </c>
      <c r="J367" s="7" t="s">
        <v>16</v>
      </c>
      <c r="K367" s="8">
        <v>1</v>
      </c>
      <c r="L367" s="7" t="s">
        <v>1023</v>
      </c>
      <c r="M367" s="10">
        <v>500</v>
      </c>
      <c r="N367" s="10">
        <v>500</v>
      </c>
    </row>
    <row r="368" spans="1:14" x14ac:dyDescent="0.2">
      <c r="A368" s="8">
        <v>367</v>
      </c>
      <c r="B368" s="5">
        <v>45060</v>
      </c>
      <c r="C368" s="7" t="s">
        <v>1016</v>
      </c>
      <c r="D368" s="8">
        <v>5</v>
      </c>
      <c r="E368" s="8">
        <v>2023</v>
      </c>
      <c r="F368" s="7" t="s">
        <v>514</v>
      </c>
      <c r="G368" s="7" t="s">
        <v>10</v>
      </c>
      <c r="H368" s="8">
        <v>39</v>
      </c>
      <c r="I368" s="7" t="s">
        <v>1017</v>
      </c>
      <c r="J368" s="7" t="s">
        <v>16</v>
      </c>
      <c r="K368" s="8">
        <v>2</v>
      </c>
      <c r="L368" s="7" t="s">
        <v>1024</v>
      </c>
      <c r="M368" s="10">
        <v>30</v>
      </c>
      <c r="N368" s="10">
        <v>60</v>
      </c>
    </row>
    <row r="369" spans="1:14" x14ac:dyDescent="0.2">
      <c r="A369" s="8">
        <v>368</v>
      </c>
      <c r="B369" s="5">
        <v>45060</v>
      </c>
      <c r="C369" s="7" t="s">
        <v>1016</v>
      </c>
      <c r="D369" s="8">
        <v>5</v>
      </c>
      <c r="E369" s="8">
        <v>2023</v>
      </c>
      <c r="F369" s="7" t="s">
        <v>734</v>
      </c>
      <c r="G369" s="7" t="s">
        <v>13</v>
      </c>
      <c r="H369" s="8">
        <v>52</v>
      </c>
      <c r="I369" s="7" t="s">
        <v>1019</v>
      </c>
      <c r="J369" s="7" t="s">
        <v>14</v>
      </c>
      <c r="K369" s="8">
        <v>1</v>
      </c>
      <c r="L369" s="7" t="s">
        <v>1023</v>
      </c>
      <c r="M369" s="10">
        <v>500</v>
      </c>
      <c r="N369" s="10">
        <v>500</v>
      </c>
    </row>
    <row r="370" spans="1:14" x14ac:dyDescent="0.2">
      <c r="A370" s="8">
        <v>369</v>
      </c>
      <c r="B370" s="5">
        <v>45061</v>
      </c>
      <c r="C370" s="7" t="s">
        <v>1016</v>
      </c>
      <c r="D370" s="8">
        <v>5</v>
      </c>
      <c r="E370" s="8">
        <v>2023</v>
      </c>
      <c r="F370" s="7" t="s">
        <v>136</v>
      </c>
      <c r="G370" s="7" t="s">
        <v>13</v>
      </c>
      <c r="H370" s="8">
        <v>40</v>
      </c>
      <c r="I370" s="7" t="s">
        <v>1017</v>
      </c>
      <c r="J370" s="7" t="s">
        <v>16</v>
      </c>
      <c r="K370" s="8">
        <v>2</v>
      </c>
      <c r="L370" s="7" t="s">
        <v>1024</v>
      </c>
      <c r="M370" s="10">
        <v>30</v>
      </c>
      <c r="N370" s="10">
        <v>60</v>
      </c>
    </row>
    <row r="371" spans="1:14" x14ac:dyDescent="0.2">
      <c r="A371" s="8">
        <v>370</v>
      </c>
      <c r="B371" s="5">
        <v>45061</v>
      </c>
      <c r="C371" s="7" t="s">
        <v>1016</v>
      </c>
      <c r="D371" s="8">
        <v>5</v>
      </c>
      <c r="E371" s="8">
        <v>2023</v>
      </c>
      <c r="F371" s="7" t="s">
        <v>177</v>
      </c>
      <c r="G371" s="7" t="s">
        <v>13</v>
      </c>
      <c r="H371" s="8">
        <v>47</v>
      </c>
      <c r="I371" s="7" t="s">
        <v>1019</v>
      </c>
      <c r="J371" s="7" t="s">
        <v>11</v>
      </c>
      <c r="K371" s="8">
        <v>3</v>
      </c>
      <c r="L371" s="7" t="s">
        <v>1022</v>
      </c>
      <c r="M371" s="10">
        <v>500</v>
      </c>
      <c r="N371" s="10">
        <v>1500</v>
      </c>
    </row>
    <row r="372" spans="1:14" x14ac:dyDescent="0.2">
      <c r="A372" s="8">
        <v>371</v>
      </c>
      <c r="B372" s="5">
        <v>45061</v>
      </c>
      <c r="C372" s="7" t="s">
        <v>1016</v>
      </c>
      <c r="D372" s="8">
        <v>5</v>
      </c>
      <c r="E372" s="8">
        <v>2023</v>
      </c>
      <c r="F372" s="7" t="s">
        <v>438</v>
      </c>
      <c r="G372" s="7" t="s">
        <v>13</v>
      </c>
      <c r="H372" s="8">
        <v>55</v>
      </c>
      <c r="I372" s="7" t="s">
        <v>1019</v>
      </c>
      <c r="J372" s="7" t="s">
        <v>16</v>
      </c>
      <c r="K372" s="8">
        <v>4</v>
      </c>
      <c r="L372" s="7" t="s">
        <v>1025</v>
      </c>
      <c r="M372" s="10">
        <v>30</v>
      </c>
      <c r="N372" s="10">
        <v>120</v>
      </c>
    </row>
    <row r="373" spans="1:14" x14ac:dyDescent="0.2">
      <c r="A373" s="8">
        <v>372</v>
      </c>
      <c r="B373" s="5">
        <v>45062</v>
      </c>
      <c r="C373" s="7" t="s">
        <v>1016</v>
      </c>
      <c r="D373" s="8">
        <v>5</v>
      </c>
      <c r="E373" s="8">
        <v>2023</v>
      </c>
      <c r="F373" s="7" t="s">
        <v>61</v>
      </c>
      <c r="G373" s="7" t="s">
        <v>10</v>
      </c>
      <c r="H373" s="8">
        <v>54</v>
      </c>
      <c r="I373" s="7" t="s">
        <v>1019</v>
      </c>
      <c r="J373" s="7" t="s">
        <v>16</v>
      </c>
      <c r="K373" s="8">
        <v>3</v>
      </c>
      <c r="L373" s="7" t="s">
        <v>1022</v>
      </c>
      <c r="M373" s="10">
        <v>300</v>
      </c>
      <c r="N373" s="10">
        <v>900</v>
      </c>
    </row>
    <row r="374" spans="1:14" x14ac:dyDescent="0.2">
      <c r="A374" s="8">
        <v>373</v>
      </c>
      <c r="B374" s="5">
        <v>45062</v>
      </c>
      <c r="C374" s="7" t="s">
        <v>1016</v>
      </c>
      <c r="D374" s="8">
        <v>5</v>
      </c>
      <c r="E374" s="8">
        <v>2023</v>
      </c>
      <c r="F374" s="7" t="s">
        <v>131</v>
      </c>
      <c r="G374" s="7" t="s">
        <v>13</v>
      </c>
      <c r="H374" s="8">
        <v>30</v>
      </c>
      <c r="I374" s="7" t="s">
        <v>1021</v>
      </c>
      <c r="J374" s="7" t="s">
        <v>16</v>
      </c>
      <c r="K374" s="8">
        <v>4</v>
      </c>
      <c r="L374" s="7" t="s">
        <v>1025</v>
      </c>
      <c r="M374" s="10">
        <v>500</v>
      </c>
      <c r="N374" s="10">
        <v>2000</v>
      </c>
    </row>
    <row r="375" spans="1:14" x14ac:dyDescent="0.2">
      <c r="A375" s="8">
        <v>374</v>
      </c>
      <c r="B375" s="5">
        <v>45062</v>
      </c>
      <c r="C375" s="7" t="s">
        <v>1016</v>
      </c>
      <c r="D375" s="8">
        <v>5</v>
      </c>
      <c r="E375" s="8">
        <v>2023</v>
      </c>
      <c r="F375" s="7" t="s">
        <v>216</v>
      </c>
      <c r="G375" s="7" t="s">
        <v>10</v>
      </c>
      <c r="H375" s="8">
        <v>56</v>
      </c>
      <c r="I375" s="7" t="s">
        <v>1018</v>
      </c>
      <c r="J375" s="7" t="s">
        <v>14</v>
      </c>
      <c r="K375" s="8">
        <v>2</v>
      </c>
      <c r="L375" s="7" t="s">
        <v>1024</v>
      </c>
      <c r="M375" s="10">
        <v>500</v>
      </c>
      <c r="N375" s="10">
        <v>1000</v>
      </c>
    </row>
    <row r="376" spans="1:14" x14ac:dyDescent="0.2">
      <c r="A376" s="8">
        <v>375</v>
      </c>
      <c r="B376" s="5">
        <v>45062</v>
      </c>
      <c r="C376" s="7" t="s">
        <v>1016</v>
      </c>
      <c r="D376" s="8">
        <v>5</v>
      </c>
      <c r="E376" s="8">
        <v>2023</v>
      </c>
      <c r="F376" s="7" t="s">
        <v>318</v>
      </c>
      <c r="G376" s="7" t="s">
        <v>13</v>
      </c>
      <c r="H376" s="8">
        <v>18</v>
      </c>
      <c r="I376" s="7" t="s">
        <v>1020</v>
      </c>
      <c r="J376" s="7" t="s">
        <v>11</v>
      </c>
      <c r="K376" s="8">
        <v>1</v>
      </c>
      <c r="L376" s="7" t="s">
        <v>1023</v>
      </c>
      <c r="M376" s="10">
        <v>30</v>
      </c>
      <c r="N376" s="10">
        <v>30</v>
      </c>
    </row>
    <row r="377" spans="1:14" x14ac:dyDescent="0.2">
      <c r="A377" s="8">
        <v>376</v>
      </c>
      <c r="B377" s="5">
        <v>45062</v>
      </c>
      <c r="C377" s="7" t="s">
        <v>1016</v>
      </c>
      <c r="D377" s="8">
        <v>5</v>
      </c>
      <c r="E377" s="8">
        <v>2023</v>
      </c>
      <c r="F377" s="7" t="s">
        <v>371</v>
      </c>
      <c r="G377" s="7" t="s">
        <v>13</v>
      </c>
      <c r="H377" s="8">
        <v>32</v>
      </c>
      <c r="I377" s="7" t="s">
        <v>1021</v>
      </c>
      <c r="J377" s="7" t="s">
        <v>11</v>
      </c>
      <c r="K377" s="8">
        <v>1</v>
      </c>
      <c r="L377" s="7" t="s">
        <v>1023</v>
      </c>
      <c r="M377" s="10">
        <v>300</v>
      </c>
      <c r="N377" s="10">
        <v>300</v>
      </c>
    </row>
    <row r="378" spans="1:14" x14ac:dyDescent="0.2">
      <c r="A378" s="8">
        <v>377</v>
      </c>
      <c r="B378" s="5">
        <v>45062</v>
      </c>
      <c r="C378" s="7" t="s">
        <v>1016</v>
      </c>
      <c r="D378" s="8">
        <v>5</v>
      </c>
      <c r="E378" s="8">
        <v>2023</v>
      </c>
      <c r="F378" s="7" t="s">
        <v>389</v>
      </c>
      <c r="G378" s="7" t="s">
        <v>13</v>
      </c>
      <c r="H378" s="8">
        <v>64</v>
      </c>
      <c r="I378" s="7" t="s">
        <v>1018</v>
      </c>
      <c r="J378" s="7" t="s">
        <v>11</v>
      </c>
      <c r="K378" s="8">
        <v>1</v>
      </c>
      <c r="L378" s="7" t="s">
        <v>1023</v>
      </c>
      <c r="M378" s="10">
        <v>30</v>
      </c>
      <c r="N378" s="10">
        <v>30</v>
      </c>
    </row>
    <row r="379" spans="1:14" x14ac:dyDescent="0.2">
      <c r="A379" s="8">
        <v>378</v>
      </c>
      <c r="B379" s="5">
        <v>45062</v>
      </c>
      <c r="C379" s="7" t="s">
        <v>1016</v>
      </c>
      <c r="D379" s="8">
        <v>5</v>
      </c>
      <c r="E379" s="8">
        <v>2023</v>
      </c>
      <c r="F379" s="7" t="s">
        <v>411</v>
      </c>
      <c r="G379" s="7" t="s">
        <v>13</v>
      </c>
      <c r="H379" s="8">
        <v>48</v>
      </c>
      <c r="I379" s="7" t="s">
        <v>1019</v>
      </c>
      <c r="J379" s="7" t="s">
        <v>14</v>
      </c>
      <c r="K379" s="8">
        <v>2</v>
      </c>
      <c r="L379" s="7" t="s">
        <v>1024</v>
      </c>
      <c r="M379" s="10">
        <v>300</v>
      </c>
      <c r="N379" s="10">
        <v>600</v>
      </c>
    </row>
    <row r="380" spans="1:14" x14ac:dyDescent="0.2">
      <c r="A380" s="8">
        <v>379</v>
      </c>
      <c r="B380" s="5">
        <v>45062</v>
      </c>
      <c r="C380" s="7" t="s">
        <v>1016</v>
      </c>
      <c r="D380" s="8">
        <v>5</v>
      </c>
      <c r="E380" s="8">
        <v>2023</v>
      </c>
      <c r="F380" s="7" t="s">
        <v>424</v>
      </c>
      <c r="G380" s="7" t="s">
        <v>10</v>
      </c>
      <c r="H380" s="8">
        <v>62</v>
      </c>
      <c r="I380" s="7" t="s">
        <v>1018</v>
      </c>
      <c r="J380" s="7" t="s">
        <v>16</v>
      </c>
      <c r="K380" s="8">
        <v>4</v>
      </c>
      <c r="L380" s="7" t="s">
        <v>1025</v>
      </c>
      <c r="M380" s="10">
        <v>50</v>
      </c>
      <c r="N380" s="10">
        <v>200</v>
      </c>
    </row>
    <row r="381" spans="1:14" x14ac:dyDescent="0.2">
      <c r="A381" s="8">
        <v>380</v>
      </c>
      <c r="B381" s="5">
        <v>45062</v>
      </c>
      <c r="C381" s="7" t="s">
        <v>1016</v>
      </c>
      <c r="D381" s="8">
        <v>5</v>
      </c>
      <c r="E381" s="8">
        <v>2023</v>
      </c>
      <c r="F381" s="7" t="s">
        <v>517</v>
      </c>
      <c r="G381" s="7" t="s">
        <v>13</v>
      </c>
      <c r="H381" s="8">
        <v>38</v>
      </c>
      <c r="I381" s="7" t="s">
        <v>1017</v>
      </c>
      <c r="J381" s="7" t="s">
        <v>11</v>
      </c>
      <c r="K381" s="8">
        <v>3</v>
      </c>
      <c r="L381" s="7" t="s">
        <v>1022</v>
      </c>
      <c r="M381" s="10">
        <v>50</v>
      </c>
      <c r="N381" s="10">
        <v>150</v>
      </c>
    </row>
    <row r="382" spans="1:14" x14ac:dyDescent="0.2">
      <c r="A382" s="8">
        <v>381</v>
      </c>
      <c r="B382" s="5">
        <v>45062</v>
      </c>
      <c r="C382" s="7" t="s">
        <v>1016</v>
      </c>
      <c r="D382" s="8">
        <v>5</v>
      </c>
      <c r="E382" s="8">
        <v>2023</v>
      </c>
      <c r="F382" s="7" t="s">
        <v>983</v>
      </c>
      <c r="G382" s="7" t="s">
        <v>10</v>
      </c>
      <c r="H382" s="8">
        <v>59</v>
      </c>
      <c r="I382" s="7" t="s">
        <v>1018</v>
      </c>
      <c r="J382" s="7" t="s">
        <v>16</v>
      </c>
      <c r="K382" s="8">
        <v>4</v>
      </c>
      <c r="L382" s="7" t="s">
        <v>1025</v>
      </c>
      <c r="M382" s="10">
        <v>500</v>
      </c>
      <c r="N382" s="10">
        <v>2000</v>
      </c>
    </row>
    <row r="383" spans="1:14" x14ac:dyDescent="0.2">
      <c r="A383" s="8">
        <v>382</v>
      </c>
      <c r="B383" s="5">
        <v>45062</v>
      </c>
      <c r="C383" s="7" t="s">
        <v>1016</v>
      </c>
      <c r="D383" s="8">
        <v>5</v>
      </c>
      <c r="E383" s="8">
        <v>2023</v>
      </c>
      <c r="F383" s="7" t="s">
        <v>1009</v>
      </c>
      <c r="G383" s="7" t="s">
        <v>10</v>
      </c>
      <c r="H383" s="8">
        <v>62</v>
      </c>
      <c r="I383" s="7" t="s">
        <v>1018</v>
      </c>
      <c r="J383" s="7" t="s">
        <v>14</v>
      </c>
      <c r="K383" s="8">
        <v>1</v>
      </c>
      <c r="L383" s="7" t="s">
        <v>1023</v>
      </c>
      <c r="M383" s="10">
        <v>50</v>
      </c>
      <c r="N383" s="10">
        <v>50</v>
      </c>
    </row>
    <row r="384" spans="1:14" x14ac:dyDescent="0.2">
      <c r="A384" s="8">
        <v>383</v>
      </c>
      <c r="B384" s="5">
        <v>45063</v>
      </c>
      <c r="C384" s="7" t="s">
        <v>1016</v>
      </c>
      <c r="D384" s="8">
        <v>5</v>
      </c>
      <c r="E384" s="8">
        <v>2023</v>
      </c>
      <c r="F384" s="7" t="s">
        <v>94</v>
      </c>
      <c r="G384" s="7" t="s">
        <v>10</v>
      </c>
      <c r="H384" s="8">
        <v>40</v>
      </c>
      <c r="I384" s="7" t="s">
        <v>1017</v>
      </c>
      <c r="J384" s="7" t="s">
        <v>16</v>
      </c>
      <c r="K384" s="8">
        <v>1</v>
      </c>
      <c r="L384" s="7" t="s">
        <v>1023</v>
      </c>
      <c r="M384" s="10">
        <v>50</v>
      </c>
      <c r="N384" s="10">
        <v>50</v>
      </c>
    </row>
    <row r="385" spans="1:14" x14ac:dyDescent="0.2">
      <c r="A385" s="8">
        <v>384</v>
      </c>
      <c r="B385" s="5">
        <v>45063</v>
      </c>
      <c r="C385" s="7" t="s">
        <v>1016</v>
      </c>
      <c r="D385" s="8">
        <v>5</v>
      </c>
      <c r="E385" s="8">
        <v>2023</v>
      </c>
      <c r="F385" s="7" t="s">
        <v>168</v>
      </c>
      <c r="G385" s="7" t="s">
        <v>10</v>
      </c>
      <c r="H385" s="8">
        <v>31</v>
      </c>
      <c r="I385" s="7" t="s">
        <v>1021</v>
      </c>
      <c r="J385" s="7" t="s">
        <v>16</v>
      </c>
      <c r="K385" s="8">
        <v>4</v>
      </c>
      <c r="L385" s="7" t="s">
        <v>1025</v>
      </c>
      <c r="M385" s="10">
        <v>500</v>
      </c>
      <c r="N385" s="10">
        <v>2000</v>
      </c>
    </row>
    <row r="386" spans="1:14" x14ac:dyDescent="0.2">
      <c r="A386" s="8">
        <v>385</v>
      </c>
      <c r="B386" s="5">
        <v>45063</v>
      </c>
      <c r="C386" s="7" t="s">
        <v>1016</v>
      </c>
      <c r="D386" s="8">
        <v>5</v>
      </c>
      <c r="E386" s="8">
        <v>2023</v>
      </c>
      <c r="F386" s="7" t="s">
        <v>483</v>
      </c>
      <c r="G386" s="7" t="s">
        <v>13</v>
      </c>
      <c r="H386" s="8">
        <v>57</v>
      </c>
      <c r="I386" s="7" t="s">
        <v>1018</v>
      </c>
      <c r="J386" s="7" t="s">
        <v>14</v>
      </c>
      <c r="K386" s="8">
        <v>2</v>
      </c>
      <c r="L386" s="7" t="s">
        <v>1024</v>
      </c>
      <c r="M386" s="10">
        <v>500</v>
      </c>
      <c r="N386" s="10">
        <v>1000</v>
      </c>
    </row>
    <row r="387" spans="1:14" x14ac:dyDescent="0.2">
      <c r="A387" s="8">
        <v>386</v>
      </c>
      <c r="B387" s="5">
        <v>45064</v>
      </c>
      <c r="C387" s="7" t="s">
        <v>1016</v>
      </c>
      <c r="D387" s="8">
        <v>5</v>
      </c>
      <c r="E387" s="8">
        <v>2023</v>
      </c>
      <c r="F387" s="7" t="s">
        <v>119</v>
      </c>
      <c r="G387" s="7" t="s">
        <v>13</v>
      </c>
      <c r="H387" s="8">
        <v>46</v>
      </c>
      <c r="I387" s="7" t="s">
        <v>1019</v>
      </c>
      <c r="J387" s="7" t="s">
        <v>14</v>
      </c>
      <c r="K387" s="8">
        <v>1</v>
      </c>
      <c r="L387" s="7" t="s">
        <v>1023</v>
      </c>
      <c r="M387" s="10">
        <v>50</v>
      </c>
      <c r="N387" s="10">
        <v>50</v>
      </c>
    </row>
    <row r="388" spans="1:14" x14ac:dyDescent="0.2">
      <c r="A388" s="8">
        <v>387</v>
      </c>
      <c r="B388" s="5">
        <v>45064</v>
      </c>
      <c r="C388" s="7" t="s">
        <v>1016</v>
      </c>
      <c r="D388" s="8">
        <v>5</v>
      </c>
      <c r="E388" s="8">
        <v>2023</v>
      </c>
      <c r="F388" s="7" t="s">
        <v>831</v>
      </c>
      <c r="G388" s="7" t="s">
        <v>10</v>
      </c>
      <c r="H388" s="8">
        <v>30</v>
      </c>
      <c r="I388" s="7" t="s">
        <v>1021</v>
      </c>
      <c r="J388" s="7" t="s">
        <v>16</v>
      </c>
      <c r="K388" s="8">
        <v>1</v>
      </c>
      <c r="L388" s="7" t="s">
        <v>1023</v>
      </c>
      <c r="M388" s="10">
        <v>500</v>
      </c>
      <c r="N388" s="10">
        <v>500</v>
      </c>
    </row>
    <row r="389" spans="1:14" x14ac:dyDescent="0.2">
      <c r="A389" s="8">
        <v>388</v>
      </c>
      <c r="B389" s="5">
        <v>45065</v>
      </c>
      <c r="C389" s="7" t="s">
        <v>1016</v>
      </c>
      <c r="D389" s="8">
        <v>5</v>
      </c>
      <c r="E389" s="8">
        <v>2023</v>
      </c>
      <c r="F389" s="7" t="s">
        <v>107</v>
      </c>
      <c r="G389" s="7" t="s">
        <v>13</v>
      </c>
      <c r="H389" s="8">
        <v>47</v>
      </c>
      <c r="I389" s="7" t="s">
        <v>1019</v>
      </c>
      <c r="J389" s="7" t="s">
        <v>11</v>
      </c>
      <c r="K389" s="8">
        <v>2</v>
      </c>
      <c r="L389" s="7" t="s">
        <v>1024</v>
      </c>
      <c r="M389" s="10">
        <v>500</v>
      </c>
      <c r="N389" s="10">
        <v>1000</v>
      </c>
    </row>
    <row r="390" spans="1:14" x14ac:dyDescent="0.2">
      <c r="A390" s="8">
        <v>389</v>
      </c>
      <c r="B390" s="5">
        <v>45065</v>
      </c>
      <c r="C390" s="7" t="s">
        <v>1016</v>
      </c>
      <c r="D390" s="8">
        <v>5</v>
      </c>
      <c r="E390" s="8">
        <v>2023</v>
      </c>
      <c r="F390" s="7" t="s">
        <v>824</v>
      </c>
      <c r="G390" s="7" t="s">
        <v>10</v>
      </c>
      <c r="H390" s="8">
        <v>61</v>
      </c>
      <c r="I390" s="7" t="s">
        <v>1018</v>
      </c>
      <c r="J390" s="7" t="s">
        <v>11</v>
      </c>
      <c r="K390" s="8">
        <v>2</v>
      </c>
      <c r="L390" s="7" t="s">
        <v>1024</v>
      </c>
      <c r="M390" s="10">
        <v>25</v>
      </c>
      <c r="N390" s="10">
        <v>50</v>
      </c>
    </row>
    <row r="391" spans="1:14" x14ac:dyDescent="0.2">
      <c r="A391" s="8">
        <v>390</v>
      </c>
      <c r="B391" s="5">
        <v>45065</v>
      </c>
      <c r="C391" s="7" t="s">
        <v>1016</v>
      </c>
      <c r="D391" s="8">
        <v>5</v>
      </c>
      <c r="E391" s="8">
        <v>2023</v>
      </c>
      <c r="F391" s="7" t="s">
        <v>894</v>
      </c>
      <c r="G391" s="7" t="s">
        <v>10</v>
      </c>
      <c r="H391" s="8">
        <v>22</v>
      </c>
      <c r="I391" s="7" t="s">
        <v>1021</v>
      </c>
      <c r="J391" s="7" t="s">
        <v>16</v>
      </c>
      <c r="K391" s="8">
        <v>1</v>
      </c>
      <c r="L391" s="7" t="s">
        <v>1023</v>
      </c>
      <c r="M391" s="10">
        <v>300</v>
      </c>
      <c r="N391" s="10">
        <v>300</v>
      </c>
    </row>
    <row r="392" spans="1:14" x14ac:dyDescent="0.2">
      <c r="A392" s="8">
        <v>391</v>
      </c>
      <c r="B392" s="5">
        <v>45066</v>
      </c>
      <c r="C392" s="7" t="s">
        <v>1016</v>
      </c>
      <c r="D392" s="8">
        <v>5</v>
      </c>
      <c r="E392" s="8">
        <v>2023</v>
      </c>
      <c r="F392" s="7" t="s">
        <v>416</v>
      </c>
      <c r="G392" s="7" t="s">
        <v>10</v>
      </c>
      <c r="H392" s="8">
        <v>32</v>
      </c>
      <c r="I392" s="7" t="s">
        <v>1021</v>
      </c>
      <c r="J392" s="7" t="s">
        <v>14</v>
      </c>
      <c r="K392" s="8">
        <v>2</v>
      </c>
      <c r="L392" s="7" t="s">
        <v>1024</v>
      </c>
      <c r="M392" s="10">
        <v>300</v>
      </c>
      <c r="N392" s="10">
        <v>600</v>
      </c>
    </row>
    <row r="393" spans="1:14" x14ac:dyDescent="0.2">
      <c r="A393" s="8">
        <v>392</v>
      </c>
      <c r="B393" s="5">
        <v>45066</v>
      </c>
      <c r="C393" s="7" t="s">
        <v>1016</v>
      </c>
      <c r="D393" s="8">
        <v>5</v>
      </c>
      <c r="E393" s="8">
        <v>2023</v>
      </c>
      <c r="F393" s="7" t="s">
        <v>666</v>
      </c>
      <c r="G393" s="7" t="s">
        <v>10</v>
      </c>
      <c r="H393" s="8">
        <v>54</v>
      </c>
      <c r="I393" s="7" t="s">
        <v>1019</v>
      </c>
      <c r="J393" s="7" t="s">
        <v>14</v>
      </c>
      <c r="K393" s="8">
        <v>3</v>
      </c>
      <c r="L393" s="7" t="s">
        <v>1022</v>
      </c>
      <c r="M393" s="10">
        <v>25</v>
      </c>
      <c r="N393" s="10">
        <v>75</v>
      </c>
    </row>
    <row r="394" spans="1:14" x14ac:dyDescent="0.2">
      <c r="A394" s="8">
        <v>393</v>
      </c>
      <c r="B394" s="5">
        <v>45066</v>
      </c>
      <c r="C394" s="7" t="s">
        <v>1016</v>
      </c>
      <c r="D394" s="8">
        <v>5</v>
      </c>
      <c r="E394" s="8">
        <v>2023</v>
      </c>
      <c r="F394" s="7" t="s">
        <v>707</v>
      </c>
      <c r="G394" s="7" t="s">
        <v>13</v>
      </c>
      <c r="H394" s="8">
        <v>39</v>
      </c>
      <c r="I394" s="7" t="s">
        <v>1017</v>
      </c>
      <c r="J394" s="7" t="s">
        <v>16</v>
      </c>
      <c r="K394" s="8">
        <v>2</v>
      </c>
      <c r="L394" s="7" t="s">
        <v>1024</v>
      </c>
      <c r="M394" s="10">
        <v>25</v>
      </c>
      <c r="N394" s="10">
        <v>50</v>
      </c>
    </row>
    <row r="395" spans="1:14" x14ac:dyDescent="0.2">
      <c r="A395" s="8">
        <v>394</v>
      </c>
      <c r="B395" s="5">
        <v>45067</v>
      </c>
      <c r="C395" s="7" t="s">
        <v>1016</v>
      </c>
      <c r="D395" s="8">
        <v>5</v>
      </c>
      <c r="E395" s="8">
        <v>2023</v>
      </c>
      <c r="F395" s="7" t="s">
        <v>17</v>
      </c>
      <c r="G395" s="7" t="s">
        <v>10</v>
      </c>
      <c r="H395" s="8">
        <v>37</v>
      </c>
      <c r="I395" s="7" t="s">
        <v>1017</v>
      </c>
      <c r="J395" s="7" t="s">
        <v>14</v>
      </c>
      <c r="K395" s="8">
        <v>1</v>
      </c>
      <c r="L395" s="7" t="s">
        <v>1023</v>
      </c>
      <c r="M395" s="10">
        <v>500</v>
      </c>
      <c r="N395" s="10">
        <v>500</v>
      </c>
    </row>
    <row r="396" spans="1:14" x14ac:dyDescent="0.2">
      <c r="A396" s="8">
        <v>395</v>
      </c>
      <c r="B396" s="5">
        <v>45067</v>
      </c>
      <c r="C396" s="7" t="s">
        <v>1016</v>
      </c>
      <c r="D396" s="8">
        <v>5</v>
      </c>
      <c r="E396" s="8">
        <v>2023</v>
      </c>
      <c r="F396" s="7" t="s">
        <v>660</v>
      </c>
      <c r="G396" s="7" t="s">
        <v>10</v>
      </c>
      <c r="H396" s="8">
        <v>59</v>
      </c>
      <c r="I396" s="7" t="s">
        <v>1018</v>
      </c>
      <c r="J396" s="7" t="s">
        <v>14</v>
      </c>
      <c r="K396" s="8">
        <v>3</v>
      </c>
      <c r="L396" s="7" t="s">
        <v>1022</v>
      </c>
      <c r="M396" s="10">
        <v>500</v>
      </c>
      <c r="N396" s="10">
        <v>1500</v>
      </c>
    </row>
    <row r="397" spans="1:14" x14ac:dyDescent="0.2">
      <c r="A397" s="8">
        <v>396</v>
      </c>
      <c r="B397" s="5">
        <v>45067</v>
      </c>
      <c r="C397" s="7" t="s">
        <v>1016</v>
      </c>
      <c r="D397" s="8">
        <v>5</v>
      </c>
      <c r="E397" s="8">
        <v>2023</v>
      </c>
      <c r="F397" s="7" t="s">
        <v>924</v>
      </c>
      <c r="G397" s="7" t="s">
        <v>10</v>
      </c>
      <c r="H397" s="8">
        <v>42</v>
      </c>
      <c r="I397" s="7" t="s">
        <v>1017</v>
      </c>
      <c r="J397" s="7" t="s">
        <v>16</v>
      </c>
      <c r="K397" s="8">
        <v>3</v>
      </c>
      <c r="L397" s="7" t="s">
        <v>1022</v>
      </c>
      <c r="M397" s="10">
        <v>300</v>
      </c>
      <c r="N397" s="10">
        <v>900</v>
      </c>
    </row>
    <row r="398" spans="1:14" x14ac:dyDescent="0.2">
      <c r="A398" s="8">
        <v>397</v>
      </c>
      <c r="B398" s="5">
        <v>45068</v>
      </c>
      <c r="C398" s="7" t="s">
        <v>1016</v>
      </c>
      <c r="D398" s="8">
        <v>5</v>
      </c>
      <c r="E398" s="8">
        <v>2023</v>
      </c>
      <c r="F398" s="7" t="s">
        <v>432</v>
      </c>
      <c r="G398" s="7" t="s">
        <v>13</v>
      </c>
      <c r="H398" s="8">
        <v>44</v>
      </c>
      <c r="I398" s="7" t="s">
        <v>1017</v>
      </c>
      <c r="J398" s="7" t="s">
        <v>14</v>
      </c>
      <c r="K398" s="8">
        <v>3</v>
      </c>
      <c r="L398" s="7" t="s">
        <v>1022</v>
      </c>
      <c r="M398" s="10">
        <v>30</v>
      </c>
      <c r="N398" s="10">
        <v>90</v>
      </c>
    </row>
    <row r="399" spans="1:14" x14ac:dyDescent="0.2">
      <c r="A399" s="8">
        <v>398</v>
      </c>
      <c r="B399" s="5">
        <v>45068</v>
      </c>
      <c r="C399" s="7" t="s">
        <v>1016</v>
      </c>
      <c r="D399" s="8">
        <v>5</v>
      </c>
      <c r="E399" s="8">
        <v>2023</v>
      </c>
      <c r="F399" s="7" t="s">
        <v>655</v>
      </c>
      <c r="G399" s="7" t="s">
        <v>13</v>
      </c>
      <c r="H399" s="8">
        <v>54</v>
      </c>
      <c r="I399" s="7" t="s">
        <v>1019</v>
      </c>
      <c r="J399" s="7" t="s">
        <v>14</v>
      </c>
      <c r="K399" s="8">
        <v>4</v>
      </c>
      <c r="L399" s="7" t="s">
        <v>1025</v>
      </c>
      <c r="M399" s="10">
        <v>25</v>
      </c>
      <c r="N399" s="10">
        <v>100</v>
      </c>
    </row>
    <row r="400" spans="1:14" x14ac:dyDescent="0.2">
      <c r="A400" s="8">
        <v>399</v>
      </c>
      <c r="B400" s="5">
        <v>45068</v>
      </c>
      <c r="C400" s="7" t="s">
        <v>1016</v>
      </c>
      <c r="D400" s="8">
        <v>5</v>
      </c>
      <c r="E400" s="8">
        <v>2023</v>
      </c>
      <c r="F400" s="7" t="s">
        <v>856</v>
      </c>
      <c r="G400" s="7" t="s">
        <v>10</v>
      </c>
      <c r="H400" s="8">
        <v>21</v>
      </c>
      <c r="I400" s="7" t="s">
        <v>1021</v>
      </c>
      <c r="J400" s="7" t="s">
        <v>11</v>
      </c>
      <c r="K400" s="8">
        <v>3</v>
      </c>
      <c r="L400" s="7" t="s">
        <v>1022</v>
      </c>
      <c r="M400" s="10">
        <v>500</v>
      </c>
      <c r="N400" s="10">
        <v>1500</v>
      </c>
    </row>
    <row r="401" spans="1:14" x14ac:dyDescent="0.2">
      <c r="A401" s="8">
        <v>400</v>
      </c>
      <c r="B401" s="5">
        <v>45068</v>
      </c>
      <c r="C401" s="7" t="s">
        <v>1016</v>
      </c>
      <c r="D401" s="8">
        <v>5</v>
      </c>
      <c r="E401" s="8">
        <v>2023</v>
      </c>
      <c r="F401" s="7" t="s">
        <v>908</v>
      </c>
      <c r="G401" s="7" t="s">
        <v>13</v>
      </c>
      <c r="H401" s="8">
        <v>55</v>
      </c>
      <c r="I401" s="7" t="s">
        <v>1019</v>
      </c>
      <c r="J401" s="7" t="s">
        <v>14</v>
      </c>
      <c r="K401" s="8">
        <v>4</v>
      </c>
      <c r="L401" s="7" t="s">
        <v>1025</v>
      </c>
      <c r="M401" s="10">
        <v>30</v>
      </c>
      <c r="N401" s="10">
        <v>120</v>
      </c>
    </row>
    <row r="402" spans="1:14" x14ac:dyDescent="0.2">
      <c r="A402" s="8">
        <v>401</v>
      </c>
      <c r="B402" s="5">
        <v>45069</v>
      </c>
      <c r="C402" s="7" t="s">
        <v>1016</v>
      </c>
      <c r="D402" s="8">
        <v>5</v>
      </c>
      <c r="E402" s="8">
        <v>2023</v>
      </c>
      <c r="F402" s="7" t="s">
        <v>44</v>
      </c>
      <c r="G402" s="7" t="s">
        <v>10</v>
      </c>
      <c r="H402" s="8">
        <v>44</v>
      </c>
      <c r="I402" s="7" t="s">
        <v>1017</v>
      </c>
      <c r="J402" s="7" t="s">
        <v>16</v>
      </c>
      <c r="K402" s="8">
        <v>4</v>
      </c>
      <c r="L402" s="7" t="s">
        <v>1025</v>
      </c>
      <c r="M402" s="10">
        <v>300</v>
      </c>
      <c r="N402" s="10">
        <v>1200</v>
      </c>
    </row>
    <row r="403" spans="1:14" x14ac:dyDescent="0.2">
      <c r="A403" s="8">
        <v>402</v>
      </c>
      <c r="B403" s="5">
        <v>45069</v>
      </c>
      <c r="C403" s="7" t="s">
        <v>1016</v>
      </c>
      <c r="D403" s="8">
        <v>5</v>
      </c>
      <c r="E403" s="8">
        <v>2023</v>
      </c>
      <c r="F403" s="7" t="s">
        <v>50</v>
      </c>
      <c r="G403" s="7" t="s">
        <v>13</v>
      </c>
      <c r="H403" s="8">
        <v>18</v>
      </c>
      <c r="I403" s="7" t="s">
        <v>1020</v>
      </c>
      <c r="J403" s="7" t="s">
        <v>11</v>
      </c>
      <c r="K403" s="8">
        <v>3</v>
      </c>
      <c r="L403" s="7" t="s">
        <v>1022</v>
      </c>
      <c r="M403" s="10">
        <v>25</v>
      </c>
      <c r="N403" s="10">
        <v>75</v>
      </c>
    </row>
    <row r="404" spans="1:14" x14ac:dyDescent="0.2">
      <c r="A404" s="8">
        <v>403</v>
      </c>
      <c r="B404" s="5">
        <v>45069</v>
      </c>
      <c r="C404" s="7" t="s">
        <v>1016</v>
      </c>
      <c r="D404" s="8">
        <v>5</v>
      </c>
      <c r="E404" s="8">
        <v>2023</v>
      </c>
      <c r="F404" s="7" t="s">
        <v>85</v>
      </c>
      <c r="G404" s="7" t="s">
        <v>13</v>
      </c>
      <c r="H404" s="8">
        <v>20</v>
      </c>
      <c r="I404" s="7" t="s">
        <v>1021</v>
      </c>
      <c r="J404" s="7" t="s">
        <v>16</v>
      </c>
      <c r="K404" s="8">
        <v>4</v>
      </c>
      <c r="L404" s="7" t="s">
        <v>1025</v>
      </c>
      <c r="M404" s="10">
        <v>500</v>
      </c>
      <c r="N404" s="10">
        <v>2000</v>
      </c>
    </row>
    <row r="405" spans="1:14" x14ac:dyDescent="0.2">
      <c r="A405" s="8">
        <v>404</v>
      </c>
      <c r="B405" s="5">
        <v>45069</v>
      </c>
      <c r="C405" s="7" t="s">
        <v>1016</v>
      </c>
      <c r="D405" s="8">
        <v>5</v>
      </c>
      <c r="E405" s="8">
        <v>2023</v>
      </c>
      <c r="F405" s="7" t="s">
        <v>256</v>
      </c>
      <c r="G405" s="7" t="s">
        <v>13</v>
      </c>
      <c r="H405" s="8">
        <v>47</v>
      </c>
      <c r="I405" s="7" t="s">
        <v>1019</v>
      </c>
      <c r="J405" s="7" t="s">
        <v>16</v>
      </c>
      <c r="K405" s="8">
        <v>3</v>
      </c>
      <c r="L405" s="7" t="s">
        <v>1022</v>
      </c>
      <c r="M405" s="10">
        <v>300</v>
      </c>
      <c r="N405" s="10">
        <v>900</v>
      </c>
    </row>
    <row r="406" spans="1:14" x14ac:dyDescent="0.2">
      <c r="A406" s="8">
        <v>405</v>
      </c>
      <c r="B406" s="5">
        <v>45069</v>
      </c>
      <c r="C406" s="7" t="s">
        <v>1016</v>
      </c>
      <c r="D406" s="8">
        <v>5</v>
      </c>
      <c r="E406" s="8">
        <v>2023</v>
      </c>
      <c r="F406" s="7" t="s">
        <v>294</v>
      </c>
      <c r="G406" s="7" t="s">
        <v>13</v>
      </c>
      <c r="H406" s="8">
        <v>29</v>
      </c>
      <c r="I406" s="7" t="s">
        <v>1021</v>
      </c>
      <c r="J406" s="7" t="s">
        <v>11</v>
      </c>
      <c r="K406" s="8">
        <v>4</v>
      </c>
      <c r="L406" s="7" t="s">
        <v>1025</v>
      </c>
      <c r="M406" s="10">
        <v>500</v>
      </c>
      <c r="N406" s="10">
        <v>2000</v>
      </c>
    </row>
    <row r="407" spans="1:14" x14ac:dyDescent="0.2">
      <c r="A407" s="8">
        <v>406</v>
      </c>
      <c r="B407" s="5">
        <v>45069</v>
      </c>
      <c r="C407" s="7" t="s">
        <v>1016</v>
      </c>
      <c r="D407" s="8">
        <v>5</v>
      </c>
      <c r="E407" s="8">
        <v>2023</v>
      </c>
      <c r="F407" s="7" t="s">
        <v>502</v>
      </c>
      <c r="G407" s="7" t="s">
        <v>10</v>
      </c>
      <c r="H407" s="8">
        <v>44</v>
      </c>
      <c r="I407" s="7" t="s">
        <v>1017</v>
      </c>
      <c r="J407" s="7" t="s">
        <v>16</v>
      </c>
      <c r="K407" s="8">
        <v>1</v>
      </c>
      <c r="L407" s="7" t="s">
        <v>1023</v>
      </c>
      <c r="M407" s="10">
        <v>30</v>
      </c>
      <c r="N407" s="10">
        <v>30</v>
      </c>
    </row>
    <row r="408" spans="1:14" x14ac:dyDescent="0.2">
      <c r="A408" s="8">
        <v>407</v>
      </c>
      <c r="B408" s="5">
        <v>45069</v>
      </c>
      <c r="C408" s="7" t="s">
        <v>1016</v>
      </c>
      <c r="D408" s="8">
        <v>5</v>
      </c>
      <c r="E408" s="8">
        <v>2023</v>
      </c>
      <c r="F408" s="7" t="s">
        <v>504</v>
      </c>
      <c r="G408" s="7" t="s">
        <v>13</v>
      </c>
      <c r="H408" s="8">
        <v>60</v>
      </c>
      <c r="I408" s="7" t="s">
        <v>1018</v>
      </c>
      <c r="J408" s="7" t="s">
        <v>16</v>
      </c>
      <c r="K408" s="8">
        <v>3</v>
      </c>
      <c r="L408" s="7" t="s">
        <v>1022</v>
      </c>
      <c r="M408" s="10">
        <v>300</v>
      </c>
      <c r="N408" s="10">
        <v>900</v>
      </c>
    </row>
    <row r="409" spans="1:14" x14ac:dyDescent="0.2">
      <c r="A409" s="8">
        <v>408</v>
      </c>
      <c r="B409" s="5">
        <v>45069</v>
      </c>
      <c r="C409" s="7" t="s">
        <v>1016</v>
      </c>
      <c r="D409" s="8">
        <v>5</v>
      </c>
      <c r="E409" s="8">
        <v>2023</v>
      </c>
      <c r="F409" s="7" t="s">
        <v>742</v>
      </c>
      <c r="G409" s="7" t="s">
        <v>10</v>
      </c>
      <c r="H409" s="8">
        <v>29</v>
      </c>
      <c r="I409" s="7" t="s">
        <v>1021</v>
      </c>
      <c r="J409" s="7" t="s">
        <v>14</v>
      </c>
      <c r="K409" s="8">
        <v>4</v>
      </c>
      <c r="L409" s="7" t="s">
        <v>1025</v>
      </c>
      <c r="M409" s="10">
        <v>300</v>
      </c>
      <c r="N409" s="10">
        <v>1200</v>
      </c>
    </row>
    <row r="410" spans="1:14" x14ac:dyDescent="0.2">
      <c r="A410" s="8">
        <v>409</v>
      </c>
      <c r="B410" s="5">
        <v>45069</v>
      </c>
      <c r="C410" s="7" t="s">
        <v>1016</v>
      </c>
      <c r="D410" s="8">
        <v>5</v>
      </c>
      <c r="E410" s="8">
        <v>2023</v>
      </c>
      <c r="F410" s="7" t="s">
        <v>835</v>
      </c>
      <c r="G410" s="7" t="s">
        <v>13</v>
      </c>
      <c r="H410" s="8">
        <v>52</v>
      </c>
      <c r="I410" s="7" t="s">
        <v>1019</v>
      </c>
      <c r="J410" s="7" t="s">
        <v>11</v>
      </c>
      <c r="K410" s="8">
        <v>3</v>
      </c>
      <c r="L410" s="7" t="s">
        <v>1022</v>
      </c>
      <c r="M410" s="10">
        <v>50</v>
      </c>
      <c r="N410" s="10">
        <v>150</v>
      </c>
    </row>
    <row r="411" spans="1:14" x14ac:dyDescent="0.2">
      <c r="A411" s="8">
        <v>410</v>
      </c>
      <c r="B411" s="5">
        <v>45070</v>
      </c>
      <c r="C411" s="7" t="s">
        <v>1016</v>
      </c>
      <c r="D411" s="8">
        <v>5</v>
      </c>
      <c r="E411" s="8">
        <v>2023</v>
      </c>
      <c r="F411" s="7" t="s">
        <v>853</v>
      </c>
      <c r="G411" s="7" t="s">
        <v>10</v>
      </c>
      <c r="H411" s="8">
        <v>62</v>
      </c>
      <c r="I411" s="7" t="s">
        <v>1018</v>
      </c>
      <c r="J411" s="7" t="s">
        <v>14</v>
      </c>
      <c r="K411" s="8">
        <v>2</v>
      </c>
      <c r="L411" s="7" t="s">
        <v>1024</v>
      </c>
      <c r="M411" s="10">
        <v>25</v>
      </c>
      <c r="N411" s="10">
        <v>50</v>
      </c>
    </row>
    <row r="412" spans="1:14" x14ac:dyDescent="0.2">
      <c r="A412" s="8">
        <v>411</v>
      </c>
      <c r="B412" s="5">
        <v>45071</v>
      </c>
      <c r="C412" s="7" t="s">
        <v>1016</v>
      </c>
      <c r="D412" s="8">
        <v>5</v>
      </c>
      <c r="E412" s="8">
        <v>2023</v>
      </c>
      <c r="F412" s="7" t="s">
        <v>417</v>
      </c>
      <c r="G412" s="7" t="s">
        <v>10</v>
      </c>
      <c r="H412" s="8">
        <v>46</v>
      </c>
      <c r="I412" s="7" t="s">
        <v>1019</v>
      </c>
      <c r="J412" s="7" t="s">
        <v>16</v>
      </c>
      <c r="K412" s="8">
        <v>2</v>
      </c>
      <c r="L412" s="7" t="s">
        <v>1024</v>
      </c>
      <c r="M412" s="10">
        <v>500</v>
      </c>
      <c r="N412" s="10">
        <v>1000</v>
      </c>
    </row>
    <row r="413" spans="1:14" x14ac:dyDescent="0.2">
      <c r="A413" s="8">
        <v>412</v>
      </c>
      <c r="B413" s="5">
        <v>45071</v>
      </c>
      <c r="C413" s="7" t="s">
        <v>1016</v>
      </c>
      <c r="D413" s="8">
        <v>5</v>
      </c>
      <c r="E413" s="8">
        <v>2023</v>
      </c>
      <c r="F413" s="7" t="s">
        <v>912</v>
      </c>
      <c r="G413" s="7" t="s">
        <v>10</v>
      </c>
      <c r="H413" s="8">
        <v>26</v>
      </c>
      <c r="I413" s="7" t="s">
        <v>1021</v>
      </c>
      <c r="J413" s="7" t="s">
        <v>14</v>
      </c>
      <c r="K413" s="8">
        <v>2</v>
      </c>
      <c r="L413" s="7" t="s">
        <v>1024</v>
      </c>
      <c r="M413" s="10">
        <v>300</v>
      </c>
      <c r="N413" s="10">
        <v>600</v>
      </c>
    </row>
    <row r="414" spans="1:14" x14ac:dyDescent="0.2">
      <c r="A414" s="8">
        <v>413</v>
      </c>
      <c r="B414" s="5">
        <v>45071</v>
      </c>
      <c r="C414" s="7" t="s">
        <v>1016</v>
      </c>
      <c r="D414" s="8">
        <v>5</v>
      </c>
      <c r="E414" s="8">
        <v>2023</v>
      </c>
      <c r="F414" s="7" t="s">
        <v>1003</v>
      </c>
      <c r="G414" s="7" t="s">
        <v>13</v>
      </c>
      <c r="H414" s="8">
        <v>58</v>
      </c>
      <c r="I414" s="7" t="s">
        <v>1018</v>
      </c>
      <c r="J414" s="7" t="s">
        <v>11</v>
      </c>
      <c r="K414" s="8">
        <v>2</v>
      </c>
      <c r="L414" s="7" t="s">
        <v>1024</v>
      </c>
      <c r="M414" s="10">
        <v>500</v>
      </c>
      <c r="N414" s="10">
        <v>1000</v>
      </c>
    </row>
    <row r="415" spans="1:14" x14ac:dyDescent="0.2">
      <c r="A415" s="8">
        <v>414</v>
      </c>
      <c r="B415" s="5">
        <v>45072</v>
      </c>
      <c r="C415" s="7" t="s">
        <v>1016</v>
      </c>
      <c r="D415" s="8">
        <v>5</v>
      </c>
      <c r="E415" s="8">
        <v>2023</v>
      </c>
      <c r="F415" s="7" t="s">
        <v>395</v>
      </c>
      <c r="G415" s="7" t="s">
        <v>13</v>
      </c>
      <c r="H415" s="8">
        <v>53</v>
      </c>
      <c r="I415" s="7" t="s">
        <v>1019</v>
      </c>
      <c r="J415" s="7" t="s">
        <v>14</v>
      </c>
      <c r="K415" s="8">
        <v>2</v>
      </c>
      <c r="L415" s="7" t="s">
        <v>1024</v>
      </c>
      <c r="M415" s="10">
        <v>500</v>
      </c>
      <c r="N415" s="10">
        <v>1000</v>
      </c>
    </row>
    <row r="416" spans="1:14" x14ac:dyDescent="0.2">
      <c r="A416" s="8">
        <v>415</v>
      </c>
      <c r="B416" s="5">
        <v>45072</v>
      </c>
      <c r="C416" s="7" t="s">
        <v>1016</v>
      </c>
      <c r="D416" s="8">
        <v>5</v>
      </c>
      <c r="E416" s="8">
        <v>2023</v>
      </c>
      <c r="F416" s="7" t="s">
        <v>591</v>
      </c>
      <c r="G416" s="7" t="s">
        <v>13</v>
      </c>
      <c r="H416" s="8">
        <v>54</v>
      </c>
      <c r="I416" s="7" t="s">
        <v>1019</v>
      </c>
      <c r="J416" s="7" t="s">
        <v>14</v>
      </c>
      <c r="K416" s="8">
        <v>4</v>
      </c>
      <c r="L416" s="7" t="s">
        <v>1025</v>
      </c>
      <c r="M416" s="10">
        <v>30</v>
      </c>
      <c r="N416" s="10">
        <v>120</v>
      </c>
    </row>
    <row r="417" spans="1:14" x14ac:dyDescent="0.2">
      <c r="A417" s="8">
        <v>416</v>
      </c>
      <c r="B417" s="5">
        <v>45072</v>
      </c>
      <c r="C417" s="7" t="s">
        <v>1016</v>
      </c>
      <c r="D417" s="8">
        <v>5</v>
      </c>
      <c r="E417" s="8">
        <v>2023</v>
      </c>
      <c r="F417" s="7" t="s">
        <v>936</v>
      </c>
      <c r="G417" s="7" t="s">
        <v>10</v>
      </c>
      <c r="H417" s="8">
        <v>32</v>
      </c>
      <c r="I417" s="7" t="s">
        <v>1021</v>
      </c>
      <c r="J417" s="7" t="s">
        <v>11</v>
      </c>
      <c r="K417" s="8">
        <v>3</v>
      </c>
      <c r="L417" s="7" t="s">
        <v>1022</v>
      </c>
      <c r="M417" s="10">
        <v>300</v>
      </c>
      <c r="N417" s="10">
        <v>900</v>
      </c>
    </row>
    <row r="418" spans="1:14" x14ac:dyDescent="0.2">
      <c r="A418" s="8">
        <v>417</v>
      </c>
      <c r="B418" s="5">
        <v>45073</v>
      </c>
      <c r="C418" s="7" t="s">
        <v>1016</v>
      </c>
      <c r="D418" s="8">
        <v>5</v>
      </c>
      <c r="E418" s="8">
        <v>2023</v>
      </c>
      <c r="F418" s="7" t="s">
        <v>320</v>
      </c>
      <c r="G418" s="7" t="s">
        <v>13</v>
      </c>
      <c r="H418" s="8">
        <v>26</v>
      </c>
      <c r="I418" s="7" t="s">
        <v>1021</v>
      </c>
      <c r="J418" s="7" t="s">
        <v>16</v>
      </c>
      <c r="K418" s="8">
        <v>2</v>
      </c>
      <c r="L418" s="7" t="s">
        <v>1024</v>
      </c>
      <c r="M418" s="10">
        <v>25</v>
      </c>
      <c r="N418" s="10">
        <v>50</v>
      </c>
    </row>
    <row r="419" spans="1:14" x14ac:dyDescent="0.2">
      <c r="A419" s="8">
        <v>418</v>
      </c>
      <c r="B419" s="5">
        <v>45073</v>
      </c>
      <c r="C419" s="7" t="s">
        <v>1016</v>
      </c>
      <c r="D419" s="8">
        <v>5</v>
      </c>
      <c r="E419" s="8">
        <v>2023</v>
      </c>
      <c r="F419" s="7" t="s">
        <v>574</v>
      </c>
      <c r="G419" s="7" t="s">
        <v>13</v>
      </c>
      <c r="H419" s="8">
        <v>64</v>
      </c>
      <c r="I419" s="7" t="s">
        <v>1018</v>
      </c>
      <c r="J419" s="7" t="s">
        <v>14</v>
      </c>
      <c r="K419" s="8">
        <v>4</v>
      </c>
      <c r="L419" s="7" t="s">
        <v>1025</v>
      </c>
      <c r="M419" s="10">
        <v>500</v>
      </c>
      <c r="N419" s="10">
        <v>2000</v>
      </c>
    </row>
    <row r="420" spans="1:14" x14ac:dyDescent="0.2">
      <c r="A420" s="8">
        <v>419</v>
      </c>
      <c r="B420" s="5">
        <v>45073</v>
      </c>
      <c r="C420" s="7" t="s">
        <v>1016</v>
      </c>
      <c r="D420" s="8">
        <v>5</v>
      </c>
      <c r="E420" s="8">
        <v>2023</v>
      </c>
      <c r="F420" s="7" t="s">
        <v>664</v>
      </c>
      <c r="G420" s="7" t="s">
        <v>10</v>
      </c>
      <c r="H420" s="8">
        <v>51</v>
      </c>
      <c r="I420" s="7" t="s">
        <v>1019</v>
      </c>
      <c r="J420" s="7" t="s">
        <v>14</v>
      </c>
      <c r="K420" s="8">
        <v>3</v>
      </c>
      <c r="L420" s="7" t="s">
        <v>1022</v>
      </c>
      <c r="M420" s="10">
        <v>50</v>
      </c>
      <c r="N420" s="10">
        <v>150</v>
      </c>
    </row>
    <row r="421" spans="1:14" x14ac:dyDescent="0.2">
      <c r="A421" s="8">
        <v>420</v>
      </c>
      <c r="B421" s="5">
        <v>45074</v>
      </c>
      <c r="C421" s="7" t="s">
        <v>1016</v>
      </c>
      <c r="D421" s="8">
        <v>5</v>
      </c>
      <c r="E421" s="8">
        <v>2023</v>
      </c>
      <c r="F421" s="7" t="s">
        <v>1001</v>
      </c>
      <c r="G421" s="7" t="s">
        <v>13</v>
      </c>
      <c r="H421" s="8">
        <v>63</v>
      </c>
      <c r="I421" s="7" t="s">
        <v>1018</v>
      </c>
      <c r="J421" s="7" t="s">
        <v>14</v>
      </c>
      <c r="K421" s="8">
        <v>3</v>
      </c>
      <c r="L421" s="7" t="s">
        <v>1022</v>
      </c>
      <c r="M421" s="10">
        <v>25</v>
      </c>
      <c r="N421" s="10">
        <v>75</v>
      </c>
    </row>
    <row r="422" spans="1:14" x14ac:dyDescent="0.2">
      <c r="A422" s="8">
        <v>421</v>
      </c>
      <c r="B422" s="5">
        <v>45075</v>
      </c>
      <c r="C422" s="7" t="s">
        <v>1016</v>
      </c>
      <c r="D422" s="8">
        <v>5</v>
      </c>
      <c r="E422" s="8">
        <v>2023</v>
      </c>
      <c r="F422" s="7" t="s">
        <v>80</v>
      </c>
      <c r="G422" s="7" t="s">
        <v>13</v>
      </c>
      <c r="H422" s="8">
        <v>48</v>
      </c>
      <c r="I422" s="7" t="s">
        <v>1019</v>
      </c>
      <c r="J422" s="7" t="s">
        <v>11</v>
      </c>
      <c r="K422" s="8">
        <v>4</v>
      </c>
      <c r="L422" s="7" t="s">
        <v>1025</v>
      </c>
      <c r="M422" s="10">
        <v>300</v>
      </c>
      <c r="N422" s="10">
        <v>1200</v>
      </c>
    </row>
    <row r="423" spans="1:14" x14ac:dyDescent="0.2">
      <c r="A423" s="8">
        <v>422</v>
      </c>
      <c r="B423" s="5">
        <v>45076</v>
      </c>
      <c r="C423" s="7" t="s">
        <v>1016</v>
      </c>
      <c r="D423" s="8">
        <v>5</v>
      </c>
      <c r="E423" s="8">
        <v>2023</v>
      </c>
      <c r="F423" s="7" t="s">
        <v>928</v>
      </c>
      <c r="G423" s="7" t="s">
        <v>13</v>
      </c>
      <c r="H423" s="8">
        <v>26</v>
      </c>
      <c r="I423" s="7" t="s">
        <v>1021</v>
      </c>
      <c r="J423" s="7" t="s">
        <v>11</v>
      </c>
      <c r="K423" s="8">
        <v>3</v>
      </c>
      <c r="L423" s="7" t="s">
        <v>1022</v>
      </c>
      <c r="M423" s="10">
        <v>30</v>
      </c>
      <c r="N423" s="10">
        <v>90</v>
      </c>
    </row>
    <row r="424" spans="1:14" x14ac:dyDescent="0.2">
      <c r="A424" s="8">
        <v>423</v>
      </c>
      <c r="B424" s="5">
        <v>45076</v>
      </c>
      <c r="C424" s="7" t="s">
        <v>1016</v>
      </c>
      <c r="D424" s="8">
        <v>5</v>
      </c>
      <c r="E424" s="8">
        <v>2023</v>
      </c>
      <c r="F424" s="7" t="s">
        <v>998</v>
      </c>
      <c r="G424" s="7" t="s">
        <v>13</v>
      </c>
      <c r="H424" s="8">
        <v>19</v>
      </c>
      <c r="I424" s="7" t="s">
        <v>1021</v>
      </c>
      <c r="J424" s="7" t="s">
        <v>16</v>
      </c>
      <c r="K424" s="8">
        <v>2</v>
      </c>
      <c r="L424" s="7" t="s">
        <v>1024</v>
      </c>
      <c r="M424" s="10">
        <v>25</v>
      </c>
      <c r="N424" s="10">
        <v>50</v>
      </c>
    </row>
    <row r="425" spans="1:14" x14ac:dyDescent="0.2">
      <c r="A425" s="8">
        <v>424</v>
      </c>
      <c r="B425" s="5">
        <v>45077</v>
      </c>
      <c r="C425" s="7" t="s">
        <v>1016</v>
      </c>
      <c r="D425" s="8">
        <v>5</v>
      </c>
      <c r="E425" s="8">
        <v>2023</v>
      </c>
      <c r="F425" s="7" t="s">
        <v>69</v>
      </c>
      <c r="G425" s="7" t="s">
        <v>13</v>
      </c>
      <c r="H425" s="8">
        <v>26</v>
      </c>
      <c r="I425" s="7" t="s">
        <v>1021</v>
      </c>
      <c r="J425" s="7" t="s">
        <v>14</v>
      </c>
      <c r="K425" s="8">
        <v>3</v>
      </c>
      <c r="L425" s="7" t="s">
        <v>1022</v>
      </c>
      <c r="M425" s="10">
        <v>300</v>
      </c>
      <c r="N425" s="10">
        <v>900</v>
      </c>
    </row>
    <row r="426" spans="1:14" x14ac:dyDescent="0.2">
      <c r="A426" s="8">
        <v>425</v>
      </c>
      <c r="B426" s="5">
        <v>45077</v>
      </c>
      <c r="C426" s="7" t="s">
        <v>1016</v>
      </c>
      <c r="D426" s="8">
        <v>5</v>
      </c>
      <c r="E426" s="8">
        <v>2023</v>
      </c>
      <c r="F426" s="7" t="s">
        <v>172</v>
      </c>
      <c r="G426" s="7" t="s">
        <v>10</v>
      </c>
      <c r="H426" s="8">
        <v>26</v>
      </c>
      <c r="I426" s="7" t="s">
        <v>1021</v>
      </c>
      <c r="J426" s="7" t="s">
        <v>14</v>
      </c>
      <c r="K426" s="8">
        <v>4</v>
      </c>
      <c r="L426" s="7" t="s">
        <v>1025</v>
      </c>
      <c r="M426" s="10">
        <v>50</v>
      </c>
      <c r="N426" s="10">
        <v>200</v>
      </c>
    </row>
    <row r="427" spans="1:14" x14ac:dyDescent="0.2">
      <c r="A427" s="8">
        <v>426</v>
      </c>
      <c r="B427" s="5">
        <v>45077</v>
      </c>
      <c r="C427" s="7" t="s">
        <v>1016</v>
      </c>
      <c r="D427" s="8">
        <v>5</v>
      </c>
      <c r="E427" s="8">
        <v>2023</v>
      </c>
      <c r="F427" s="7" t="s">
        <v>875</v>
      </c>
      <c r="G427" s="7" t="s">
        <v>10</v>
      </c>
      <c r="H427" s="8">
        <v>28</v>
      </c>
      <c r="I427" s="7" t="s">
        <v>1021</v>
      </c>
      <c r="J427" s="7" t="s">
        <v>16</v>
      </c>
      <c r="K427" s="8">
        <v>4</v>
      </c>
      <c r="L427" s="7" t="s">
        <v>1025</v>
      </c>
      <c r="M427" s="10">
        <v>300</v>
      </c>
      <c r="N427" s="10">
        <v>1200</v>
      </c>
    </row>
    <row r="428" spans="1:14" x14ac:dyDescent="0.2">
      <c r="A428" s="8">
        <v>427</v>
      </c>
      <c r="B428" s="5">
        <v>45078</v>
      </c>
      <c r="C428" s="7" t="s">
        <v>1016</v>
      </c>
      <c r="D428" s="8">
        <v>5</v>
      </c>
      <c r="E428" s="8">
        <v>2023</v>
      </c>
      <c r="F428" s="7" t="s">
        <v>328</v>
      </c>
      <c r="G428" s="7" t="s">
        <v>10</v>
      </c>
      <c r="H428" s="8">
        <v>47</v>
      </c>
      <c r="I428" s="7" t="s">
        <v>1019</v>
      </c>
      <c r="J428" s="7" t="s">
        <v>14</v>
      </c>
      <c r="K428" s="8">
        <v>2</v>
      </c>
      <c r="L428" s="7" t="s">
        <v>1024</v>
      </c>
      <c r="M428" s="10">
        <v>30</v>
      </c>
      <c r="N428" s="10">
        <v>60</v>
      </c>
    </row>
    <row r="429" spans="1:14" x14ac:dyDescent="0.2">
      <c r="A429" s="8">
        <v>428</v>
      </c>
      <c r="B429" s="5">
        <v>45078</v>
      </c>
      <c r="C429" s="7" t="s">
        <v>1044</v>
      </c>
      <c r="D429" s="8">
        <v>6</v>
      </c>
      <c r="E429" s="8">
        <v>2023</v>
      </c>
      <c r="F429" s="7" t="s">
        <v>558</v>
      </c>
      <c r="G429" s="7" t="s">
        <v>10</v>
      </c>
      <c r="H429" s="8">
        <v>27</v>
      </c>
      <c r="I429" s="7" t="s">
        <v>1021</v>
      </c>
      <c r="J429" s="7" t="s">
        <v>14</v>
      </c>
      <c r="K429" s="8">
        <v>2</v>
      </c>
      <c r="L429" s="7" t="s">
        <v>1024</v>
      </c>
      <c r="M429" s="10">
        <v>25</v>
      </c>
      <c r="N429" s="10">
        <v>50</v>
      </c>
    </row>
    <row r="430" spans="1:14" x14ac:dyDescent="0.2">
      <c r="A430" s="8">
        <v>429</v>
      </c>
      <c r="B430" s="5">
        <v>45078</v>
      </c>
      <c r="C430" s="7" t="s">
        <v>1044</v>
      </c>
      <c r="D430" s="8">
        <v>6</v>
      </c>
      <c r="E430" s="8">
        <v>2023</v>
      </c>
      <c r="F430" s="7" t="s">
        <v>915</v>
      </c>
      <c r="G430" s="7" t="s">
        <v>13</v>
      </c>
      <c r="H430" s="8">
        <v>54</v>
      </c>
      <c r="I430" s="7" t="s">
        <v>1019</v>
      </c>
      <c r="J430" s="7" t="s">
        <v>11</v>
      </c>
      <c r="K430" s="8">
        <v>1</v>
      </c>
      <c r="L430" s="7" t="s">
        <v>1023</v>
      </c>
      <c r="M430" s="10">
        <v>50</v>
      </c>
      <c r="N430" s="10">
        <v>50</v>
      </c>
    </row>
    <row r="431" spans="1:14" x14ac:dyDescent="0.2">
      <c r="A431" s="8">
        <v>430</v>
      </c>
      <c r="B431" s="5">
        <v>45079</v>
      </c>
      <c r="C431" s="7" t="s">
        <v>1044</v>
      </c>
      <c r="D431" s="8">
        <v>6</v>
      </c>
      <c r="E431" s="8">
        <v>2023</v>
      </c>
      <c r="F431" s="7" t="s">
        <v>183</v>
      </c>
      <c r="G431" s="7" t="s">
        <v>13</v>
      </c>
      <c r="H431" s="8">
        <v>25</v>
      </c>
      <c r="I431" s="7" t="s">
        <v>1021</v>
      </c>
      <c r="J431" s="7" t="s">
        <v>14</v>
      </c>
      <c r="K431" s="8">
        <v>2</v>
      </c>
      <c r="L431" s="7" t="s">
        <v>1024</v>
      </c>
      <c r="M431" s="10">
        <v>25</v>
      </c>
      <c r="N431" s="10">
        <v>50</v>
      </c>
    </row>
    <row r="432" spans="1:14" x14ac:dyDescent="0.2">
      <c r="A432" s="8">
        <v>431</v>
      </c>
      <c r="B432" s="5">
        <v>45079</v>
      </c>
      <c r="C432" s="7" t="s">
        <v>1044</v>
      </c>
      <c r="D432" s="8">
        <v>6</v>
      </c>
      <c r="E432" s="8">
        <v>2023</v>
      </c>
      <c r="F432" s="7" t="s">
        <v>698</v>
      </c>
      <c r="G432" s="7" t="s">
        <v>10</v>
      </c>
      <c r="H432" s="8">
        <v>57</v>
      </c>
      <c r="I432" s="7" t="s">
        <v>1018</v>
      </c>
      <c r="J432" s="7" t="s">
        <v>16</v>
      </c>
      <c r="K432" s="8">
        <v>2</v>
      </c>
      <c r="L432" s="7" t="s">
        <v>1024</v>
      </c>
      <c r="M432" s="10">
        <v>25</v>
      </c>
      <c r="N432" s="10">
        <v>50</v>
      </c>
    </row>
    <row r="433" spans="1:14" x14ac:dyDescent="0.2">
      <c r="A433" s="8">
        <v>432</v>
      </c>
      <c r="B433" s="5">
        <v>45079</v>
      </c>
      <c r="C433" s="7" t="s">
        <v>1044</v>
      </c>
      <c r="D433" s="8">
        <v>6</v>
      </c>
      <c r="E433" s="8">
        <v>2023</v>
      </c>
      <c r="F433" s="7" t="s">
        <v>971</v>
      </c>
      <c r="G433" s="7" t="s">
        <v>10</v>
      </c>
      <c r="H433" s="8">
        <v>62</v>
      </c>
      <c r="I433" s="7" t="s">
        <v>1018</v>
      </c>
      <c r="J433" s="7" t="s">
        <v>16</v>
      </c>
      <c r="K433" s="8">
        <v>2</v>
      </c>
      <c r="L433" s="7" t="s">
        <v>1024</v>
      </c>
      <c r="M433" s="10">
        <v>25</v>
      </c>
      <c r="N433" s="10">
        <v>50</v>
      </c>
    </row>
    <row r="434" spans="1:14" x14ac:dyDescent="0.2">
      <c r="A434" s="8">
        <v>433</v>
      </c>
      <c r="B434" s="5">
        <v>45080</v>
      </c>
      <c r="C434" s="7" t="s">
        <v>1044</v>
      </c>
      <c r="D434" s="8">
        <v>6</v>
      </c>
      <c r="E434" s="8">
        <v>2023</v>
      </c>
      <c r="F434" s="7" t="s">
        <v>376</v>
      </c>
      <c r="G434" s="7" t="s">
        <v>10</v>
      </c>
      <c r="H434" s="8">
        <v>64</v>
      </c>
      <c r="I434" s="7" t="s">
        <v>1018</v>
      </c>
      <c r="J434" s="7" t="s">
        <v>11</v>
      </c>
      <c r="K434" s="8">
        <v>1</v>
      </c>
      <c r="L434" s="7" t="s">
        <v>1023</v>
      </c>
      <c r="M434" s="10">
        <v>25</v>
      </c>
      <c r="N434" s="10">
        <v>25</v>
      </c>
    </row>
    <row r="435" spans="1:14" x14ac:dyDescent="0.2">
      <c r="A435" s="8">
        <v>434</v>
      </c>
      <c r="B435" s="5">
        <v>45080</v>
      </c>
      <c r="C435" s="7" t="s">
        <v>1044</v>
      </c>
      <c r="D435" s="8">
        <v>6</v>
      </c>
      <c r="E435" s="8">
        <v>2023</v>
      </c>
      <c r="F435" s="7" t="s">
        <v>407</v>
      </c>
      <c r="G435" s="7" t="s">
        <v>13</v>
      </c>
      <c r="H435" s="8">
        <v>27</v>
      </c>
      <c r="I435" s="7" t="s">
        <v>1021</v>
      </c>
      <c r="J435" s="7" t="s">
        <v>14</v>
      </c>
      <c r="K435" s="8">
        <v>1</v>
      </c>
      <c r="L435" s="7" t="s">
        <v>1023</v>
      </c>
      <c r="M435" s="10">
        <v>500</v>
      </c>
      <c r="N435" s="10">
        <v>500</v>
      </c>
    </row>
    <row r="436" spans="1:14" x14ac:dyDescent="0.2">
      <c r="A436" s="8">
        <v>435</v>
      </c>
      <c r="B436" s="5">
        <v>45080</v>
      </c>
      <c r="C436" s="7" t="s">
        <v>1044</v>
      </c>
      <c r="D436" s="8">
        <v>6</v>
      </c>
      <c r="E436" s="8">
        <v>2023</v>
      </c>
      <c r="F436" s="7" t="s">
        <v>550</v>
      </c>
      <c r="G436" s="7" t="s">
        <v>13</v>
      </c>
      <c r="H436" s="8">
        <v>21</v>
      </c>
      <c r="I436" s="7" t="s">
        <v>1021</v>
      </c>
      <c r="J436" s="7" t="s">
        <v>11</v>
      </c>
      <c r="K436" s="8">
        <v>1</v>
      </c>
      <c r="L436" s="7" t="s">
        <v>1023</v>
      </c>
      <c r="M436" s="10">
        <v>500</v>
      </c>
      <c r="N436" s="10">
        <v>500</v>
      </c>
    </row>
    <row r="437" spans="1:14" x14ac:dyDescent="0.2">
      <c r="A437" s="8">
        <v>436</v>
      </c>
      <c r="B437" s="5">
        <v>45081</v>
      </c>
      <c r="C437" s="7" t="s">
        <v>1044</v>
      </c>
      <c r="D437" s="8">
        <v>6</v>
      </c>
      <c r="E437" s="8">
        <v>2023</v>
      </c>
      <c r="F437" s="7" t="s">
        <v>400</v>
      </c>
      <c r="G437" s="7" t="s">
        <v>10</v>
      </c>
      <c r="H437" s="8">
        <v>44</v>
      </c>
      <c r="I437" s="7" t="s">
        <v>1017</v>
      </c>
      <c r="J437" s="7" t="s">
        <v>11</v>
      </c>
      <c r="K437" s="8">
        <v>1</v>
      </c>
      <c r="L437" s="7" t="s">
        <v>1023</v>
      </c>
      <c r="M437" s="10">
        <v>30</v>
      </c>
      <c r="N437" s="10">
        <v>30</v>
      </c>
    </row>
    <row r="438" spans="1:14" x14ac:dyDescent="0.2">
      <c r="A438" s="8">
        <v>437</v>
      </c>
      <c r="B438" s="5">
        <v>45081</v>
      </c>
      <c r="C438" s="7" t="s">
        <v>1044</v>
      </c>
      <c r="D438" s="8">
        <v>6</v>
      </c>
      <c r="E438" s="8">
        <v>2023</v>
      </c>
      <c r="F438" s="7" t="s">
        <v>569</v>
      </c>
      <c r="G438" s="7" t="s">
        <v>13</v>
      </c>
      <c r="H438" s="8">
        <v>18</v>
      </c>
      <c r="I438" s="7" t="s">
        <v>1020</v>
      </c>
      <c r="J438" s="7" t="s">
        <v>16</v>
      </c>
      <c r="K438" s="8">
        <v>1</v>
      </c>
      <c r="L438" s="7" t="s">
        <v>1023</v>
      </c>
      <c r="M438" s="10">
        <v>50</v>
      </c>
      <c r="N438" s="10">
        <v>50</v>
      </c>
    </row>
    <row r="439" spans="1:14" x14ac:dyDescent="0.2">
      <c r="A439" s="8">
        <v>438</v>
      </c>
      <c r="B439" s="5">
        <v>45081</v>
      </c>
      <c r="C439" s="7" t="s">
        <v>1044</v>
      </c>
      <c r="D439" s="8">
        <v>6</v>
      </c>
      <c r="E439" s="8">
        <v>2023</v>
      </c>
      <c r="F439" s="7" t="s">
        <v>795</v>
      </c>
      <c r="G439" s="7" t="s">
        <v>10</v>
      </c>
      <c r="H439" s="8">
        <v>59</v>
      </c>
      <c r="I439" s="7" t="s">
        <v>1018</v>
      </c>
      <c r="J439" s="7" t="s">
        <v>14</v>
      </c>
      <c r="K439" s="8">
        <v>3</v>
      </c>
      <c r="L439" s="7" t="s">
        <v>1022</v>
      </c>
      <c r="M439" s="10">
        <v>300</v>
      </c>
      <c r="N439" s="10">
        <v>900</v>
      </c>
    </row>
    <row r="440" spans="1:14" x14ac:dyDescent="0.2">
      <c r="A440" s="8">
        <v>439</v>
      </c>
      <c r="B440" s="5">
        <v>45081</v>
      </c>
      <c r="C440" s="7" t="s">
        <v>1044</v>
      </c>
      <c r="D440" s="8">
        <v>6</v>
      </c>
      <c r="E440" s="8">
        <v>2023</v>
      </c>
      <c r="F440" s="7" t="s">
        <v>919</v>
      </c>
      <c r="G440" s="7" t="s">
        <v>13</v>
      </c>
      <c r="H440" s="8">
        <v>20</v>
      </c>
      <c r="I440" s="7" t="s">
        <v>1021</v>
      </c>
      <c r="J440" s="7" t="s">
        <v>14</v>
      </c>
      <c r="K440" s="8">
        <v>1</v>
      </c>
      <c r="L440" s="7" t="s">
        <v>1023</v>
      </c>
      <c r="M440" s="10">
        <v>50</v>
      </c>
      <c r="N440" s="10">
        <v>50</v>
      </c>
    </row>
    <row r="441" spans="1:14" x14ac:dyDescent="0.2">
      <c r="A441" s="8">
        <v>440</v>
      </c>
      <c r="B441" s="5">
        <v>45082</v>
      </c>
      <c r="C441" s="7" t="s">
        <v>1044</v>
      </c>
      <c r="D441" s="8">
        <v>6</v>
      </c>
      <c r="E441" s="8">
        <v>2023</v>
      </c>
      <c r="F441" s="7" t="s">
        <v>573</v>
      </c>
      <c r="G441" s="7" t="s">
        <v>13</v>
      </c>
      <c r="H441" s="8">
        <v>25</v>
      </c>
      <c r="I441" s="7" t="s">
        <v>1021</v>
      </c>
      <c r="J441" s="7" t="s">
        <v>16</v>
      </c>
      <c r="K441" s="8">
        <v>1</v>
      </c>
      <c r="L441" s="7" t="s">
        <v>1023</v>
      </c>
      <c r="M441" s="10">
        <v>50</v>
      </c>
      <c r="N441" s="10">
        <v>50</v>
      </c>
    </row>
    <row r="442" spans="1:14" x14ac:dyDescent="0.2">
      <c r="A442" s="8">
        <v>441</v>
      </c>
      <c r="B442" s="5">
        <v>45082</v>
      </c>
      <c r="C442" s="7" t="s">
        <v>1044</v>
      </c>
      <c r="D442" s="8">
        <v>6</v>
      </c>
      <c r="E442" s="8">
        <v>2023</v>
      </c>
      <c r="F442" s="7" t="s">
        <v>957</v>
      </c>
      <c r="G442" s="7" t="s">
        <v>10</v>
      </c>
      <c r="H442" s="8">
        <v>44</v>
      </c>
      <c r="I442" s="7" t="s">
        <v>1017</v>
      </c>
      <c r="J442" s="7" t="s">
        <v>14</v>
      </c>
      <c r="K442" s="8">
        <v>2</v>
      </c>
      <c r="L442" s="7" t="s">
        <v>1024</v>
      </c>
      <c r="M442" s="10">
        <v>25</v>
      </c>
      <c r="N442" s="10">
        <v>50</v>
      </c>
    </row>
    <row r="443" spans="1:14" x14ac:dyDescent="0.2">
      <c r="A443" s="8">
        <v>442</v>
      </c>
      <c r="B443" s="5">
        <v>45083</v>
      </c>
      <c r="C443" s="7" t="s">
        <v>1044</v>
      </c>
      <c r="D443" s="8">
        <v>6</v>
      </c>
      <c r="E443" s="8">
        <v>2023</v>
      </c>
      <c r="F443" s="7" t="s">
        <v>494</v>
      </c>
      <c r="G443" s="7" t="s">
        <v>13</v>
      </c>
      <c r="H443" s="8">
        <v>43</v>
      </c>
      <c r="I443" s="7" t="s">
        <v>1017</v>
      </c>
      <c r="J443" s="7" t="s">
        <v>16</v>
      </c>
      <c r="K443" s="8">
        <v>4</v>
      </c>
      <c r="L443" s="7" t="s">
        <v>1025</v>
      </c>
      <c r="M443" s="10">
        <v>300</v>
      </c>
      <c r="N443" s="10">
        <v>1200</v>
      </c>
    </row>
    <row r="444" spans="1:14" x14ac:dyDescent="0.2">
      <c r="A444" s="8">
        <v>443</v>
      </c>
      <c r="B444" s="5">
        <v>45083</v>
      </c>
      <c r="C444" s="7" t="s">
        <v>1044</v>
      </c>
      <c r="D444" s="8">
        <v>6</v>
      </c>
      <c r="E444" s="8">
        <v>2023</v>
      </c>
      <c r="F444" s="7" t="s">
        <v>880</v>
      </c>
      <c r="G444" s="7" t="s">
        <v>10</v>
      </c>
      <c r="H444" s="8">
        <v>21</v>
      </c>
      <c r="I444" s="7" t="s">
        <v>1021</v>
      </c>
      <c r="J444" s="7" t="s">
        <v>16</v>
      </c>
      <c r="K444" s="8">
        <v>1</v>
      </c>
      <c r="L444" s="7" t="s">
        <v>1023</v>
      </c>
      <c r="M444" s="10">
        <v>500</v>
      </c>
      <c r="N444" s="10">
        <v>500</v>
      </c>
    </row>
    <row r="445" spans="1:14" x14ac:dyDescent="0.2">
      <c r="A445" s="8">
        <v>444</v>
      </c>
      <c r="B445" s="5">
        <v>45083</v>
      </c>
      <c r="C445" s="7" t="s">
        <v>1044</v>
      </c>
      <c r="D445" s="8">
        <v>6</v>
      </c>
      <c r="E445" s="8">
        <v>2023</v>
      </c>
      <c r="F445" s="7" t="s">
        <v>895</v>
      </c>
      <c r="G445" s="7" t="s">
        <v>13</v>
      </c>
      <c r="H445" s="8">
        <v>64</v>
      </c>
      <c r="I445" s="7" t="s">
        <v>1018</v>
      </c>
      <c r="J445" s="7" t="s">
        <v>16</v>
      </c>
      <c r="K445" s="8">
        <v>2</v>
      </c>
      <c r="L445" s="7" t="s">
        <v>1024</v>
      </c>
      <c r="M445" s="10">
        <v>25</v>
      </c>
      <c r="N445" s="10">
        <v>50</v>
      </c>
    </row>
    <row r="446" spans="1:14" x14ac:dyDescent="0.2">
      <c r="A446" s="8">
        <v>445</v>
      </c>
      <c r="B446" s="5">
        <v>45083</v>
      </c>
      <c r="C446" s="7" t="s">
        <v>1044</v>
      </c>
      <c r="D446" s="8">
        <v>6</v>
      </c>
      <c r="E446" s="8">
        <v>2023</v>
      </c>
      <c r="F446" s="7" t="s">
        <v>974</v>
      </c>
      <c r="G446" s="7" t="s">
        <v>10</v>
      </c>
      <c r="H446" s="8">
        <v>53</v>
      </c>
      <c r="I446" s="7" t="s">
        <v>1019</v>
      </c>
      <c r="J446" s="7" t="s">
        <v>11</v>
      </c>
      <c r="K446" s="8">
        <v>4</v>
      </c>
      <c r="L446" s="7" t="s">
        <v>1025</v>
      </c>
      <c r="M446" s="10">
        <v>50</v>
      </c>
      <c r="N446" s="10">
        <v>200</v>
      </c>
    </row>
    <row r="447" spans="1:14" x14ac:dyDescent="0.2">
      <c r="A447" s="8">
        <v>446</v>
      </c>
      <c r="B447" s="5">
        <v>45084</v>
      </c>
      <c r="C447" s="7" t="s">
        <v>1044</v>
      </c>
      <c r="D447" s="8">
        <v>6</v>
      </c>
      <c r="E447" s="8">
        <v>2023</v>
      </c>
      <c r="F447" s="7" t="s">
        <v>200</v>
      </c>
      <c r="G447" s="7" t="s">
        <v>13</v>
      </c>
      <c r="H447" s="8">
        <v>64</v>
      </c>
      <c r="I447" s="7" t="s">
        <v>1018</v>
      </c>
      <c r="J447" s="7" t="s">
        <v>14</v>
      </c>
      <c r="K447" s="8">
        <v>2</v>
      </c>
      <c r="L447" s="7" t="s">
        <v>1024</v>
      </c>
      <c r="M447" s="10">
        <v>50</v>
      </c>
      <c r="N447" s="10">
        <v>100</v>
      </c>
    </row>
    <row r="448" spans="1:14" x14ac:dyDescent="0.2">
      <c r="A448" s="8">
        <v>447</v>
      </c>
      <c r="B448" s="5">
        <v>45084</v>
      </c>
      <c r="C448" s="7" t="s">
        <v>1044</v>
      </c>
      <c r="D448" s="8">
        <v>6</v>
      </c>
      <c r="E448" s="8">
        <v>2023</v>
      </c>
      <c r="F448" s="7" t="s">
        <v>459</v>
      </c>
      <c r="G448" s="7" t="s">
        <v>10</v>
      </c>
      <c r="H448" s="8">
        <v>21</v>
      </c>
      <c r="I448" s="7" t="s">
        <v>1021</v>
      </c>
      <c r="J448" s="7" t="s">
        <v>16</v>
      </c>
      <c r="K448" s="8">
        <v>1</v>
      </c>
      <c r="L448" s="7" t="s">
        <v>1023</v>
      </c>
      <c r="M448" s="10">
        <v>50</v>
      </c>
      <c r="N448" s="10">
        <v>50</v>
      </c>
    </row>
    <row r="449" spans="1:14" x14ac:dyDescent="0.2">
      <c r="A449" s="8">
        <v>448</v>
      </c>
      <c r="B449" s="5">
        <v>45085</v>
      </c>
      <c r="C449" s="7" t="s">
        <v>1044</v>
      </c>
      <c r="D449" s="8">
        <v>6</v>
      </c>
      <c r="E449" s="8">
        <v>2023</v>
      </c>
      <c r="F449" s="7" t="s">
        <v>552</v>
      </c>
      <c r="G449" s="7" t="s">
        <v>10</v>
      </c>
      <c r="H449" s="8">
        <v>25</v>
      </c>
      <c r="I449" s="7" t="s">
        <v>1021</v>
      </c>
      <c r="J449" s="7" t="s">
        <v>11</v>
      </c>
      <c r="K449" s="8">
        <v>1</v>
      </c>
      <c r="L449" s="7" t="s">
        <v>1023</v>
      </c>
      <c r="M449" s="10">
        <v>500</v>
      </c>
      <c r="N449" s="10">
        <v>500</v>
      </c>
    </row>
    <row r="450" spans="1:14" x14ac:dyDescent="0.2">
      <c r="A450" s="8">
        <v>449</v>
      </c>
      <c r="B450" s="5">
        <v>45085</v>
      </c>
      <c r="C450" s="7" t="s">
        <v>1044</v>
      </c>
      <c r="D450" s="8">
        <v>6</v>
      </c>
      <c r="E450" s="8">
        <v>2023</v>
      </c>
      <c r="F450" s="7" t="s">
        <v>600</v>
      </c>
      <c r="G450" s="7" t="s">
        <v>13</v>
      </c>
      <c r="H450" s="8">
        <v>40</v>
      </c>
      <c r="I450" s="7" t="s">
        <v>1017</v>
      </c>
      <c r="J450" s="7" t="s">
        <v>11</v>
      </c>
      <c r="K450" s="8">
        <v>4</v>
      </c>
      <c r="L450" s="7" t="s">
        <v>1025</v>
      </c>
      <c r="M450" s="10">
        <v>300</v>
      </c>
      <c r="N450" s="10">
        <v>1200</v>
      </c>
    </row>
    <row r="451" spans="1:14" x14ac:dyDescent="0.2">
      <c r="A451" s="8">
        <v>450</v>
      </c>
      <c r="B451" s="5">
        <v>45086</v>
      </c>
      <c r="C451" s="7" t="s">
        <v>1044</v>
      </c>
      <c r="D451" s="8">
        <v>6</v>
      </c>
      <c r="E451" s="8">
        <v>2023</v>
      </c>
      <c r="F451" s="7" t="s">
        <v>225</v>
      </c>
      <c r="G451" s="7" t="s">
        <v>10</v>
      </c>
      <c r="H451" s="8">
        <v>21</v>
      </c>
      <c r="I451" s="7" t="s">
        <v>1021</v>
      </c>
      <c r="J451" s="7" t="s">
        <v>14</v>
      </c>
      <c r="K451" s="8">
        <v>3</v>
      </c>
      <c r="L451" s="7" t="s">
        <v>1022</v>
      </c>
      <c r="M451" s="10">
        <v>500</v>
      </c>
      <c r="N451" s="10">
        <v>1500</v>
      </c>
    </row>
    <row r="452" spans="1:14" x14ac:dyDescent="0.2">
      <c r="A452" s="8">
        <v>451</v>
      </c>
      <c r="B452" s="5">
        <v>45086</v>
      </c>
      <c r="C452" s="7" t="s">
        <v>1044</v>
      </c>
      <c r="D452" s="8">
        <v>6</v>
      </c>
      <c r="E452" s="8">
        <v>2023</v>
      </c>
      <c r="F452" s="7" t="s">
        <v>778</v>
      </c>
      <c r="G452" s="7" t="s">
        <v>10</v>
      </c>
      <c r="H452" s="8">
        <v>43</v>
      </c>
      <c r="I452" s="7" t="s">
        <v>1017</v>
      </c>
      <c r="J452" s="7" t="s">
        <v>14</v>
      </c>
      <c r="K452" s="8">
        <v>4</v>
      </c>
      <c r="L452" s="7" t="s">
        <v>1025</v>
      </c>
      <c r="M452" s="10">
        <v>50</v>
      </c>
      <c r="N452" s="10">
        <v>200</v>
      </c>
    </row>
    <row r="453" spans="1:14" x14ac:dyDescent="0.2">
      <c r="A453" s="8">
        <v>452</v>
      </c>
      <c r="B453" s="5">
        <v>45086</v>
      </c>
      <c r="C453" s="7" t="s">
        <v>1044</v>
      </c>
      <c r="D453" s="8">
        <v>6</v>
      </c>
      <c r="E453" s="8">
        <v>2023</v>
      </c>
      <c r="F453" s="7" t="s">
        <v>782</v>
      </c>
      <c r="G453" s="7" t="s">
        <v>13</v>
      </c>
      <c r="H453" s="8">
        <v>31</v>
      </c>
      <c r="I453" s="7" t="s">
        <v>1021</v>
      </c>
      <c r="J453" s="7" t="s">
        <v>16</v>
      </c>
      <c r="K453" s="8">
        <v>4</v>
      </c>
      <c r="L453" s="7" t="s">
        <v>1025</v>
      </c>
      <c r="M453" s="10">
        <v>30</v>
      </c>
      <c r="N453" s="10">
        <v>120</v>
      </c>
    </row>
    <row r="454" spans="1:14" x14ac:dyDescent="0.2">
      <c r="A454" s="8">
        <v>453</v>
      </c>
      <c r="B454" s="5">
        <v>45087</v>
      </c>
      <c r="C454" s="7" t="s">
        <v>1044</v>
      </c>
      <c r="D454" s="8">
        <v>6</v>
      </c>
      <c r="E454" s="8">
        <v>2023</v>
      </c>
      <c r="F454" s="7" t="s">
        <v>334</v>
      </c>
      <c r="G454" s="7" t="s">
        <v>13</v>
      </c>
      <c r="H454" s="8">
        <v>26</v>
      </c>
      <c r="I454" s="7" t="s">
        <v>1021</v>
      </c>
      <c r="J454" s="7" t="s">
        <v>16</v>
      </c>
      <c r="K454" s="8">
        <v>2</v>
      </c>
      <c r="L454" s="7" t="s">
        <v>1024</v>
      </c>
      <c r="M454" s="10">
        <v>25</v>
      </c>
      <c r="N454" s="10">
        <v>50</v>
      </c>
    </row>
    <row r="455" spans="1:14" x14ac:dyDescent="0.2">
      <c r="A455" s="8">
        <v>454</v>
      </c>
      <c r="B455" s="5">
        <v>45087</v>
      </c>
      <c r="C455" s="7" t="s">
        <v>1044</v>
      </c>
      <c r="D455" s="8">
        <v>6</v>
      </c>
      <c r="E455" s="8">
        <v>2023</v>
      </c>
      <c r="F455" s="7" t="s">
        <v>369</v>
      </c>
      <c r="G455" s="7" t="s">
        <v>10</v>
      </c>
      <c r="H455" s="8">
        <v>50</v>
      </c>
      <c r="I455" s="7" t="s">
        <v>1019</v>
      </c>
      <c r="J455" s="7" t="s">
        <v>16</v>
      </c>
      <c r="K455" s="8">
        <v>3</v>
      </c>
      <c r="L455" s="7" t="s">
        <v>1022</v>
      </c>
      <c r="M455" s="10">
        <v>500</v>
      </c>
      <c r="N455" s="10">
        <v>1500</v>
      </c>
    </row>
    <row r="456" spans="1:14" x14ac:dyDescent="0.2">
      <c r="A456" s="8">
        <v>455</v>
      </c>
      <c r="B456" s="5">
        <v>45087</v>
      </c>
      <c r="C456" s="7" t="s">
        <v>1044</v>
      </c>
      <c r="D456" s="8">
        <v>6</v>
      </c>
      <c r="E456" s="8">
        <v>2023</v>
      </c>
      <c r="F456" s="7" t="s">
        <v>523</v>
      </c>
      <c r="G456" s="7" t="s">
        <v>13</v>
      </c>
      <c r="H456" s="8">
        <v>39</v>
      </c>
      <c r="I456" s="7" t="s">
        <v>1017</v>
      </c>
      <c r="J456" s="7" t="s">
        <v>11</v>
      </c>
      <c r="K456" s="8">
        <v>4</v>
      </c>
      <c r="L456" s="7" t="s">
        <v>1025</v>
      </c>
      <c r="M456" s="10">
        <v>50</v>
      </c>
      <c r="N456" s="10">
        <v>200</v>
      </c>
    </row>
    <row r="457" spans="1:14" x14ac:dyDescent="0.2">
      <c r="A457" s="8">
        <v>456</v>
      </c>
      <c r="B457" s="5">
        <v>45087</v>
      </c>
      <c r="C457" s="7" t="s">
        <v>1044</v>
      </c>
      <c r="D457" s="8">
        <v>6</v>
      </c>
      <c r="E457" s="8">
        <v>2023</v>
      </c>
      <c r="F457" s="7" t="s">
        <v>547</v>
      </c>
      <c r="G457" s="7" t="s">
        <v>10</v>
      </c>
      <c r="H457" s="8">
        <v>45</v>
      </c>
      <c r="I457" s="7" t="s">
        <v>1017</v>
      </c>
      <c r="J457" s="7" t="s">
        <v>14</v>
      </c>
      <c r="K457" s="8">
        <v>2</v>
      </c>
      <c r="L457" s="7" t="s">
        <v>1024</v>
      </c>
      <c r="M457" s="10">
        <v>500</v>
      </c>
      <c r="N457" s="10">
        <v>1000</v>
      </c>
    </row>
    <row r="458" spans="1:14" x14ac:dyDescent="0.2">
      <c r="A458" s="8">
        <v>457</v>
      </c>
      <c r="B458" s="5">
        <v>45088</v>
      </c>
      <c r="C458" s="7" t="s">
        <v>1044</v>
      </c>
      <c r="D458" s="8">
        <v>6</v>
      </c>
      <c r="E458" s="8">
        <v>2023</v>
      </c>
      <c r="F458" s="7" t="s">
        <v>117</v>
      </c>
      <c r="G458" s="7" t="s">
        <v>13</v>
      </c>
      <c r="H458" s="8">
        <v>34</v>
      </c>
      <c r="I458" s="7" t="s">
        <v>1021</v>
      </c>
      <c r="J458" s="7" t="s">
        <v>11</v>
      </c>
      <c r="K458" s="8">
        <v>2</v>
      </c>
      <c r="L458" s="7" t="s">
        <v>1024</v>
      </c>
      <c r="M458" s="10">
        <v>500</v>
      </c>
      <c r="N458" s="10">
        <v>1000</v>
      </c>
    </row>
    <row r="459" spans="1:14" x14ac:dyDescent="0.2">
      <c r="A459" s="8">
        <v>458</v>
      </c>
      <c r="B459" s="5">
        <v>45088</v>
      </c>
      <c r="C459" s="7" t="s">
        <v>1044</v>
      </c>
      <c r="D459" s="8">
        <v>6</v>
      </c>
      <c r="E459" s="8">
        <v>2023</v>
      </c>
      <c r="F459" s="7" t="s">
        <v>123</v>
      </c>
      <c r="G459" s="7" t="s">
        <v>10</v>
      </c>
      <c r="H459" s="8">
        <v>27</v>
      </c>
      <c r="I459" s="7" t="s">
        <v>1021</v>
      </c>
      <c r="J459" s="7" t="s">
        <v>14</v>
      </c>
      <c r="K459" s="8">
        <v>3</v>
      </c>
      <c r="L459" s="7" t="s">
        <v>1022</v>
      </c>
      <c r="M459" s="10">
        <v>300</v>
      </c>
      <c r="N459" s="10">
        <v>900</v>
      </c>
    </row>
    <row r="460" spans="1:14" x14ac:dyDescent="0.2">
      <c r="A460" s="8">
        <v>459</v>
      </c>
      <c r="B460" s="5">
        <v>45088</v>
      </c>
      <c r="C460" s="7" t="s">
        <v>1044</v>
      </c>
      <c r="D460" s="8">
        <v>6</v>
      </c>
      <c r="E460" s="8">
        <v>2023</v>
      </c>
      <c r="F460" s="7" t="s">
        <v>365</v>
      </c>
      <c r="G460" s="7" t="s">
        <v>10</v>
      </c>
      <c r="H460" s="8">
        <v>57</v>
      </c>
      <c r="I460" s="7" t="s">
        <v>1018</v>
      </c>
      <c r="J460" s="7" t="s">
        <v>16</v>
      </c>
      <c r="K460" s="8">
        <v>2</v>
      </c>
      <c r="L460" s="7" t="s">
        <v>1024</v>
      </c>
      <c r="M460" s="10">
        <v>500</v>
      </c>
      <c r="N460" s="10">
        <v>1000</v>
      </c>
    </row>
    <row r="461" spans="1:14" x14ac:dyDescent="0.2">
      <c r="A461" s="8">
        <v>460</v>
      </c>
      <c r="B461" s="5">
        <v>45088</v>
      </c>
      <c r="C461" s="7" t="s">
        <v>1044</v>
      </c>
      <c r="D461" s="8">
        <v>6</v>
      </c>
      <c r="E461" s="8">
        <v>2023</v>
      </c>
      <c r="F461" s="7" t="s">
        <v>378</v>
      </c>
      <c r="G461" s="7" t="s">
        <v>10</v>
      </c>
      <c r="H461" s="8">
        <v>31</v>
      </c>
      <c r="I461" s="7" t="s">
        <v>1021</v>
      </c>
      <c r="J461" s="7" t="s">
        <v>14</v>
      </c>
      <c r="K461" s="8">
        <v>1</v>
      </c>
      <c r="L461" s="7" t="s">
        <v>1023</v>
      </c>
      <c r="M461" s="10">
        <v>300</v>
      </c>
      <c r="N461" s="10">
        <v>300</v>
      </c>
    </row>
    <row r="462" spans="1:14" x14ac:dyDescent="0.2">
      <c r="A462" s="8">
        <v>461</v>
      </c>
      <c r="B462" s="5">
        <v>45088</v>
      </c>
      <c r="C462" s="7" t="s">
        <v>1044</v>
      </c>
      <c r="D462" s="8">
        <v>6</v>
      </c>
      <c r="E462" s="8">
        <v>2023</v>
      </c>
      <c r="F462" s="7" t="s">
        <v>900</v>
      </c>
      <c r="G462" s="7" t="s">
        <v>10</v>
      </c>
      <c r="H462" s="8">
        <v>59</v>
      </c>
      <c r="I462" s="7" t="s">
        <v>1018</v>
      </c>
      <c r="J462" s="7" t="s">
        <v>14</v>
      </c>
      <c r="K462" s="8">
        <v>4</v>
      </c>
      <c r="L462" s="7" t="s">
        <v>1025</v>
      </c>
      <c r="M462" s="10">
        <v>25</v>
      </c>
      <c r="N462" s="10">
        <v>100</v>
      </c>
    </row>
    <row r="463" spans="1:14" x14ac:dyDescent="0.2">
      <c r="A463" s="8">
        <v>462</v>
      </c>
      <c r="B463" s="5">
        <v>45089</v>
      </c>
      <c r="C463" s="7" t="s">
        <v>1044</v>
      </c>
      <c r="D463" s="8">
        <v>6</v>
      </c>
      <c r="E463" s="8">
        <v>2023</v>
      </c>
      <c r="F463" s="7" t="s">
        <v>642</v>
      </c>
      <c r="G463" s="7" t="s">
        <v>10</v>
      </c>
      <c r="H463" s="8">
        <v>62</v>
      </c>
      <c r="I463" s="7" t="s">
        <v>1018</v>
      </c>
      <c r="J463" s="7" t="s">
        <v>16</v>
      </c>
      <c r="K463" s="8">
        <v>2</v>
      </c>
      <c r="L463" s="7" t="s">
        <v>1024</v>
      </c>
      <c r="M463" s="10">
        <v>25</v>
      </c>
      <c r="N463" s="10">
        <v>50</v>
      </c>
    </row>
    <row r="464" spans="1:14" x14ac:dyDescent="0.2">
      <c r="A464" s="8">
        <v>463</v>
      </c>
      <c r="B464" s="5">
        <v>45090</v>
      </c>
      <c r="C464" s="7" t="s">
        <v>1044</v>
      </c>
      <c r="D464" s="8">
        <v>6</v>
      </c>
      <c r="E464" s="8">
        <v>2023</v>
      </c>
      <c r="F464" s="7" t="s">
        <v>668</v>
      </c>
      <c r="G464" s="7" t="s">
        <v>13</v>
      </c>
      <c r="H464" s="8">
        <v>55</v>
      </c>
      <c r="I464" s="7" t="s">
        <v>1019</v>
      </c>
      <c r="J464" s="7" t="s">
        <v>14</v>
      </c>
      <c r="K464" s="8">
        <v>1</v>
      </c>
      <c r="L464" s="7" t="s">
        <v>1023</v>
      </c>
      <c r="M464" s="10">
        <v>500</v>
      </c>
      <c r="N464" s="10">
        <v>500</v>
      </c>
    </row>
    <row r="465" spans="1:14" x14ac:dyDescent="0.2">
      <c r="A465" s="8">
        <v>464</v>
      </c>
      <c r="B465" s="5">
        <v>45091</v>
      </c>
      <c r="C465" s="7" t="s">
        <v>1044</v>
      </c>
      <c r="D465" s="8">
        <v>6</v>
      </c>
      <c r="E465" s="8">
        <v>2023</v>
      </c>
      <c r="F465" s="7" t="s">
        <v>580</v>
      </c>
      <c r="G465" s="7" t="s">
        <v>13</v>
      </c>
      <c r="H465" s="8">
        <v>25</v>
      </c>
      <c r="I465" s="7" t="s">
        <v>1021</v>
      </c>
      <c r="J465" s="7" t="s">
        <v>14</v>
      </c>
      <c r="K465" s="8">
        <v>3</v>
      </c>
      <c r="L465" s="7" t="s">
        <v>1022</v>
      </c>
      <c r="M465" s="10">
        <v>300</v>
      </c>
      <c r="N465" s="10">
        <v>900</v>
      </c>
    </row>
    <row r="466" spans="1:14" x14ac:dyDescent="0.2">
      <c r="A466" s="8">
        <v>465</v>
      </c>
      <c r="B466" s="5">
        <v>45092</v>
      </c>
      <c r="C466" s="7" t="s">
        <v>1044</v>
      </c>
      <c r="D466" s="8">
        <v>6</v>
      </c>
      <c r="E466" s="8">
        <v>2023</v>
      </c>
      <c r="F466" s="7" t="s">
        <v>195</v>
      </c>
      <c r="G466" s="7" t="s">
        <v>10</v>
      </c>
      <c r="H466" s="8">
        <v>62</v>
      </c>
      <c r="I466" s="7" t="s">
        <v>1018</v>
      </c>
      <c r="J466" s="7" t="s">
        <v>11</v>
      </c>
      <c r="K466" s="8">
        <v>4</v>
      </c>
      <c r="L466" s="7" t="s">
        <v>1025</v>
      </c>
      <c r="M466" s="10">
        <v>30</v>
      </c>
      <c r="N466" s="10">
        <v>120</v>
      </c>
    </row>
    <row r="467" spans="1:14" x14ac:dyDescent="0.2">
      <c r="A467" s="8">
        <v>466</v>
      </c>
      <c r="B467" s="5">
        <v>45092</v>
      </c>
      <c r="C467" s="7" t="s">
        <v>1044</v>
      </c>
      <c r="D467" s="8">
        <v>6</v>
      </c>
      <c r="E467" s="8">
        <v>2023</v>
      </c>
      <c r="F467" s="7" t="s">
        <v>832</v>
      </c>
      <c r="G467" s="7" t="s">
        <v>13</v>
      </c>
      <c r="H467" s="8">
        <v>35</v>
      </c>
      <c r="I467" s="7" t="s">
        <v>1017</v>
      </c>
      <c r="J467" s="7" t="s">
        <v>11</v>
      </c>
      <c r="K467" s="8">
        <v>2</v>
      </c>
      <c r="L467" s="7" t="s">
        <v>1024</v>
      </c>
      <c r="M467" s="10">
        <v>50</v>
      </c>
      <c r="N467" s="10">
        <v>100</v>
      </c>
    </row>
    <row r="468" spans="1:14" x14ac:dyDescent="0.2">
      <c r="A468" s="8">
        <v>467</v>
      </c>
      <c r="B468" s="5">
        <v>45093</v>
      </c>
      <c r="C468" s="7" t="s">
        <v>1044</v>
      </c>
      <c r="D468" s="8">
        <v>6</v>
      </c>
      <c r="E468" s="8">
        <v>2023</v>
      </c>
      <c r="F468" s="7" t="s">
        <v>113</v>
      </c>
      <c r="G468" s="7" t="s">
        <v>10</v>
      </c>
      <c r="H468" s="8">
        <v>41</v>
      </c>
      <c r="I468" s="7" t="s">
        <v>1017</v>
      </c>
      <c r="J468" s="7" t="s">
        <v>16</v>
      </c>
      <c r="K468" s="8">
        <v>1</v>
      </c>
      <c r="L468" s="7" t="s">
        <v>1023</v>
      </c>
      <c r="M468" s="10">
        <v>30</v>
      </c>
      <c r="N468" s="10">
        <v>30</v>
      </c>
    </row>
    <row r="469" spans="1:14" x14ac:dyDescent="0.2">
      <c r="A469" s="8">
        <v>468</v>
      </c>
      <c r="B469" s="5">
        <v>45093</v>
      </c>
      <c r="C469" s="7" t="s">
        <v>1044</v>
      </c>
      <c r="D469" s="8">
        <v>6</v>
      </c>
      <c r="E469" s="8">
        <v>2023</v>
      </c>
      <c r="F469" s="7" t="s">
        <v>846</v>
      </c>
      <c r="G469" s="7" t="s">
        <v>10</v>
      </c>
      <c r="H469" s="8">
        <v>42</v>
      </c>
      <c r="I469" s="7" t="s">
        <v>1017</v>
      </c>
      <c r="J469" s="7" t="s">
        <v>11</v>
      </c>
      <c r="K469" s="8">
        <v>4</v>
      </c>
      <c r="L469" s="7" t="s">
        <v>1025</v>
      </c>
      <c r="M469" s="10">
        <v>50</v>
      </c>
      <c r="N469" s="10">
        <v>200</v>
      </c>
    </row>
    <row r="470" spans="1:14" x14ac:dyDescent="0.2">
      <c r="A470" s="8">
        <v>469</v>
      </c>
      <c r="B470" s="5">
        <v>45094</v>
      </c>
      <c r="C470" s="7" t="s">
        <v>1044</v>
      </c>
      <c r="D470" s="8">
        <v>6</v>
      </c>
      <c r="E470" s="8">
        <v>2023</v>
      </c>
      <c r="F470" s="7" t="s">
        <v>555</v>
      </c>
      <c r="G470" s="7" t="s">
        <v>13</v>
      </c>
      <c r="H470" s="8">
        <v>20</v>
      </c>
      <c r="I470" s="7" t="s">
        <v>1021</v>
      </c>
      <c r="J470" s="7" t="s">
        <v>11</v>
      </c>
      <c r="K470" s="8">
        <v>1</v>
      </c>
      <c r="L470" s="7" t="s">
        <v>1023</v>
      </c>
      <c r="M470" s="10">
        <v>50</v>
      </c>
      <c r="N470" s="10">
        <v>50</v>
      </c>
    </row>
    <row r="471" spans="1:14" x14ac:dyDescent="0.2">
      <c r="A471" s="8">
        <v>470</v>
      </c>
      <c r="B471" s="5">
        <v>45094</v>
      </c>
      <c r="C471" s="7" t="s">
        <v>1044</v>
      </c>
      <c r="D471" s="8">
        <v>6</v>
      </c>
      <c r="E471" s="8">
        <v>2023</v>
      </c>
      <c r="F471" s="7" t="s">
        <v>736</v>
      </c>
      <c r="G471" s="7" t="s">
        <v>13</v>
      </c>
      <c r="H471" s="8">
        <v>54</v>
      </c>
      <c r="I471" s="7" t="s">
        <v>1019</v>
      </c>
      <c r="J471" s="7" t="s">
        <v>11</v>
      </c>
      <c r="K471" s="8">
        <v>4</v>
      </c>
      <c r="L471" s="7" t="s">
        <v>1025</v>
      </c>
      <c r="M471" s="10">
        <v>50</v>
      </c>
      <c r="N471" s="10">
        <v>200</v>
      </c>
    </row>
    <row r="472" spans="1:14" x14ac:dyDescent="0.2">
      <c r="A472" s="8">
        <v>471</v>
      </c>
      <c r="B472" s="5">
        <v>45094</v>
      </c>
      <c r="C472" s="7" t="s">
        <v>1044</v>
      </c>
      <c r="D472" s="8">
        <v>6</v>
      </c>
      <c r="E472" s="8">
        <v>2023</v>
      </c>
      <c r="F472" s="7" t="s">
        <v>739</v>
      </c>
      <c r="G472" s="7" t="s">
        <v>10</v>
      </c>
      <c r="H472" s="8">
        <v>47</v>
      </c>
      <c r="I472" s="7" t="s">
        <v>1019</v>
      </c>
      <c r="J472" s="7" t="s">
        <v>14</v>
      </c>
      <c r="K472" s="8">
        <v>4</v>
      </c>
      <c r="L472" s="7" t="s">
        <v>1025</v>
      </c>
      <c r="M472" s="10">
        <v>300</v>
      </c>
      <c r="N472" s="10">
        <v>1200</v>
      </c>
    </row>
    <row r="473" spans="1:14" x14ac:dyDescent="0.2">
      <c r="A473" s="8">
        <v>472</v>
      </c>
      <c r="B473" s="5">
        <v>45095</v>
      </c>
      <c r="C473" s="7" t="s">
        <v>1044</v>
      </c>
      <c r="D473" s="8">
        <v>6</v>
      </c>
      <c r="E473" s="8">
        <v>2023</v>
      </c>
      <c r="F473" s="7" t="s">
        <v>501</v>
      </c>
      <c r="G473" s="7" t="s">
        <v>13</v>
      </c>
      <c r="H473" s="8">
        <v>51</v>
      </c>
      <c r="I473" s="7" t="s">
        <v>1019</v>
      </c>
      <c r="J473" s="7" t="s">
        <v>16</v>
      </c>
      <c r="K473" s="8">
        <v>3</v>
      </c>
      <c r="L473" s="7" t="s">
        <v>1022</v>
      </c>
      <c r="M473" s="10">
        <v>300</v>
      </c>
      <c r="N473" s="10">
        <v>900</v>
      </c>
    </row>
    <row r="474" spans="1:14" x14ac:dyDescent="0.2">
      <c r="A474" s="8">
        <v>473</v>
      </c>
      <c r="B474" s="5">
        <v>45096</v>
      </c>
      <c r="C474" s="7" t="s">
        <v>1044</v>
      </c>
      <c r="D474" s="8">
        <v>6</v>
      </c>
      <c r="E474" s="8">
        <v>2023</v>
      </c>
      <c r="F474" s="7" t="s">
        <v>252</v>
      </c>
      <c r="G474" s="7" t="s">
        <v>10</v>
      </c>
      <c r="H474" s="8">
        <v>38</v>
      </c>
      <c r="I474" s="7" t="s">
        <v>1017</v>
      </c>
      <c r="J474" s="7" t="s">
        <v>16</v>
      </c>
      <c r="K474" s="8">
        <v>3</v>
      </c>
      <c r="L474" s="7" t="s">
        <v>1022</v>
      </c>
      <c r="M474" s="10">
        <v>500</v>
      </c>
      <c r="N474" s="10">
        <v>1500</v>
      </c>
    </row>
    <row r="475" spans="1:14" x14ac:dyDescent="0.2">
      <c r="A475" s="8">
        <v>474</v>
      </c>
      <c r="B475" s="5">
        <v>45096</v>
      </c>
      <c r="C475" s="7" t="s">
        <v>1044</v>
      </c>
      <c r="D475" s="8">
        <v>6</v>
      </c>
      <c r="E475" s="8">
        <v>2023</v>
      </c>
      <c r="F475" s="7" t="s">
        <v>511</v>
      </c>
      <c r="G475" s="7" t="s">
        <v>13</v>
      </c>
      <c r="H475" s="8">
        <v>50</v>
      </c>
      <c r="I475" s="7" t="s">
        <v>1019</v>
      </c>
      <c r="J475" s="7" t="s">
        <v>14</v>
      </c>
      <c r="K475" s="8">
        <v>4</v>
      </c>
      <c r="L475" s="7" t="s">
        <v>1025</v>
      </c>
      <c r="M475" s="10">
        <v>25</v>
      </c>
      <c r="N475" s="10">
        <v>100</v>
      </c>
    </row>
    <row r="476" spans="1:14" x14ac:dyDescent="0.2">
      <c r="A476" s="8">
        <v>475</v>
      </c>
      <c r="B476" s="5">
        <v>45096</v>
      </c>
      <c r="C476" s="7" t="s">
        <v>1044</v>
      </c>
      <c r="D476" s="8">
        <v>6</v>
      </c>
      <c r="E476" s="8">
        <v>2023</v>
      </c>
      <c r="F476" s="7" t="s">
        <v>545</v>
      </c>
      <c r="G476" s="7" t="s">
        <v>13</v>
      </c>
      <c r="H476" s="8">
        <v>64</v>
      </c>
      <c r="I476" s="7" t="s">
        <v>1018</v>
      </c>
      <c r="J476" s="7" t="s">
        <v>14</v>
      </c>
      <c r="K476" s="8">
        <v>4</v>
      </c>
      <c r="L476" s="7" t="s">
        <v>1025</v>
      </c>
      <c r="M476" s="10">
        <v>30</v>
      </c>
      <c r="N476" s="10">
        <v>120</v>
      </c>
    </row>
    <row r="477" spans="1:14" x14ac:dyDescent="0.2">
      <c r="A477" s="8">
        <v>476</v>
      </c>
      <c r="B477" s="5">
        <v>45096</v>
      </c>
      <c r="C477" s="7" t="s">
        <v>1044</v>
      </c>
      <c r="D477" s="8">
        <v>6</v>
      </c>
      <c r="E477" s="8">
        <v>2023</v>
      </c>
      <c r="F477" s="7" t="s">
        <v>682</v>
      </c>
      <c r="G477" s="7" t="s">
        <v>10</v>
      </c>
      <c r="H477" s="8">
        <v>24</v>
      </c>
      <c r="I477" s="7" t="s">
        <v>1021</v>
      </c>
      <c r="J477" s="7" t="s">
        <v>11</v>
      </c>
      <c r="K477" s="8">
        <v>4</v>
      </c>
      <c r="L477" s="7" t="s">
        <v>1025</v>
      </c>
      <c r="M477" s="10">
        <v>300</v>
      </c>
      <c r="N477" s="10">
        <v>1200</v>
      </c>
    </row>
    <row r="478" spans="1:14" x14ac:dyDescent="0.2">
      <c r="A478" s="8">
        <v>477</v>
      </c>
      <c r="B478" s="5">
        <v>45096</v>
      </c>
      <c r="C478" s="7" t="s">
        <v>1044</v>
      </c>
      <c r="D478" s="8">
        <v>6</v>
      </c>
      <c r="E478" s="8">
        <v>2023</v>
      </c>
      <c r="F478" s="7" t="s">
        <v>890</v>
      </c>
      <c r="G478" s="7" t="s">
        <v>13</v>
      </c>
      <c r="H478" s="8">
        <v>58</v>
      </c>
      <c r="I478" s="7" t="s">
        <v>1018</v>
      </c>
      <c r="J478" s="7" t="s">
        <v>14</v>
      </c>
      <c r="K478" s="8">
        <v>1</v>
      </c>
      <c r="L478" s="7" t="s">
        <v>1023</v>
      </c>
      <c r="M478" s="10">
        <v>25</v>
      </c>
      <c r="N478" s="10">
        <v>25</v>
      </c>
    </row>
    <row r="479" spans="1:14" x14ac:dyDescent="0.2">
      <c r="A479" s="8">
        <v>478</v>
      </c>
      <c r="B479" s="5">
        <v>45097</v>
      </c>
      <c r="C479" s="7" t="s">
        <v>1044</v>
      </c>
      <c r="D479" s="8">
        <v>6</v>
      </c>
      <c r="E479" s="8">
        <v>2023</v>
      </c>
      <c r="F479" s="7" t="s">
        <v>435</v>
      </c>
      <c r="G479" s="7" t="s">
        <v>13</v>
      </c>
      <c r="H479" s="8">
        <v>28</v>
      </c>
      <c r="I479" s="7" t="s">
        <v>1021</v>
      </c>
      <c r="J479" s="7" t="s">
        <v>14</v>
      </c>
      <c r="K479" s="8">
        <v>3</v>
      </c>
      <c r="L479" s="7" t="s">
        <v>1022</v>
      </c>
      <c r="M479" s="10">
        <v>30</v>
      </c>
      <c r="N479" s="10">
        <v>90</v>
      </c>
    </row>
    <row r="480" spans="1:14" x14ac:dyDescent="0.2">
      <c r="A480" s="8">
        <v>479</v>
      </c>
      <c r="B480" s="5">
        <v>45097</v>
      </c>
      <c r="C480" s="7" t="s">
        <v>1044</v>
      </c>
      <c r="D480" s="8">
        <v>6</v>
      </c>
      <c r="E480" s="8">
        <v>2023</v>
      </c>
      <c r="F480" s="7" t="s">
        <v>479</v>
      </c>
      <c r="G480" s="7" t="s">
        <v>10</v>
      </c>
      <c r="H480" s="8">
        <v>63</v>
      </c>
      <c r="I480" s="7" t="s">
        <v>1018</v>
      </c>
      <c r="J480" s="7" t="s">
        <v>16</v>
      </c>
      <c r="K480" s="8">
        <v>4</v>
      </c>
      <c r="L480" s="7" t="s">
        <v>1025</v>
      </c>
      <c r="M480" s="10">
        <v>25</v>
      </c>
      <c r="N480" s="10">
        <v>100</v>
      </c>
    </row>
    <row r="481" spans="1:14" x14ac:dyDescent="0.2">
      <c r="A481" s="8">
        <v>480</v>
      </c>
      <c r="B481" s="5">
        <v>45098</v>
      </c>
      <c r="C481" s="7" t="s">
        <v>1044</v>
      </c>
      <c r="D481" s="8">
        <v>6</v>
      </c>
      <c r="E481" s="8">
        <v>2023</v>
      </c>
      <c r="F481" s="7" t="s">
        <v>596</v>
      </c>
      <c r="G481" s="7" t="s">
        <v>13</v>
      </c>
      <c r="H481" s="8">
        <v>24</v>
      </c>
      <c r="I481" s="7" t="s">
        <v>1021</v>
      </c>
      <c r="J481" s="7" t="s">
        <v>16</v>
      </c>
      <c r="K481" s="8">
        <v>4</v>
      </c>
      <c r="L481" s="7" t="s">
        <v>1025</v>
      </c>
      <c r="M481" s="10">
        <v>25</v>
      </c>
      <c r="N481" s="10">
        <v>100</v>
      </c>
    </row>
    <row r="482" spans="1:14" x14ac:dyDescent="0.2">
      <c r="A482" s="8">
        <v>481</v>
      </c>
      <c r="B482" s="5">
        <v>45098</v>
      </c>
      <c r="C482" s="7" t="s">
        <v>1044</v>
      </c>
      <c r="D482" s="8">
        <v>6</v>
      </c>
      <c r="E482" s="8">
        <v>2023</v>
      </c>
      <c r="F482" s="7" t="s">
        <v>667</v>
      </c>
      <c r="G482" s="7" t="s">
        <v>10</v>
      </c>
      <c r="H482" s="8">
        <v>42</v>
      </c>
      <c r="I482" s="7" t="s">
        <v>1017</v>
      </c>
      <c r="J482" s="7" t="s">
        <v>14</v>
      </c>
      <c r="K482" s="8">
        <v>3</v>
      </c>
      <c r="L482" s="7" t="s">
        <v>1022</v>
      </c>
      <c r="M482" s="10">
        <v>25</v>
      </c>
      <c r="N482" s="10">
        <v>75</v>
      </c>
    </row>
    <row r="483" spans="1:14" x14ac:dyDescent="0.2">
      <c r="A483" s="8">
        <v>482</v>
      </c>
      <c r="B483" s="5">
        <v>45099</v>
      </c>
      <c r="C483" s="7" t="s">
        <v>1044</v>
      </c>
      <c r="D483" s="8">
        <v>6</v>
      </c>
      <c r="E483" s="8">
        <v>2023</v>
      </c>
      <c r="F483" s="7" t="s">
        <v>53</v>
      </c>
      <c r="G483" s="7" t="s">
        <v>10</v>
      </c>
      <c r="H483" s="8">
        <v>45</v>
      </c>
      <c r="I483" s="7" t="s">
        <v>1017</v>
      </c>
      <c r="J483" s="7" t="s">
        <v>11</v>
      </c>
      <c r="K483" s="8">
        <v>1</v>
      </c>
      <c r="L483" s="7" t="s">
        <v>1023</v>
      </c>
      <c r="M483" s="10">
        <v>50</v>
      </c>
      <c r="N483" s="10">
        <v>50</v>
      </c>
    </row>
    <row r="484" spans="1:14" x14ac:dyDescent="0.2">
      <c r="A484" s="8">
        <v>483</v>
      </c>
      <c r="B484" s="5">
        <v>45099</v>
      </c>
      <c r="C484" s="7" t="s">
        <v>1044</v>
      </c>
      <c r="D484" s="8">
        <v>6</v>
      </c>
      <c r="E484" s="8">
        <v>2023</v>
      </c>
      <c r="F484" s="7" t="s">
        <v>712</v>
      </c>
      <c r="G484" s="7" t="s">
        <v>13</v>
      </c>
      <c r="H484" s="8">
        <v>37</v>
      </c>
      <c r="I484" s="7" t="s">
        <v>1017</v>
      </c>
      <c r="J484" s="7" t="s">
        <v>14</v>
      </c>
      <c r="K484" s="8">
        <v>4</v>
      </c>
      <c r="L484" s="7" t="s">
        <v>1025</v>
      </c>
      <c r="M484" s="10">
        <v>30</v>
      </c>
      <c r="N484" s="10">
        <v>120</v>
      </c>
    </row>
    <row r="485" spans="1:14" x14ac:dyDescent="0.2">
      <c r="A485" s="8">
        <v>484</v>
      </c>
      <c r="B485" s="5">
        <v>45099</v>
      </c>
      <c r="C485" s="7" t="s">
        <v>1044</v>
      </c>
      <c r="D485" s="8">
        <v>6</v>
      </c>
      <c r="E485" s="8">
        <v>2023</v>
      </c>
      <c r="F485" s="7" t="s">
        <v>740</v>
      </c>
      <c r="G485" s="7" t="s">
        <v>10</v>
      </c>
      <c r="H485" s="8">
        <v>55</v>
      </c>
      <c r="I485" s="7" t="s">
        <v>1019</v>
      </c>
      <c r="J485" s="7" t="s">
        <v>11</v>
      </c>
      <c r="K485" s="8">
        <v>3</v>
      </c>
      <c r="L485" s="7" t="s">
        <v>1022</v>
      </c>
      <c r="M485" s="10">
        <v>300</v>
      </c>
      <c r="N485" s="10">
        <v>900</v>
      </c>
    </row>
    <row r="486" spans="1:14" x14ac:dyDescent="0.2">
      <c r="A486" s="8">
        <v>485</v>
      </c>
      <c r="B486" s="5">
        <v>45099</v>
      </c>
      <c r="C486" s="7" t="s">
        <v>1044</v>
      </c>
      <c r="D486" s="8">
        <v>6</v>
      </c>
      <c r="E486" s="8">
        <v>2023</v>
      </c>
      <c r="F486" s="7" t="s">
        <v>843</v>
      </c>
      <c r="G486" s="7" t="s">
        <v>13</v>
      </c>
      <c r="H486" s="8">
        <v>64</v>
      </c>
      <c r="I486" s="7" t="s">
        <v>1018</v>
      </c>
      <c r="J486" s="7" t="s">
        <v>14</v>
      </c>
      <c r="K486" s="8">
        <v>3</v>
      </c>
      <c r="L486" s="7" t="s">
        <v>1022</v>
      </c>
      <c r="M486" s="10">
        <v>50</v>
      </c>
      <c r="N486" s="10">
        <v>150</v>
      </c>
    </row>
    <row r="487" spans="1:14" x14ac:dyDescent="0.2">
      <c r="A487" s="8">
        <v>486</v>
      </c>
      <c r="B487" s="5">
        <v>45100</v>
      </c>
      <c r="C487" s="7" t="s">
        <v>1044</v>
      </c>
      <c r="D487" s="8">
        <v>6</v>
      </c>
      <c r="E487" s="8">
        <v>2023</v>
      </c>
      <c r="F487" s="7" t="s">
        <v>237</v>
      </c>
      <c r="G487" s="7" t="s">
        <v>13</v>
      </c>
      <c r="H487" s="8">
        <v>25</v>
      </c>
      <c r="I487" s="7" t="s">
        <v>1021</v>
      </c>
      <c r="J487" s="7" t="s">
        <v>14</v>
      </c>
      <c r="K487" s="8">
        <v>1</v>
      </c>
      <c r="L487" s="7" t="s">
        <v>1023</v>
      </c>
      <c r="M487" s="10">
        <v>50</v>
      </c>
      <c r="N487" s="10">
        <v>50</v>
      </c>
    </row>
    <row r="488" spans="1:14" x14ac:dyDescent="0.2">
      <c r="A488" s="8">
        <v>487</v>
      </c>
      <c r="B488" s="5">
        <v>45100</v>
      </c>
      <c r="C488" s="7" t="s">
        <v>1044</v>
      </c>
      <c r="D488" s="8">
        <v>6</v>
      </c>
      <c r="E488" s="8">
        <v>2023</v>
      </c>
      <c r="F488" s="7" t="s">
        <v>284</v>
      </c>
      <c r="G488" s="7" t="s">
        <v>13</v>
      </c>
      <c r="H488" s="8">
        <v>62</v>
      </c>
      <c r="I488" s="7" t="s">
        <v>1018</v>
      </c>
      <c r="J488" s="7" t="s">
        <v>11</v>
      </c>
      <c r="K488" s="8">
        <v>4</v>
      </c>
      <c r="L488" s="7" t="s">
        <v>1025</v>
      </c>
      <c r="M488" s="10">
        <v>30</v>
      </c>
      <c r="N488" s="10">
        <v>120</v>
      </c>
    </row>
    <row r="489" spans="1:14" x14ac:dyDescent="0.2">
      <c r="A489" s="8">
        <v>488</v>
      </c>
      <c r="B489" s="5">
        <v>45101</v>
      </c>
      <c r="C489" s="7" t="s">
        <v>1044</v>
      </c>
      <c r="D489" s="8">
        <v>6</v>
      </c>
      <c r="E489" s="8">
        <v>2023</v>
      </c>
      <c r="F489" s="7" t="s">
        <v>49</v>
      </c>
      <c r="G489" s="7" t="s">
        <v>10</v>
      </c>
      <c r="H489" s="8">
        <v>52</v>
      </c>
      <c r="I489" s="7" t="s">
        <v>1019</v>
      </c>
      <c r="J489" s="7" t="s">
        <v>11</v>
      </c>
      <c r="K489" s="8">
        <v>3</v>
      </c>
      <c r="L489" s="7" t="s">
        <v>1022</v>
      </c>
      <c r="M489" s="10">
        <v>300</v>
      </c>
      <c r="N489" s="10">
        <v>900</v>
      </c>
    </row>
    <row r="490" spans="1:14" x14ac:dyDescent="0.2">
      <c r="A490" s="8">
        <v>489</v>
      </c>
      <c r="B490" s="5">
        <v>45101</v>
      </c>
      <c r="C490" s="7" t="s">
        <v>1044</v>
      </c>
      <c r="D490" s="8">
        <v>6</v>
      </c>
      <c r="E490" s="8">
        <v>2023</v>
      </c>
      <c r="F490" s="7" t="s">
        <v>170</v>
      </c>
      <c r="G490" s="7" t="s">
        <v>10</v>
      </c>
      <c r="H490" s="8">
        <v>62</v>
      </c>
      <c r="I490" s="7" t="s">
        <v>1018</v>
      </c>
      <c r="J490" s="7" t="s">
        <v>16</v>
      </c>
      <c r="K490" s="8">
        <v>4</v>
      </c>
      <c r="L490" s="7" t="s">
        <v>1025</v>
      </c>
      <c r="M490" s="10">
        <v>500</v>
      </c>
      <c r="N490" s="10">
        <v>2000</v>
      </c>
    </row>
    <row r="491" spans="1:14" x14ac:dyDescent="0.2">
      <c r="A491" s="8">
        <v>490</v>
      </c>
      <c r="B491" s="5">
        <v>45101</v>
      </c>
      <c r="C491" s="7" t="s">
        <v>1044</v>
      </c>
      <c r="D491" s="8">
        <v>6</v>
      </c>
      <c r="E491" s="8">
        <v>2023</v>
      </c>
      <c r="F491" s="7" t="s">
        <v>809</v>
      </c>
      <c r="G491" s="7" t="s">
        <v>10</v>
      </c>
      <c r="H491" s="8">
        <v>43</v>
      </c>
      <c r="I491" s="7" t="s">
        <v>1017</v>
      </c>
      <c r="J491" s="7" t="s">
        <v>11</v>
      </c>
      <c r="K491" s="8">
        <v>4</v>
      </c>
      <c r="L491" s="7" t="s">
        <v>1025</v>
      </c>
      <c r="M491" s="10">
        <v>30</v>
      </c>
      <c r="N491" s="10">
        <v>120</v>
      </c>
    </row>
    <row r="492" spans="1:14" x14ac:dyDescent="0.2">
      <c r="A492" s="8">
        <v>491</v>
      </c>
      <c r="B492" s="5">
        <v>45101</v>
      </c>
      <c r="C492" s="7" t="s">
        <v>1044</v>
      </c>
      <c r="D492" s="8">
        <v>6</v>
      </c>
      <c r="E492" s="8">
        <v>2023</v>
      </c>
      <c r="F492" s="7" t="s">
        <v>852</v>
      </c>
      <c r="G492" s="7" t="s">
        <v>13</v>
      </c>
      <c r="H492" s="8">
        <v>20</v>
      </c>
      <c r="I492" s="7" t="s">
        <v>1021</v>
      </c>
      <c r="J492" s="7" t="s">
        <v>16</v>
      </c>
      <c r="K492" s="8">
        <v>4</v>
      </c>
      <c r="L492" s="7" t="s">
        <v>1025</v>
      </c>
      <c r="M492" s="10">
        <v>300</v>
      </c>
      <c r="N492" s="10">
        <v>1200</v>
      </c>
    </row>
    <row r="493" spans="1:14" x14ac:dyDescent="0.2">
      <c r="A493" s="8">
        <v>492</v>
      </c>
      <c r="B493" s="5">
        <v>45101</v>
      </c>
      <c r="C493" s="7" t="s">
        <v>1044</v>
      </c>
      <c r="D493" s="8">
        <v>6</v>
      </c>
      <c r="E493" s="8">
        <v>2023</v>
      </c>
      <c r="F493" s="7" t="s">
        <v>940</v>
      </c>
      <c r="G493" s="7" t="s">
        <v>10</v>
      </c>
      <c r="H493" s="8">
        <v>43</v>
      </c>
      <c r="I493" s="7" t="s">
        <v>1017</v>
      </c>
      <c r="J493" s="7" t="s">
        <v>16</v>
      </c>
      <c r="K493" s="8">
        <v>4</v>
      </c>
      <c r="L493" s="7" t="s">
        <v>1025</v>
      </c>
      <c r="M493" s="10">
        <v>500</v>
      </c>
      <c r="N493" s="10">
        <v>2000</v>
      </c>
    </row>
    <row r="494" spans="1:14" x14ac:dyDescent="0.2">
      <c r="A494" s="8">
        <v>493</v>
      </c>
      <c r="B494" s="5">
        <v>45102</v>
      </c>
      <c r="C494" s="7" t="s">
        <v>1044</v>
      </c>
      <c r="D494" s="8">
        <v>6</v>
      </c>
      <c r="E494" s="8">
        <v>2023</v>
      </c>
      <c r="F494" s="7" t="s">
        <v>420</v>
      </c>
      <c r="G494" s="7" t="s">
        <v>13</v>
      </c>
      <c r="H494" s="8">
        <v>46</v>
      </c>
      <c r="I494" s="7" t="s">
        <v>1019</v>
      </c>
      <c r="J494" s="7" t="s">
        <v>16</v>
      </c>
      <c r="K494" s="8">
        <v>3</v>
      </c>
      <c r="L494" s="7" t="s">
        <v>1022</v>
      </c>
      <c r="M494" s="10">
        <v>300</v>
      </c>
      <c r="N494" s="10">
        <v>900</v>
      </c>
    </row>
    <row r="495" spans="1:14" x14ac:dyDescent="0.2">
      <c r="A495" s="8">
        <v>494</v>
      </c>
      <c r="B495" s="5">
        <v>45103</v>
      </c>
      <c r="C495" s="7" t="s">
        <v>1044</v>
      </c>
      <c r="D495" s="8">
        <v>6</v>
      </c>
      <c r="E495" s="8">
        <v>2023</v>
      </c>
      <c r="F495" s="7" t="s">
        <v>59</v>
      </c>
      <c r="G495" s="7" t="s">
        <v>13</v>
      </c>
      <c r="H495" s="8">
        <v>20</v>
      </c>
      <c r="I495" s="7" t="s">
        <v>1021</v>
      </c>
      <c r="J495" s="7" t="s">
        <v>16</v>
      </c>
      <c r="K495" s="8">
        <v>4</v>
      </c>
      <c r="L495" s="7" t="s">
        <v>1025</v>
      </c>
      <c r="M495" s="10">
        <v>300</v>
      </c>
      <c r="N495" s="10">
        <v>1200</v>
      </c>
    </row>
    <row r="496" spans="1:14" x14ac:dyDescent="0.2">
      <c r="A496" s="8">
        <v>495</v>
      </c>
      <c r="B496" s="5">
        <v>45103</v>
      </c>
      <c r="C496" s="7" t="s">
        <v>1044</v>
      </c>
      <c r="D496" s="8">
        <v>6</v>
      </c>
      <c r="E496" s="8">
        <v>2023</v>
      </c>
      <c r="F496" s="7" t="s">
        <v>522</v>
      </c>
      <c r="G496" s="7" t="s">
        <v>13</v>
      </c>
      <c r="H496" s="8">
        <v>37</v>
      </c>
      <c r="I496" s="7" t="s">
        <v>1017</v>
      </c>
      <c r="J496" s="7" t="s">
        <v>16</v>
      </c>
      <c r="K496" s="8">
        <v>3</v>
      </c>
      <c r="L496" s="7" t="s">
        <v>1022</v>
      </c>
      <c r="M496" s="10">
        <v>300</v>
      </c>
      <c r="N496" s="10">
        <v>900</v>
      </c>
    </row>
    <row r="497" spans="1:14" x14ac:dyDescent="0.2">
      <c r="A497" s="8">
        <v>496</v>
      </c>
      <c r="B497" s="5">
        <v>45103</v>
      </c>
      <c r="C497" s="7" t="s">
        <v>1044</v>
      </c>
      <c r="D497" s="8">
        <v>6</v>
      </c>
      <c r="E497" s="8">
        <v>2023</v>
      </c>
      <c r="F497" s="7" t="s">
        <v>887</v>
      </c>
      <c r="G497" s="7" t="s">
        <v>10</v>
      </c>
      <c r="H497" s="8">
        <v>60</v>
      </c>
      <c r="I497" s="7" t="s">
        <v>1018</v>
      </c>
      <c r="J497" s="7" t="s">
        <v>11</v>
      </c>
      <c r="K497" s="8">
        <v>1</v>
      </c>
      <c r="L497" s="7" t="s">
        <v>1023</v>
      </c>
      <c r="M497" s="10">
        <v>30</v>
      </c>
      <c r="N497" s="10">
        <v>30</v>
      </c>
    </row>
    <row r="498" spans="1:14" x14ac:dyDescent="0.2">
      <c r="A498" s="8">
        <v>497</v>
      </c>
      <c r="B498" s="5">
        <v>45104</v>
      </c>
      <c r="C498" s="7" t="s">
        <v>1044</v>
      </c>
      <c r="D498" s="8">
        <v>6</v>
      </c>
      <c r="E498" s="8">
        <v>2023</v>
      </c>
      <c r="F498" s="7" t="s">
        <v>801</v>
      </c>
      <c r="G498" s="7" t="s">
        <v>13</v>
      </c>
      <c r="H498" s="8">
        <v>52</v>
      </c>
      <c r="I498" s="7" t="s">
        <v>1019</v>
      </c>
      <c r="J498" s="7" t="s">
        <v>11</v>
      </c>
      <c r="K498" s="8">
        <v>3</v>
      </c>
      <c r="L498" s="7" t="s">
        <v>1022</v>
      </c>
      <c r="M498" s="10">
        <v>300</v>
      </c>
      <c r="N498" s="10">
        <v>900</v>
      </c>
    </row>
    <row r="499" spans="1:14" x14ac:dyDescent="0.2">
      <c r="A499" s="8">
        <v>498</v>
      </c>
      <c r="B499" s="5">
        <v>45105</v>
      </c>
      <c r="C499" s="7" t="s">
        <v>1044</v>
      </c>
      <c r="D499" s="8">
        <v>6</v>
      </c>
      <c r="E499" s="8">
        <v>2023</v>
      </c>
      <c r="F499" s="7" t="s">
        <v>391</v>
      </c>
      <c r="G499" s="7" t="s">
        <v>10</v>
      </c>
      <c r="H499" s="8">
        <v>50</v>
      </c>
      <c r="I499" s="7" t="s">
        <v>1019</v>
      </c>
      <c r="J499" s="7" t="s">
        <v>11</v>
      </c>
      <c r="K499" s="8">
        <v>1</v>
      </c>
      <c r="L499" s="7" t="s">
        <v>1023</v>
      </c>
      <c r="M499" s="10">
        <v>300</v>
      </c>
      <c r="N499" s="10">
        <v>300</v>
      </c>
    </row>
    <row r="500" spans="1:14" x14ac:dyDescent="0.2">
      <c r="A500" s="8">
        <v>499</v>
      </c>
      <c r="B500" s="5">
        <v>45106</v>
      </c>
      <c r="C500" s="7" t="s">
        <v>1044</v>
      </c>
      <c r="D500" s="8">
        <v>6</v>
      </c>
      <c r="E500" s="8">
        <v>2023</v>
      </c>
      <c r="F500" s="7" t="s">
        <v>493</v>
      </c>
      <c r="G500" s="7" t="s">
        <v>13</v>
      </c>
      <c r="H500" s="8">
        <v>42</v>
      </c>
      <c r="I500" s="7" t="s">
        <v>1017</v>
      </c>
      <c r="J500" s="7" t="s">
        <v>11</v>
      </c>
      <c r="K500" s="8">
        <v>4</v>
      </c>
      <c r="L500" s="7" t="s">
        <v>1025</v>
      </c>
      <c r="M500" s="10">
        <v>500</v>
      </c>
      <c r="N500" s="10">
        <v>2000</v>
      </c>
    </row>
    <row r="501" spans="1:14" x14ac:dyDescent="0.2">
      <c r="A501" s="8">
        <v>500</v>
      </c>
      <c r="B501" s="5">
        <v>45106</v>
      </c>
      <c r="C501" s="7" t="s">
        <v>1044</v>
      </c>
      <c r="D501" s="8">
        <v>6</v>
      </c>
      <c r="E501" s="8">
        <v>2023</v>
      </c>
      <c r="F501" s="7" t="s">
        <v>505</v>
      </c>
      <c r="G501" s="7" t="s">
        <v>10</v>
      </c>
      <c r="H501" s="8">
        <v>61</v>
      </c>
      <c r="I501" s="7" t="s">
        <v>1018</v>
      </c>
      <c r="J501" s="7" t="s">
        <v>11</v>
      </c>
      <c r="K501" s="8">
        <v>4</v>
      </c>
      <c r="L501" s="7" t="s">
        <v>1025</v>
      </c>
      <c r="M501" s="10">
        <v>25</v>
      </c>
      <c r="N501" s="10">
        <v>100</v>
      </c>
    </row>
    <row r="502" spans="1:14" x14ac:dyDescent="0.2">
      <c r="A502" s="8">
        <v>501</v>
      </c>
      <c r="B502" s="5">
        <v>45106</v>
      </c>
      <c r="C502" s="7" t="s">
        <v>1044</v>
      </c>
      <c r="D502" s="8">
        <v>6</v>
      </c>
      <c r="E502" s="8">
        <v>2023</v>
      </c>
      <c r="F502" s="7" t="s">
        <v>750</v>
      </c>
      <c r="G502" s="7" t="s">
        <v>13</v>
      </c>
      <c r="H502" s="8">
        <v>33</v>
      </c>
      <c r="I502" s="7" t="s">
        <v>1021</v>
      </c>
      <c r="J502" s="7" t="s">
        <v>14</v>
      </c>
      <c r="K502" s="8">
        <v>1</v>
      </c>
      <c r="L502" s="7" t="s">
        <v>1023</v>
      </c>
      <c r="M502" s="10">
        <v>50</v>
      </c>
      <c r="N502" s="10">
        <v>50</v>
      </c>
    </row>
    <row r="503" spans="1:14" x14ac:dyDescent="0.2">
      <c r="A503" s="8">
        <v>502</v>
      </c>
      <c r="B503" s="5">
        <v>45107</v>
      </c>
      <c r="C503" s="7" t="s">
        <v>1044</v>
      </c>
      <c r="D503" s="8">
        <v>6</v>
      </c>
      <c r="E503" s="8">
        <v>2023</v>
      </c>
      <c r="F503" s="7" t="s">
        <v>697</v>
      </c>
      <c r="G503" s="7" t="s">
        <v>13</v>
      </c>
      <c r="H503" s="8">
        <v>28</v>
      </c>
      <c r="I503" s="7" t="s">
        <v>1021</v>
      </c>
      <c r="J503" s="7" t="s">
        <v>14</v>
      </c>
      <c r="K503" s="8">
        <v>2</v>
      </c>
      <c r="L503" s="7" t="s">
        <v>1024</v>
      </c>
      <c r="M503" s="10">
        <v>500</v>
      </c>
      <c r="N503" s="10">
        <v>1000</v>
      </c>
    </row>
    <row r="504" spans="1:14" x14ac:dyDescent="0.2">
      <c r="A504" s="8">
        <v>503</v>
      </c>
      <c r="B504" s="5">
        <v>45107</v>
      </c>
      <c r="C504" s="7" t="s">
        <v>1044</v>
      </c>
      <c r="D504" s="8">
        <v>6</v>
      </c>
      <c r="E504" s="8">
        <v>2023</v>
      </c>
      <c r="F504" s="7" t="s">
        <v>891</v>
      </c>
      <c r="G504" s="7" t="s">
        <v>13</v>
      </c>
      <c r="H504" s="8">
        <v>20</v>
      </c>
      <c r="I504" s="7" t="s">
        <v>1021</v>
      </c>
      <c r="J504" s="7" t="s">
        <v>14</v>
      </c>
      <c r="K504" s="8">
        <v>1</v>
      </c>
      <c r="L504" s="7" t="s">
        <v>1023</v>
      </c>
      <c r="M504" s="10">
        <v>30</v>
      </c>
      <c r="N504" s="10">
        <v>30</v>
      </c>
    </row>
    <row r="505" spans="1:14" x14ac:dyDescent="0.2">
      <c r="A505" s="8">
        <v>504</v>
      </c>
      <c r="B505" s="5">
        <v>45108</v>
      </c>
      <c r="C505" s="7" t="s">
        <v>1044</v>
      </c>
      <c r="D505" s="8">
        <v>6</v>
      </c>
      <c r="E505" s="8">
        <v>2023</v>
      </c>
      <c r="F505" s="7" t="s">
        <v>91</v>
      </c>
      <c r="G505" s="7" t="s">
        <v>13</v>
      </c>
      <c r="H505" s="8">
        <v>47</v>
      </c>
      <c r="I505" s="7" t="s">
        <v>1019</v>
      </c>
      <c r="J505" s="7" t="s">
        <v>14</v>
      </c>
      <c r="K505" s="8">
        <v>3</v>
      </c>
      <c r="L505" s="7" t="s">
        <v>1022</v>
      </c>
      <c r="M505" s="10">
        <v>500</v>
      </c>
      <c r="N505" s="10">
        <v>1500</v>
      </c>
    </row>
    <row r="506" spans="1:14" x14ac:dyDescent="0.2">
      <c r="A506" s="8">
        <v>505</v>
      </c>
      <c r="B506" s="5">
        <v>45108</v>
      </c>
      <c r="C506" s="7" t="s">
        <v>1045</v>
      </c>
      <c r="D506" s="8">
        <v>7</v>
      </c>
      <c r="E506" s="8">
        <v>2023</v>
      </c>
      <c r="F506" s="7" t="s">
        <v>273</v>
      </c>
      <c r="G506" s="7" t="s">
        <v>10</v>
      </c>
      <c r="H506" s="8">
        <v>28</v>
      </c>
      <c r="I506" s="7" t="s">
        <v>1021</v>
      </c>
      <c r="J506" s="7" t="s">
        <v>11</v>
      </c>
      <c r="K506" s="8">
        <v>2</v>
      </c>
      <c r="L506" s="7" t="s">
        <v>1024</v>
      </c>
      <c r="M506" s="10">
        <v>30</v>
      </c>
      <c r="N506" s="10">
        <v>60</v>
      </c>
    </row>
    <row r="507" spans="1:14" x14ac:dyDescent="0.2">
      <c r="A507" s="8">
        <v>506</v>
      </c>
      <c r="B507" s="5">
        <v>45108</v>
      </c>
      <c r="C507" s="7" t="s">
        <v>1045</v>
      </c>
      <c r="D507" s="8">
        <v>7</v>
      </c>
      <c r="E507" s="8">
        <v>2023</v>
      </c>
      <c r="F507" s="7" t="s">
        <v>468</v>
      </c>
      <c r="G507" s="7" t="s">
        <v>10</v>
      </c>
      <c r="H507" s="8">
        <v>31</v>
      </c>
      <c r="I507" s="7" t="s">
        <v>1021</v>
      </c>
      <c r="J507" s="7" t="s">
        <v>16</v>
      </c>
      <c r="K507" s="8">
        <v>4</v>
      </c>
      <c r="L507" s="7" t="s">
        <v>1025</v>
      </c>
      <c r="M507" s="10">
        <v>25</v>
      </c>
      <c r="N507" s="10">
        <v>100</v>
      </c>
    </row>
    <row r="508" spans="1:14" x14ac:dyDescent="0.2">
      <c r="A508" s="8">
        <v>507</v>
      </c>
      <c r="B508" s="5">
        <v>45108</v>
      </c>
      <c r="C508" s="7" t="s">
        <v>1045</v>
      </c>
      <c r="D508" s="8">
        <v>7</v>
      </c>
      <c r="E508" s="8">
        <v>2023</v>
      </c>
      <c r="F508" s="7" t="s">
        <v>850</v>
      </c>
      <c r="G508" s="7" t="s">
        <v>10</v>
      </c>
      <c r="H508" s="8">
        <v>18</v>
      </c>
      <c r="I508" s="7" t="s">
        <v>1020</v>
      </c>
      <c r="J508" s="7" t="s">
        <v>11</v>
      </c>
      <c r="K508" s="8">
        <v>3</v>
      </c>
      <c r="L508" s="7" t="s">
        <v>1022</v>
      </c>
      <c r="M508" s="10">
        <v>30</v>
      </c>
      <c r="N508" s="10">
        <v>90</v>
      </c>
    </row>
    <row r="509" spans="1:14" x14ac:dyDescent="0.2">
      <c r="A509" s="8">
        <v>508</v>
      </c>
      <c r="B509" s="5">
        <v>45110</v>
      </c>
      <c r="C509" s="7" t="s">
        <v>1045</v>
      </c>
      <c r="D509" s="8">
        <v>7</v>
      </c>
      <c r="E509" s="8">
        <v>2023</v>
      </c>
      <c r="F509" s="7" t="s">
        <v>58</v>
      </c>
      <c r="G509" s="7" t="s">
        <v>13</v>
      </c>
      <c r="H509" s="8">
        <v>55</v>
      </c>
      <c r="I509" s="7" t="s">
        <v>1019</v>
      </c>
      <c r="J509" s="7" t="s">
        <v>16</v>
      </c>
      <c r="K509" s="8">
        <v>1</v>
      </c>
      <c r="L509" s="7" t="s">
        <v>1023</v>
      </c>
      <c r="M509" s="10">
        <v>30</v>
      </c>
      <c r="N509" s="10">
        <v>30</v>
      </c>
    </row>
    <row r="510" spans="1:14" x14ac:dyDescent="0.2">
      <c r="A510" s="8">
        <v>509</v>
      </c>
      <c r="B510" s="5">
        <v>45110</v>
      </c>
      <c r="C510" s="7" t="s">
        <v>1045</v>
      </c>
      <c r="D510" s="8">
        <v>7</v>
      </c>
      <c r="E510" s="8">
        <v>2023</v>
      </c>
      <c r="F510" s="7" t="s">
        <v>462</v>
      </c>
      <c r="G510" s="7" t="s">
        <v>10</v>
      </c>
      <c r="H510" s="8">
        <v>25</v>
      </c>
      <c r="I510" s="7" t="s">
        <v>1021</v>
      </c>
      <c r="J510" s="7" t="s">
        <v>16</v>
      </c>
      <c r="K510" s="8">
        <v>4</v>
      </c>
      <c r="L510" s="7" t="s">
        <v>1025</v>
      </c>
      <c r="M510" s="10">
        <v>50</v>
      </c>
      <c r="N510" s="10">
        <v>200</v>
      </c>
    </row>
    <row r="511" spans="1:14" x14ac:dyDescent="0.2">
      <c r="A511" s="8">
        <v>510</v>
      </c>
      <c r="B511" s="5">
        <v>45111</v>
      </c>
      <c r="C511" s="7" t="s">
        <v>1045</v>
      </c>
      <c r="D511" s="8">
        <v>7</v>
      </c>
      <c r="E511" s="8">
        <v>2023</v>
      </c>
      <c r="F511" s="7" t="s">
        <v>917</v>
      </c>
      <c r="G511" s="7" t="s">
        <v>10</v>
      </c>
      <c r="H511" s="8">
        <v>28</v>
      </c>
      <c r="I511" s="7" t="s">
        <v>1021</v>
      </c>
      <c r="J511" s="7" t="s">
        <v>14</v>
      </c>
      <c r="K511" s="8">
        <v>1</v>
      </c>
      <c r="L511" s="7" t="s">
        <v>1023</v>
      </c>
      <c r="M511" s="10">
        <v>500</v>
      </c>
      <c r="N511" s="10">
        <v>500</v>
      </c>
    </row>
    <row r="512" spans="1:14" x14ac:dyDescent="0.2">
      <c r="A512" s="8">
        <v>511</v>
      </c>
      <c r="B512" s="5">
        <v>45112</v>
      </c>
      <c r="C512" s="7" t="s">
        <v>1045</v>
      </c>
      <c r="D512" s="8">
        <v>7</v>
      </c>
      <c r="E512" s="8">
        <v>2023</v>
      </c>
      <c r="F512" s="7" t="s">
        <v>72</v>
      </c>
      <c r="G512" s="7" t="s">
        <v>10</v>
      </c>
      <c r="H512" s="8">
        <v>62</v>
      </c>
      <c r="I512" s="7" t="s">
        <v>1018</v>
      </c>
      <c r="J512" s="7" t="s">
        <v>14</v>
      </c>
      <c r="K512" s="8">
        <v>1</v>
      </c>
      <c r="L512" s="7" t="s">
        <v>1023</v>
      </c>
      <c r="M512" s="10">
        <v>50</v>
      </c>
      <c r="N512" s="10">
        <v>50</v>
      </c>
    </row>
    <row r="513" spans="1:14" x14ac:dyDescent="0.2">
      <c r="A513" s="8">
        <v>512</v>
      </c>
      <c r="B513" s="5">
        <v>45112</v>
      </c>
      <c r="C513" s="7" t="s">
        <v>1045</v>
      </c>
      <c r="D513" s="8">
        <v>7</v>
      </c>
      <c r="E513" s="8">
        <v>2023</v>
      </c>
      <c r="F513" s="7" t="s">
        <v>141</v>
      </c>
      <c r="G513" s="7" t="s">
        <v>10</v>
      </c>
      <c r="H513" s="8">
        <v>25</v>
      </c>
      <c r="I513" s="7" t="s">
        <v>1021</v>
      </c>
      <c r="J513" s="7" t="s">
        <v>11</v>
      </c>
      <c r="K513" s="8">
        <v>1</v>
      </c>
      <c r="L513" s="7" t="s">
        <v>1023</v>
      </c>
      <c r="M513" s="10">
        <v>500</v>
      </c>
      <c r="N513" s="10">
        <v>500</v>
      </c>
    </row>
    <row r="514" spans="1:14" x14ac:dyDescent="0.2">
      <c r="A514" s="8">
        <v>513</v>
      </c>
      <c r="B514" s="5">
        <v>45112</v>
      </c>
      <c r="C514" s="7" t="s">
        <v>1045</v>
      </c>
      <c r="D514" s="8">
        <v>7</v>
      </c>
      <c r="E514" s="8">
        <v>2023</v>
      </c>
      <c r="F514" s="7" t="s">
        <v>199</v>
      </c>
      <c r="G514" s="7" t="s">
        <v>10</v>
      </c>
      <c r="H514" s="8">
        <v>20</v>
      </c>
      <c r="I514" s="7" t="s">
        <v>1021</v>
      </c>
      <c r="J514" s="7" t="s">
        <v>14</v>
      </c>
      <c r="K514" s="8">
        <v>4</v>
      </c>
      <c r="L514" s="7" t="s">
        <v>1025</v>
      </c>
      <c r="M514" s="10">
        <v>50</v>
      </c>
      <c r="N514" s="10">
        <v>200</v>
      </c>
    </row>
    <row r="515" spans="1:14" x14ac:dyDescent="0.2">
      <c r="A515" s="8">
        <v>514</v>
      </c>
      <c r="B515" s="5">
        <v>45112</v>
      </c>
      <c r="C515" s="7" t="s">
        <v>1045</v>
      </c>
      <c r="D515" s="8">
        <v>7</v>
      </c>
      <c r="E515" s="8">
        <v>2023</v>
      </c>
      <c r="F515" s="7" t="s">
        <v>815</v>
      </c>
      <c r="G515" s="7" t="s">
        <v>13</v>
      </c>
      <c r="H515" s="8">
        <v>46</v>
      </c>
      <c r="I515" s="7" t="s">
        <v>1019</v>
      </c>
      <c r="J515" s="7" t="s">
        <v>11</v>
      </c>
      <c r="K515" s="8">
        <v>1</v>
      </c>
      <c r="L515" s="7" t="s">
        <v>1023</v>
      </c>
      <c r="M515" s="10">
        <v>30</v>
      </c>
      <c r="N515" s="10">
        <v>30</v>
      </c>
    </row>
    <row r="516" spans="1:14" x14ac:dyDescent="0.2">
      <c r="A516" s="8">
        <v>515</v>
      </c>
      <c r="B516" s="5">
        <v>45113</v>
      </c>
      <c r="C516" s="7" t="s">
        <v>1045</v>
      </c>
      <c r="D516" s="8">
        <v>7</v>
      </c>
      <c r="E516" s="8">
        <v>2023</v>
      </c>
      <c r="F516" s="7" t="s">
        <v>88</v>
      </c>
      <c r="G516" s="7" t="s">
        <v>10</v>
      </c>
      <c r="H516" s="8">
        <v>61</v>
      </c>
      <c r="I516" s="7" t="s">
        <v>1018</v>
      </c>
      <c r="J516" s="7" t="s">
        <v>11</v>
      </c>
      <c r="K516" s="8">
        <v>4</v>
      </c>
      <c r="L516" s="7" t="s">
        <v>1025</v>
      </c>
      <c r="M516" s="10">
        <v>50</v>
      </c>
      <c r="N516" s="10">
        <v>200</v>
      </c>
    </row>
    <row r="517" spans="1:14" x14ac:dyDescent="0.2">
      <c r="A517" s="8">
        <v>516</v>
      </c>
      <c r="B517" s="5">
        <v>45113</v>
      </c>
      <c r="C517" s="7" t="s">
        <v>1045</v>
      </c>
      <c r="D517" s="8">
        <v>7</v>
      </c>
      <c r="E517" s="8">
        <v>2023</v>
      </c>
      <c r="F517" s="7" t="s">
        <v>460</v>
      </c>
      <c r="G517" s="7" t="s">
        <v>10</v>
      </c>
      <c r="H517" s="8">
        <v>22</v>
      </c>
      <c r="I517" s="7" t="s">
        <v>1021</v>
      </c>
      <c r="J517" s="7" t="s">
        <v>11</v>
      </c>
      <c r="K517" s="8">
        <v>4</v>
      </c>
      <c r="L517" s="7" t="s">
        <v>1025</v>
      </c>
      <c r="M517" s="10">
        <v>500</v>
      </c>
      <c r="N517" s="10">
        <v>2000</v>
      </c>
    </row>
    <row r="518" spans="1:14" x14ac:dyDescent="0.2">
      <c r="A518" s="8">
        <v>517</v>
      </c>
      <c r="B518" s="5">
        <v>45113</v>
      </c>
      <c r="C518" s="7" t="s">
        <v>1045</v>
      </c>
      <c r="D518" s="8">
        <v>7</v>
      </c>
      <c r="E518" s="8">
        <v>2023</v>
      </c>
      <c r="F518" s="7" t="s">
        <v>541</v>
      </c>
      <c r="G518" s="7" t="s">
        <v>13</v>
      </c>
      <c r="H518" s="8">
        <v>36</v>
      </c>
      <c r="I518" s="7" t="s">
        <v>1017</v>
      </c>
      <c r="J518" s="7" t="s">
        <v>14</v>
      </c>
      <c r="K518" s="8">
        <v>2</v>
      </c>
      <c r="L518" s="7" t="s">
        <v>1024</v>
      </c>
      <c r="M518" s="10">
        <v>30</v>
      </c>
      <c r="N518" s="10">
        <v>60</v>
      </c>
    </row>
    <row r="519" spans="1:14" x14ac:dyDescent="0.2">
      <c r="A519" s="8">
        <v>518</v>
      </c>
      <c r="B519" s="5">
        <v>45115</v>
      </c>
      <c r="C519" s="7" t="s">
        <v>1045</v>
      </c>
      <c r="D519" s="8">
        <v>7</v>
      </c>
      <c r="E519" s="8">
        <v>2023</v>
      </c>
      <c r="F519" s="7" t="s">
        <v>772</v>
      </c>
      <c r="G519" s="7" t="s">
        <v>10</v>
      </c>
      <c r="H519" s="8">
        <v>49</v>
      </c>
      <c r="I519" s="7" t="s">
        <v>1019</v>
      </c>
      <c r="J519" s="7" t="s">
        <v>16</v>
      </c>
      <c r="K519" s="8">
        <v>2</v>
      </c>
      <c r="L519" s="7" t="s">
        <v>1024</v>
      </c>
      <c r="M519" s="10">
        <v>50</v>
      </c>
      <c r="N519" s="10">
        <v>100</v>
      </c>
    </row>
    <row r="520" spans="1:14" x14ac:dyDescent="0.2">
      <c r="A520" s="8">
        <v>519</v>
      </c>
      <c r="B520" s="5">
        <v>45115</v>
      </c>
      <c r="C520" s="7" t="s">
        <v>1045</v>
      </c>
      <c r="D520" s="8">
        <v>7</v>
      </c>
      <c r="E520" s="8">
        <v>2023</v>
      </c>
      <c r="F520" s="7" t="s">
        <v>883</v>
      </c>
      <c r="G520" s="7" t="s">
        <v>13</v>
      </c>
      <c r="H520" s="8">
        <v>46</v>
      </c>
      <c r="I520" s="7" t="s">
        <v>1019</v>
      </c>
      <c r="J520" s="7" t="s">
        <v>16</v>
      </c>
      <c r="K520" s="8">
        <v>4</v>
      </c>
      <c r="L520" s="7" t="s">
        <v>1025</v>
      </c>
      <c r="M520" s="10">
        <v>30</v>
      </c>
      <c r="N520" s="10">
        <v>120</v>
      </c>
    </row>
    <row r="521" spans="1:14" x14ac:dyDescent="0.2">
      <c r="A521" s="8">
        <v>520</v>
      </c>
      <c r="B521" s="5">
        <v>45116</v>
      </c>
      <c r="C521" s="7" t="s">
        <v>1045</v>
      </c>
      <c r="D521" s="8">
        <v>7</v>
      </c>
      <c r="E521" s="8">
        <v>2023</v>
      </c>
      <c r="F521" s="7" t="s">
        <v>90</v>
      </c>
      <c r="G521" s="7" t="s">
        <v>13</v>
      </c>
      <c r="H521" s="8">
        <v>47</v>
      </c>
      <c r="I521" s="7" t="s">
        <v>1019</v>
      </c>
      <c r="J521" s="7" t="s">
        <v>14</v>
      </c>
      <c r="K521" s="8">
        <v>2</v>
      </c>
      <c r="L521" s="7" t="s">
        <v>1024</v>
      </c>
      <c r="M521" s="10">
        <v>50</v>
      </c>
      <c r="N521" s="10">
        <v>100</v>
      </c>
    </row>
    <row r="522" spans="1:14" x14ac:dyDescent="0.2">
      <c r="A522" s="8">
        <v>521</v>
      </c>
      <c r="B522" s="5">
        <v>45116</v>
      </c>
      <c r="C522" s="7" t="s">
        <v>1045</v>
      </c>
      <c r="D522" s="8">
        <v>7</v>
      </c>
      <c r="E522" s="8">
        <v>2023</v>
      </c>
      <c r="F522" s="7" t="s">
        <v>394</v>
      </c>
      <c r="G522" s="7" t="s">
        <v>13</v>
      </c>
      <c r="H522" s="8">
        <v>44</v>
      </c>
      <c r="I522" s="7" t="s">
        <v>1017</v>
      </c>
      <c r="J522" s="7" t="s">
        <v>14</v>
      </c>
      <c r="K522" s="8">
        <v>4</v>
      </c>
      <c r="L522" s="7" t="s">
        <v>1025</v>
      </c>
      <c r="M522" s="10">
        <v>25</v>
      </c>
      <c r="N522" s="10">
        <v>100</v>
      </c>
    </row>
    <row r="523" spans="1:14" x14ac:dyDescent="0.2">
      <c r="A523" s="8">
        <v>522</v>
      </c>
      <c r="B523" s="5">
        <v>45116</v>
      </c>
      <c r="C523" s="7" t="s">
        <v>1045</v>
      </c>
      <c r="D523" s="8">
        <v>7</v>
      </c>
      <c r="E523" s="8">
        <v>2023</v>
      </c>
      <c r="F523" s="7" t="s">
        <v>452</v>
      </c>
      <c r="G523" s="7" t="s">
        <v>10</v>
      </c>
      <c r="H523" s="8">
        <v>50</v>
      </c>
      <c r="I523" s="7" t="s">
        <v>1019</v>
      </c>
      <c r="J523" s="7" t="s">
        <v>14</v>
      </c>
      <c r="K523" s="8">
        <v>3</v>
      </c>
      <c r="L523" s="7" t="s">
        <v>1022</v>
      </c>
      <c r="M523" s="10">
        <v>25</v>
      </c>
      <c r="N523" s="10">
        <v>75</v>
      </c>
    </row>
    <row r="524" spans="1:14" x14ac:dyDescent="0.2">
      <c r="A524" s="8">
        <v>523</v>
      </c>
      <c r="B524" s="5">
        <v>45116</v>
      </c>
      <c r="C524" s="7" t="s">
        <v>1045</v>
      </c>
      <c r="D524" s="8">
        <v>7</v>
      </c>
      <c r="E524" s="8">
        <v>2023</v>
      </c>
      <c r="F524" s="7" t="s">
        <v>805</v>
      </c>
      <c r="G524" s="7" t="s">
        <v>13</v>
      </c>
      <c r="H524" s="8">
        <v>20</v>
      </c>
      <c r="I524" s="7" t="s">
        <v>1021</v>
      </c>
      <c r="J524" s="7" t="s">
        <v>11</v>
      </c>
      <c r="K524" s="8">
        <v>1</v>
      </c>
      <c r="L524" s="7" t="s">
        <v>1023</v>
      </c>
      <c r="M524" s="10">
        <v>50</v>
      </c>
      <c r="N524" s="10">
        <v>50</v>
      </c>
    </row>
    <row r="525" spans="1:14" x14ac:dyDescent="0.2">
      <c r="A525" s="8">
        <v>524</v>
      </c>
      <c r="B525" s="5">
        <v>45118</v>
      </c>
      <c r="C525" s="7" t="s">
        <v>1045</v>
      </c>
      <c r="D525" s="8">
        <v>7</v>
      </c>
      <c r="E525" s="8">
        <v>2023</v>
      </c>
      <c r="F525" s="7" t="s">
        <v>189</v>
      </c>
      <c r="G525" s="7" t="s">
        <v>13</v>
      </c>
      <c r="H525" s="8">
        <v>43</v>
      </c>
      <c r="I525" s="7" t="s">
        <v>1017</v>
      </c>
      <c r="J525" s="7" t="s">
        <v>11</v>
      </c>
      <c r="K525" s="8">
        <v>2</v>
      </c>
      <c r="L525" s="7" t="s">
        <v>1024</v>
      </c>
      <c r="M525" s="10">
        <v>50</v>
      </c>
      <c r="N525" s="10">
        <v>100</v>
      </c>
    </row>
    <row r="526" spans="1:14" x14ac:dyDescent="0.2">
      <c r="A526" s="8">
        <v>525</v>
      </c>
      <c r="B526" s="5">
        <v>45118</v>
      </c>
      <c r="C526" s="7" t="s">
        <v>1045</v>
      </c>
      <c r="D526" s="8">
        <v>7</v>
      </c>
      <c r="E526" s="8">
        <v>2023</v>
      </c>
      <c r="F526" s="7" t="s">
        <v>229</v>
      </c>
      <c r="G526" s="7" t="s">
        <v>10</v>
      </c>
      <c r="H526" s="8">
        <v>62</v>
      </c>
      <c r="I526" s="7" t="s">
        <v>1018</v>
      </c>
      <c r="J526" s="7" t="s">
        <v>16</v>
      </c>
      <c r="K526" s="8">
        <v>2</v>
      </c>
      <c r="L526" s="7" t="s">
        <v>1024</v>
      </c>
      <c r="M526" s="10">
        <v>50</v>
      </c>
      <c r="N526" s="10">
        <v>100</v>
      </c>
    </row>
    <row r="527" spans="1:14" x14ac:dyDescent="0.2">
      <c r="A527" s="8">
        <v>526</v>
      </c>
      <c r="B527" s="5">
        <v>45119</v>
      </c>
      <c r="C527" s="7" t="s">
        <v>1045</v>
      </c>
      <c r="D527" s="8">
        <v>7</v>
      </c>
      <c r="E527" s="8">
        <v>2023</v>
      </c>
      <c r="F527" s="7" t="s">
        <v>785</v>
      </c>
      <c r="G527" s="7" t="s">
        <v>10</v>
      </c>
      <c r="H527" s="8">
        <v>26</v>
      </c>
      <c r="I527" s="7" t="s">
        <v>1021</v>
      </c>
      <c r="J527" s="7" t="s">
        <v>16</v>
      </c>
      <c r="K527" s="8">
        <v>1</v>
      </c>
      <c r="L527" s="7" t="s">
        <v>1023</v>
      </c>
      <c r="M527" s="10">
        <v>30</v>
      </c>
      <c r="N527" s="10">
        <v>30</v>
      </c>
    </row>
    <row r="528" spans="1:14" x14ac:dyDescent="0.2">
      <c r="A528" s="8">
        <v>527</v>
      </c>
      <c r="B528" s="5">
        <v>45120</v>
      </c>
      <c r="C528" s="7" t="s">
        <v>1045</v>
      </c>
      <c r="D528" s="8">
        <v>7</v>
      </c>
      <c r="E528" s="8">
        <v>2023</v>
      </c>
      <c r="F528" s="7" t="s">
        <v>66</v>
      </c>
      <c r="G528" s="7" t="s">
        <v>10</v>
      </c>
      <c r="H528" s="8">
        <v>34</v>
      </c>
      <c r="I528" s="7" t="s">
        <v>1021</v>
      </c>
      <c r="J528" s="7" t="s">
        <v>16</v>
      </c>
      <c r="K528" s="8">
        <v>2</v>
      </c>
      <c r="L528" s="7" t="s">
        <v>1024</v>
      </c>
      <c r="M528" s="10">
        <v>50</v>
      </c>
      <c r="N528" s="10">
        <v>100</v>
      </c>
    </row>
    <row r="529" spans="1:14" x14ac:dyDescent="0.2">
      <c r="A529" s="8">
        <v>528</v>
      </c>
      <c r="B529" s="5">
        <v>45121</v>
      </c>
      <c r="C529" s="7" t="s">
        <v>1045</v>
      </c>
      <c r="D529" s="8">
        <v>7</v>
      </c>
      <c r="E529" s="8">
        <v>2023</v>
      </c>
      <c r="F529" s="7" t="s">
        <v>56</v>
      </c>
      <c r="G529" s="7" t="s">
        <v>13</v>
      </c>
      <c r="H529" s="8">
        <v>48</v>
      </c>
      <c r="I529" s="7" t="s">
        <v>1019</v>
      </c>
      <c r="J529" s="7" t="s">
        <v>14</v>
      </c>
      <c r="K529" s="8">
        <v>1</v>
      </c>
      <c r="L529" s="7" t="s">
        <v>1023</v>
      </c>
      <c r="M529" s="10">
        <v>300</v>
      </c>
      <c r="N529" s="10">
        <v>300</v>
      </c>
    </row>
    <row r="530" spans="1:14" x14ac:dyDescent="0.2">
      <c r="A530" s="8">
        <v>529</v>
      </c>
      <c r="B530" s="5">
        <v>45121</v>
      </c>
      <c r="C530" s="7" t="s">
        <v>1045</v>
      </c>
      <c r="D530" s="8">
        <v>7</v>
      </c>
      <c r="E530" s="8">
        <v>2023</v>
      </c>
      <c r="F530" s="7" t="s">
        <v>84</v>
      </c>
      <c r="G530" s="7" t="s">
        <v>13</v>
      </c>
      <c r="H530" s="8">
        <v>51</v>
      </c>
      <c r="I530" s="7" t="s">
        <v>1019</v>
      </c>
      <c r="J530" s="7" t="s">
        <v>11</v>
      </c>
      <c r="K530" s="8">
        <v>4</v>
      </c>
      <c r="L530" s="7" t="s">
        <v>1025</v>
      </c>
      <c r="M530" s="10">
        <v>25</v>
      </c>
      <c r="N530" s="10">
        <v>100</v>
      </c>
    </row>
    <row r="531" spans="1:14" x14ac:dyDescent="0.2">
      <c r="A531" s="8">
        <v>530</v>
      </c>
      <c r="B531" s="5">
        <v>45121</v>
      </c>
      <c r="C531" s="7" t="s">
        <v>1045</v>
      </c>
      <c r="D531" s="8">
        <v>7</v>
      </c>
      <c r="E531" s="8">
        <v>2023</v>
      </c>
      <c r="F531" s="7" t="s">
        <v>106</v>
      </c>
      <c r="G531" s="7" t="s">
        <v>13</v>
      </c>
      <c r="H531" s="8">
        <v>35</v>
      </c>
      <c r="I531" s="7" t="s">
        <v>1017</v>
      </c>
      <c r="J531" s="7" t="s">
        <v>11</v>
      </c>
      <c r="K531" s="8">
        <v>4</v>
      </c>
      <c r="L531" s="7" t="s">
        <v>1025</v>
      </c>
      <c r="M531" s="10">
        <v>500</v>
      </c>
      <c r="N531" s="10">
        <v>2000</v>
      </c>
    </row>
    <row r="532" spans="1:14" x14ac:dyDescent="0.2">
      <c r="A532" s="8">
        <v>531</v>
      </c>
      <c r="B532" s="5">
        <v>45121</v>
      </c>
      <c r="C532" s="7" t="s">
        <v>1045</v>
      </c>
      <c r="D532" s="8">
        <v>7</v>
      </c>
      <c r="E532" s="8">
        <v>2023</v>
      </c>
      <c r="F532" s="7" t="s">
        <v>315</v>
      </c>
      <c r="G532" s="7" t="s">
        <v>10</v>
      </c>
      <c r="H532" s="8">
        <v>57</v>
      </c>
      <c r="I532" s="7" t="s">
        <v>1018</v>
      </c>
      <c r="J532" s="7" t="s">
        <v>11</v>
      </c>
      <c r="K532" s="8">
        <v>2</v>
      </c>
      <c r="L532" s="7" t="s">
        <v>1024</v>
      </c>
      <c r="M532" s="10">
        <v>300</v>
      </c>
      <c r="N532" s="10">
        <v>600</v>
      </c>
    </row>
    <row r="533" spans="1:14" x14ac:dyDescent="0.2">
      <c r="A533" s="8">
        <v>532</v>
      </c>
      <c r="B533" s="5">
        <v>45121</v>
      </c>
      <c r="C533" s="7" t="s">
        <v>1045</v>
      </c>
      <c r="D533" s="8">
        <v>7</v>
      </c>
      <c r="E533" s="8">
        <v>2023</v>
      </c>
      <c r="F533" s="7" t="s">
        <v>564</v>
      </c>
      <c r="G533" s="7" t="s">
        <v>10</v>
      </c>
      <c r="H533" s="8">
        <v>45</v>
      </c>
      <c r="I533" s="7" t="s">
        <v>1017</v>
      </c>
      <c r="J533" s="7" t="s">
        <v>16</v>
      </c>
      <c r="K533" s="8">
        <v>3</v>
      </c>
      <c r="L533" s="7" t="s">
        <v>1022</v>
      </c>
      <c r="M533" s="10">
        <v>300</v>
      </c>
      <c r="N533" s="10">
        <v>900</v>
      </c>
    </row>
    <row r="534" spans="1:14" x14ac:dyDescent="0.2">
      <c r="A534" s="8">
        <v>533</v>
      </c>
      <c r="B534" s="5">
        <v>45121</v>
      </c>
      <c r="C534" s="7" t="s">
        <v>1045</v>
      </c>
      <c r="D534" s="8">
        <v>7</v>
      </c>
      <c r="E534" s="8">
        <v>2023</v>
      </c>
      <c r="F534" s="7" t="s">
        <v>694</v>
      </c>
      <c r="G534" s="7" t="s">
        <v>13</v>
      </c>
      <c r="H534" s="8">
        <v>43</v>
      </c>
      <c r="I534" s="7" t="s">
        <v>1017</v>
      </c>
      <c r="J534" s="7" t="s">
        <v>16</v>
      </c>
      <c r="K534" s="8">
        <v>2</v>
      </c>
      <c r="L534" s="7" t="s">
        <v>1024</v>
      </c>
      <c r="M534" s="10">
        <v>30</v>
      </c>
      <c r="N534" s="10">
        <v>60</v>
      </c>
    </row>
    <row r="535" spans="1:14" x14ac:dyDescent="0.2">
      <c r="A535" s="8">
        <v>534</v>
      </c>
      <c r="B535" s="5">
        <v>45121</v>
      </c>
      <c r="C535" s="7" t="s">
        <v>1045</v>
      </c>
      <c r="D535" s="8">
        <v>7</v>
      </c>
      <c r="E535" s="8">
        <v>2023</v>
      </c>
      <c r="F535" s="7" t="s">
        <v>735</v>
      </c>
      <c r="G535" s="7" t="s">
        <v>10</v>
      </c>
      <c r="H535" s="8">
        <v>20</v>
      </c>
      <c r="I535" s="7" t="s">
        <v>1021</v>
      </c>
      <c r="J535" s="7" t="s">
        <v>11</v>
      </c>
      <c r="K535" s="8">
        <v>3</v>
      </c>
      <c r="L535" s="7" t="s">
        <v>1022</v>
      </c>
      <c r="M535" s="10">
        <v>300</v>
      </c>
      <c r="N535" s="10">
        <v>900</v>
      </c>
    </row>
    <row r="536" spans="1:14" x14ac:dyDescent="0.2">
      <c r="A536" s="8">
        <v>535</v>
      </c>
      <c r="B536" s="5">
        <v>45121</v>
      </c>
      <c r="C536" s="7" t="s">
        <v>1045</v>
      </c>
      <c r="D536" s="8">
        <v>7</v>
      </c>
      <c r="E536" s="8">
        <v>2023</v>
      </c>
      <c r="F536" s="7" t="s">
        <v>741</v>
      </c>
      <c r="G536" s="7" t="s">
        <v>10</v>
      </c>
      <c r="H536" s="8">
        <v>51</v>
      </c>
      <c r="I536" s="7" t="s">
        <v>1019</v>
      </c>
      <c r="J536" s="7" t="s">
        <v>16</v>
      </c>
      <c r="K536" s="8">
        <v>3</v>
      </c>
      <c r="L536" s="7" t="s">
        <v>1022</v>
      </c>
      <c r="M536" s="10">
        <v>50</v>
      </c>
      <c r="N536" s="10">
        <v>150</v>
      </c>
    </row>
    <row r="537" spans="1:14" x14ac:dyDescent="0.2">
      <c r="A537" s="8">
        <v>536</v>
      </c>
      <c r="B537" s="5">
        <v>45121</v>
      </c>
      <c r="C537" s="7" t="s">
        <v>1045</v>
      </c>
      <c r="D537" s="8">
        <v>7</v>
      </c>
      <c r="E537" s="8">
        <v>2023</v>
      </c>
      <c r="F537" s="7" t="s">
        <v>842</v>
      </c>
      <c r="G537" s="7" t="s">
        <v>10</v>
      </c>
      <c r="H537" s="8">
        <v>61</v>
      </c>
      <c r="I537" s="7" t="s">
        <v>1018</v>
      </c>
      <c r="J537" s="7" t="s">
        <v>11</v>
      </c>
      <c r="K537" s="8">
        <v>3</v>
      </c>
      <c r="L537" s="7" t="s">
        <v>1022</v>
      </c>
      <c r="M537" s="10">
        <v>30</v>
      </c>
      <c r="N537" s="10">
        <v>90</v>
      </c>
    </row>
    <row r="538" spans="1:14" x14ac:dyDescent="0.2">
      <c r="A538" s="8">
        <v>537</v>
      </c>
      <c r="B538" s="5">
        <v>45121</v>
      </c>
      <c r="C538" s="7" t="s">
        <v>1045</v>
      </c>
      <c r="D538" s="8">
        <v>7</v>
      </c>
      <c r="E538" s="8">
        <v>2023</v>
      </c>
      <c r="F538" s="7" t="s">
        <v>968</v>
      </c>
      <c r="G538" s="7" t="s">
        <v>10</v>
      </c>
      <c r="H538" s="8">
        <v>58</v>
      </c>
      <c r="I538" s="7" t="s">
        <v>1018</v>
      </c>
      <c r="J538" s="7" t="s">
        <v>14</v>
      </c>
      <c r="K538" s="8">
        <v>1</v>
      </c>
      <c r="L538" s="7" t="s">
        <v>1023</v>
      </c>
      <c r="M538" s="10">
        <v>25</v>
      </c>
      <c r="N538" s="10">
        <v>25</v>
      </c>
    </row>
    <row r="539" spans="1:14" x14ac:dyDescent="0.2">
      <c r="A539" s="8">
        <v>538</v>
      </c>
      <c r="B539" s="5">
        <v>45122</v>
      </c>
      <c r="C539" s="7" t="s">
        <v>1045</v>
      </c>
      <c r="D539" s="8">
        <v>7</v>
      </c>
      <c r="E539" s="8">
        <v>2023</v>
      </c>
      <c r="F539" s="7" t="s">
        <v>157</v>
      </c>
      <c r="G539" s="7" t="s">
        <v>13</v>
      </c>
      <c r="H539" s="8">
        <v>59</v>
      </c>
      <c r="I539" s="7" t="s">
        <v>1018</v>
      </c>
      <c r="J539" s="7" t="s">
        <v>11</v>
      </c>
      <c r="K539" s="8">
        <v>3</v>
      </c>
      <c r="L539" s="7" t="s">
        <v>1022</v>
      </c>
      <c r="M539" s="10">
        <v>500</v>
      </c>
      <c r="N539" s="10">
        <v>1500</v>
      </c>
    </row>
    <row r="540" spans="1:14" x14ac:dyDescent="0.2">
      <c r="A540" s="8">
        <v>539</v>
      </c>
      <c r="B540" s="5">
        <v>45122</v>
      </c>
      <c r="C540" s="7" t="s">
        <v>1045</v>
      </c>
      <c r="D540" s="8">
        <v>7</v>
      </c>
      <c r="E540" s="8">
        <v>2023</v>
      </c>
      <c r="F540" s="7" t="s">
        <v>487</v>
      </c>
      <c r="G540" s="7" t="s">
        <v>13</v>
      </c>
      <c r="H540" s="8">
        <v>26</v>
      </c>
      <c r="I540" s="7" t="s">
        <v>1021</v>
      </c>
      <c r="J540" s="7" t="s">
        <v>14</v>
      </c>
      <c r="K540" s="8">
        <v>3</v>
      </c>
      <c r="L540" s="7" t="s">
        <v>1022</v>
      </c>
      <c r="M540" s="10">
        <v>500</v>
      </c>
      <c r="N540" s="10">
        <v>1500</v>
      </c>
    </row>
    <row r="541" spans="1:14" x14ac:dyDescent="0.2">
      <c r="A541" s="8">
        <v>540</v>
      </c>
      <c r="B541" s="5">
        <v>45123</v>
      </c>
      <c r="C541" s="7" t="s">
        <v>1045</v>
      </c>
      <c r="D541" s="8">
        <v>7</v>
      </c>
      <c r="E541" s="8">
        <v>2023</v>
      </c>
      <c r="F541" s="7" t="s">
        <v>616</v>
      </c>
      <c r="G541" s="7" t="s">
        <v>13</v>
      </c>
      <c r="H541" s="8">
        <v>40</v>
      </c>
      <c r="I541" s="7" t="s">
        <v>1017</v>
      </c>
      <c r="J541" s="7" t="s">
        <v>14</v>
      </c>
      <c r="K541" s="8">
        <v>3</v>
      </c>
      <c r="L541" s="7" t="s">
        <v>1022</v>
      </c>
      <c r="M541" s="10">
        <v>30</v>
      </c>
      <c r="N541" s="10">
        <v>90</v>
      </c>
    </row>
    <row r="542" spans="1:14" x14ac:dyDescent="0.2">
      <c r="A542" s="8">
        <v>541</v>
      </c>
      <c r="B542" s="5">
        <v>45123</v>
      </c>
      <c r="C542" s="7" t="s">
        <v>1045</v>
      </c>
      <c r="D542" s="8">
        <v>7</v>
      </c>
      <c r="E542" s="8">
        <v>2023</v>
      </c>
      <c r="F542" s="7" t="s">
        <v>674</v>
      </c>
      <c r="G542" s="7" t="s">
        <v>13</v>
      </c>
      <c r="H542" s="8">
        <v>44</v>
      </c>
      <c r="I542" s="7" t="s">
        <v>1017</v>
      </c>
      <c r="J542" s="7" t="s">
        <v>14</v>
      </c>
      <c r="K542" s="8">
        <v>4</v>
      </c>
      <c r="L542" s="7" t="s">
        <v>1025</v>
      </c>
      <c r="M542" s="10">
        <v>25</v>
      </c>
      <c r="N542" s="10">
        <v>100</v>
      </c>
    </row>
    <row r="543" spans="1:14" x14ac:dyDescent="0.2">
      <c r="A543" s="8">
        <v>542</v>
      </c>
      <c r="B543" s="5">
        <v>45124</v>
      </c>
      <c r="C543" s="7" t="s">
        <v>1045</v>
      </c>
      <c r="D543" s="8">
        <v>7</v>
      </c>
      <c r="E543" s="8">
        <v>2023</v>
      </c>
      <c r="F543" s="7" t="s">
        <v>156</v>
      </c>
      <c r="G543" s="7" t="s">
        <v>13</v>
      </c>
      <c r="H543" s="8">
        <v>45</v>
      </c>
      <c r="I543" s="7" t="s">
        <v>1017</v>
      </c>
      <c r="J543" s="7" t="s">
        <v>14</v>
      </c>
      <c r="K543" s="8">
        <v>1</v>
      </c>
      <c r="L543" s="7" t="s">
        <v>1023</v>
      </c>
      <c r="M543" s="10">
        <v>50</v>
      </c>
      <c r="N543" s="10">
        <v>50</v>
      </c>
    </row>
    <row r="544" spans="1:14" x14ac:dyDescent="0.2">
      <c r="A544" s="8">
        <v>543</v>
      </c>
      <c r="B544" s="5">
        <v>45124</v>
      </c>
      <c r="C544" s="7" t="s">
        <v>1045</v>
      </c>
      <c r="D544" s="8">
        <v>7</v>
      </c>
      <c r="E544" s="8">
        <v>2023</v>
      </c>
      <c r="F544" s="7" t="s">
        <v>528</v>
      </c>
      <c r="G544" s="7" t="s">
        <v>13</v>
      </c>
      <c r="H544" s="8">
        <v>49</v>
      </c>
      <c r="I544" s="7" t="s">
        <v>1019</v>
      </c>
      <c r="J544" s="7" t="s">
        <v>14</v>
      </c>
      <c r="K544" s="8">
        <v>3</v>
      </c>
      <c r="L544" s="7" t="s">
        <v>1022</v>
      </c>
      <c r="M544" s="10">
        <v>300</v>
      </c>
      <c r="N544" s="10">
        <v>900</v>
      </c>
    </row>
    <row r="545" spans="1:14" x14ac:dyDescent="0.2">
      <c r="A545" s="8">
        <v>544</v>
      </c>
      <c r="B545" s="5">
        <v>45126</v>
      </c>
      <c r="C545" s="7" t="s">
        <v>1045</v>
      </c>
      <c r="D545" s="8">
        <v>7</v>
      </c>
      <c r="E545" s="8">
        <v>2023</v>
      </c>
      <c r="F545" s="7" t="s">
        <v>317</v>
      </c>
      <c r="G545" s="7" t="s">
        <v>13</v>
      </c>
      <c r="H545" s="8">
        <v>37</v>
      </c>
      <c r="I545" s="7" t="s">
        <v>1017</v>
      </c>
      <c r="J545" s="7" t="s">
        <v>16</v>
      </c>
      <c r="K545" s="8">
        <v>2</v>
      </c>
      <c r="L545" s="7" t="s">
        <v>1024</v>
      </c>
      <c r="M545" s="10">
        <v>30</v>
      </c>
      <c r="N545" s="10">
        <v>60</v>
      </c>
    </row>
    <row r="546" spans="1:14" x14ac:dyDescent="0.2">
      <c r="A546" s="8">
        <v>545</v>
      </c>
      <c r="B546" s="5">
        <v>45126</v>
      </c>
      <c r="C546" s="7" t="s">
        <v>1045</v>
      </c>
      <c r="D546" s="8">
        <v>7</v>
      </c>
      <c r="E546" s="8">
        <v>2023</v>
      </c>
      <c r="F546" s="7" t="s">
        <v>689</v>
      </c>
      <c r="G546" s="7" t="s">
        <v>10</v>
      </c>
      <c r="H546" s="8">
        <v>63</v>
      </c>
      <c r="I546" s="7" t="s">
        <v>1018</v>
      </c>
      <c r="J546" s="7" t="s">
        <v>16</v>
      </c>
      <c r="K546" s="8">
        <v>3</v>
      </c>
      <c r="L546" s="7" t="s">
        <v>1022</v>
      </c>
      <c r="M546" s="10">
        <v>500</v>
      </c>
      <c r="N546" s="10">
        <v>1500</v>
      </c>
    </row>
    <row r="547" spans="1:14" x14ac:dyDescent="0.2">
      <c r="A547" s="8">
        <v>546</v>
      </c>
      <c r="B547" s="5">
        <v>45126</v>
      </c>
      <c r="C547" s="7" t="s">
        <v>1045</v>
      </c>
      <c r="D547" s="8">
        <v>7</v>
      </c>
      <c r="E547" s="8">
        <v>2023</v>
      </c>
      <c r="F547" s="7" t="s">
        <v>699</v>
      </c>
      <c r="G547" s="7" t="s">
        <v>13</v>
      </c>
      <c r="H547" s="8">
        <v>28</v>
      </c>
      <c r="I547" s="7" t="s">
        <v>1021</v>
      </c>
      <c r="J547" s="7" t="s">
        <v>16</v>
      </c>
      <c r="K547" s="8">
        <v>4</v>
      </c>
      <c r="L547" s="7" t="s">
        <v>1025</v>
      </c>
      <c r="M547" s="10">
        <v>50</v>
      </c>
      <c r="N547" s="10">
        <v>200</v>
      </c>
    </row>
    <row r="548" spans="1:14" x14ac:dyDescent="0.2">
      <c r="A548" s="8">
        <v>547</v>
      </c>
      <c r="B548" s="5">
        <v>45126</v>
      </c>
      <c r="C548" s="7" t="s">
        <v>1045</v>
      </c>
      <c r="D548" s="8">
        <v>7</v>
      </c>
      <c r="E548" s="8">
        <v>2023</v>
      </c>
      <c r="F548" s="7" t="s">
        <v>711</v>
      </c>
      <c r="G548" s="7" t="s">
        <v>13</v>
      </c>
      <c r="H548" s="8">
        <v>64</v>
      </c>
      <c r="I548" s="7" t="s">
        <v>1018</v>
      </c>
      <c r="J548" s="7" t="s">
        <v>16</v>
      </c>
      <c r="K548" s="8">
        <v>1</v>
      </c>
      <c r="L548" s="7" t="s">
        <v>1023</v>
      </c>
      <c r="M548" s="10">
        <v>300</v>
      </c>
      <c r="N548" s="10">
        <v>300</v>
      </c>
    </row>
    <row r="549" spans="1:14" x14ac:dyDescent="0.2">
      <c r="A549" s="8">
        <v>548</v>
      </c>
      <c r="B549" s="5">
        <v>45128</v>
      </c>
      <c r="C549" s="7" t="s">
        <v>1045</v>
      </c>
      <c r="D549" s="8">
        <v>7</v>
      </c>
      <c r="E549" s="8">
        <v>2023</v>
      </c>
      <c r="F549" s="7" t="s">
        <v>722</v>
      </c>
      <c r="G549" s="7" t="s">
        <v>13</v>
      </c>
      <c r="H549" s="8">
        <v>19</v>
      </c>
      <c r="I549" s="7" t="s">
        <v>1021</v>
      </c>
      <c r="J549" s="7" t="s">
        <v>16</v>
      </c>
      <c r="K549" s="8">
        <v>2</v>
      </c>
      <c r="L549" s="7" t="s">
        <v>1024</v>
      </c>
      <c r="M549" s="10">
        <v>500</v>
      </c>
      <c r="N549" s="10">
        <v>1000</v>
      </c>
    </row>
    <row r="550" spans="1:14" x14ac:dyDescent="0.2">
      <c r="A550" s="8">
        <v>549</v>
      </c>
      <c r="B550" s="5">
        <v>45129</v>
      </c>
      <c r="C550" s="7" t="s">
        <v>1045</v>
      </c>
      <c r="D550" s="8">
        <v>7</v>
      </c>
      <c r="E550" s="8">
        <v>2023</v>
      </c>
      <c r="F550" s="7" t="s">
        <v>127</v>
      </c>
      <c r="G550" s="7" t="s">
        <v>13</v>
      </c>
      <c r="H550" s="8">
        <v>22</v>
      </c>
      <c r="I550" s="7" t="s">
        <v>1021</v>
      </c>
      <c r="J550" s="7" t="s">
        <v>11</v>
      </c>
      <c r="K550" s="8">
        <v>4</v>
      </c>
      <c r="L550" s="7" t="s">
        <v>1025</v>
      </c>
      <c r="M550" s="10">
        <v>25</v>
      </c>
      <c r="N550" s="10">
        <v>100</v>
      </c>
    </row>
    <row r="551" spans="1:14" x14ac:dyDescent="0.2">
      <c r="A551" s="8">
        <v>550</v>
      </c>
      <c r="B551" s="5">
        <v>45129</v>
      </c>
      <c r="C551" s="7" t="s">
        <v>1045</v>
      </c>
      <c r="D551" s="8">
        <v>7</v>
      </c>
      <c r="E551" s="8">
        <v>2023</v>
      </c>
      <c r="F551" s="7" t="s">
        <v>372</v>
      </c>
      <c r="G551" s="7" t="s">
        <v>10</v>
      </c>
      <c r="H551" s="8">
        <v>50</v>
      </c>
      <c r="I551" s="7" t="s">
        <v>1019</v>
      </c>
      <c r="J551" s="7" t="s">
        <v>14</v>
      </c>
      <c r="K551" s="8">
        <v>1</v>
      </c>
      <c r="L551" s="7" t="s">
        <v>1023</v>
      </c>
      <c r="M551" s="10">
        <v>50</v>
      </c>
      <c r="N551" s="10">
        <v>50</v>
      </c>
    </row>
    <row r="552" spans="1:14" x14ac:dyDescent="0.2">
      <c r="A552" s="8">
        <v>551</v>
      </c>
      <c r="B552" s="5">
        <v>45130</v>
      </c>
      <c r="C552" s="7" t="s">
        <v>1045</v>
      </c>
      <c r="D552" s="8">
        <v>7</v>
      </c>
      <c r="E552" s="8">
        <v>2023</v>
      </c>
      <c r="F552" s="7" t="s">
        <v>786</v>
      </c>
      <c r="G552" s="7" t="s">
        <v>10</v>
      </c>
      <c r="H552" s="8">
        <v>25</v>
      </c>
      <c r="I552" s="7" t="s">
        <v>1021</v>
      </c>
      <c r="J552" s="7" t="s">
        <v>16</v>
      </c>
      <c r="K552" s="8">
        <v>4</v>
      </c>
      <c r="L552" s="7" t="s">
        <v>1025</v>
      </c>
      <c r="M552" s="10">
        <v>500</v>
      </c>
      <c r="N552" s="10">
        <v>2000</v>
      </c>
    </row>
    <row r="553" spans="1:14" x14ac:dyDescent="0.2">
      <c r="A553" s="8">
        <v>552</v>
      </c>
      <c r="B553" s="5">
        <v>45131</v>
      </c>
      <c r="C553" s="7" t="s">
        <v>1045</v>
      </c>
      <c r="D553" s="8">
        <v>7</v>
      </c>
      <c r="E553" s="8">
        <v>2023</v>
      </c>
      <c r="F553" s="7" t="s">
        <v>140</v>
      </c>
      <c r="G553" s="7" t="s">
        <v>13</v>
      </c>
      <c r="H553" s="8">
        <v>33</v>
      </c>
      <c r="I553" s="7" t="s">
        <v>1021</v>
      </c>
      <c r="J553" s="7" t="s">
        <v>14</v>
      </c>
      <c r="K553" s="8">
        <v>2</v>
      </c>
      <c r="L553" s="7" t="s">
        <v>1024</v>
      </c>
      <c r="M553" s="10">
        <v>25</v>
      </c>
      <c r="N553" s="10">
        <v>50</v>
      </c>
    </row>
    <row r="554" spans="1:14" x14ac:dyDescent="0.2">
      <c r="A554" s="8">
        <v>553</v>
      </c>
      <c r="B554" s="5">
        <v>45131</v>
      </c>
      <c r="C554" s="7" t="s">
        <v>1045</v>
      </c>
      <c r="D554" s="8">
        <v>7</v>
      </c>
      <c r="E554" s="8">
        <v>2023</v>
      </c>
      <c r="F554" s="7" t="s">
        <v>226</v>
      </c>
      <c r="G554" s="7" t="s">
        <v>10</v>
      </c>
      <c r="H554" s="8">
        <v>27</v>
      </c>
      <c r="I554" s="7" t="s">
        <v>1021</v>
      </c>
      <c r="J554" s="7" t="s">
        <v>11</v>
      </c>
      <c r="K554" s="8">
        <v>3</v>
      </c>
      <c r="L554" s="7" t="s">
        <v>1022</v>
      </c>
      <c r="M554" s="10">
        <v>500</v>
      </c>
      <c r="N554" s="10">
        <v>1500</v>
      </c>
    </row>
    <row r="555" spans="1:14" x14ac:dyDescent="0.2">
      <c r="A555" s="8">
        <v>554</v>
      </c>
      <c r="B555" s="5">
        <v>45131</v>
      </c>
      <c r="C555" s="7" t="s">
        <v>1045</v>
      </c>
      <c r="D555" s="8">
        <v>7</v>
      </c>
      <c r="E555" s="8">
        <v>2023</v>
      </c>
      <c r="F555" s="7" t="s">
        <v>500</v>
      </c>
      <c r="G555" s="7" t="s">
        <v>10</v>
      </c>
      <c r="H555" s="8">
        <v>44</v>
      </c>
      <c r="I555" s="7" t="s">
        <v>1017</v>
      </c>
      <c r="J555" s="7" t="s">
        <v>14</v>
      </c>
      <c r="K555" s="8">
        <v>4</v>
      </c>
      <c r="L555" s="7" t="s">
        <v>1025</v>
      </c>
      <c r="M555" s="10">
        <v>500</v>
      </c>
      <c r="N555" s="10">
        <v>2000</v>
      </c>
    </row>
    <row r="556" spans="1:14" x14ac:dyDescent="0.2">
      <c r="A556" s="8">
        <v>555</v>
      </c>
      <c r="B556" s="5">
        <v>45131</v>
      </c>
      <c r="C556" s="7" t="s">
        <v>1045</v>
      </c>
      <c r="D556" s="8">
        <v>7</v>
      </c>
      <c r="E556" s="8">
        <v>2023</v>
      </c>
      <c r="F556" s="7" t="s">
        <v>508</v>
      </c>
      <c r="G556" s="7" t="s">
        <v>10</v>
      </c>
      <c r="H556" s="8">
        <v>24</v>
      </c>
      <c r="I556" s="7" t="s">
        <v>1021</v>
      </c>
      <c r="J556" s="7" t="s">
        <v>11</v>
      </c>
      <c r="K556" s="8">
        <v>2</v>
      </c>
      <c r="L556" s="7" t="s">
        <v>1024</v>
      </c>
      <c r="M556" s="10">
        <v>30</v>
      </c>
      <c r="N556" s="10">
        <v>60</v>
      </c>
    </row>
    <row r="557" spans="1:14" x14ac:dyDescent="0.2">
      <c r="A557" s="8">
        <v>556</v>
      </c>
      <c r="B557" s="5">
        <v>45131</v>
      </c>
      <c r="C557" s="7" t="s">
        <v>1045</v>
      </c>
      <c r="D557" s="8">
        <v>7</v>
      </c>
      <c r="E557" s="8">
        <v>2023</v>
      </c>
      <c r="F557" s="7" t="s">
        <v>618</v>
      </c>
      <c r="G557" s="7" t="s">
        <v>10</v>
      </c>
      <c r="H557" s="8">
        <v>37</v>
      </c>
      <c r="I557" s="7" t="s">
        <v>1017</v>
      </c>
      <c r="J557" s="7" t="s">
        <v>16</v>
      </c>
      <c r="K557" s="8">
        <v>2</v>
      </c>
      <c r="L557" s="7" t="s">
        <v>1024</v>
      </c>
      <c r="M557" s="10">
        <v>500</v>
      </c>
      <c r="N557" s="10">
        <v>1000</v>
      </c>
    </row>
    <row r="558" spans="1:14" x14ac:dyDescent="0.2">
      <c r="A558" s="8">
        <v>557</v>
      </c>
      <c r="B558" s="5">
        <v>45132</v>
      </c>
      <c r="C558" s="7" t="s">
        <v>1045</v>
      </c>
      <c r="D558" s="8">
        <v>7</v>
      </c>
      <c r="E558" s="8">
        <v>2023</v>
      </c>
      <c r="F558" s="7" t="s">
        <v>118</v>
      </c>
      <c r="G558" s="7" t="s">
        <v>13</v>
      </c>
      <c r="H558" s="8">
        <v>22</v>
      </c>
      <c r="I558" s="7" t="s">
        <v>1021</v>
      </c>
      <c r="J558" s="7" t="s">
        <v>16</v>
      </c>
      <c r="K558" s="8">
        <v>1</v>
      </c>
      <c r="L558" s="7" t="s">
        <v>1023</v>
      </c>
      <c r="M558" s="10">
        <v>500</v>
      </c>
      <c r="N558" s="10">
        <v>500</v>
      </c>
    </row>
    <row r="559" spans="1:14" x14ac:dyDescent="0.2">
      <c r="A559" s="8">
        <v>558</v>
      </c>
      <c r="B559" s="5">
        <v>45132</v>
      </c>
      <c r="C559" s="7" t="s">
        <v>1045</v>
      </c>
      <c r="D559" s="8">
        <v>7</v>
      </c>
      <c r="E559" s="8">
        <v>2023</v>
      </c>
      <c r="F559" s="7" t="s">
        <v>312</v>
      </c>
      <c r="G559" s="7" t="s">
        <v>10</v>
      </c>
      <c r="H559" s="8">
        <v>61</v>
      </c>
      <c r="I559" s="7" t="s">
        <v>1018</v>
      </c>
      <c r="J559" s="7" t="s">
        <v>16</v>
      </c>
      <c r="K559" s="8">
        <v>2</v>
      </c>
      <c r="L559" s="7" t="s">
        <v>1024</v>
      </c>
      <c r="M559" s="10">
        <v>500</v>
      </c>
      <c r="N559" s="10">
        <v>1000</v>
      </c>
    </row>
    <row r="560" spans="1:14" x14ac:dyDescent="0.2">
      <c r="A560" s="8">
        <v>559</v>
      </c>
      <c r="B560" s="5">
        <v>45132</v>
      </c>
      <c r="C560" s="7" t="s">
        <v>1045</v>
      </c>
      <c r="D560" s="8">
        <v>7</v>
      </c>
      <c r="E560" s="8">
        <v>2023</v>
      </c>
      <c r="F560" s="7" t="s">
        <v>947</v>
      </c>
      <c r="G560" s="7" t="s">
        <v>10</v>
      </c>
      <c r="H560" s="8">
        <v>30</v>
      </c>
      <c r="I560" s="7" t="s">
        <v>1021</v>
      </c>
      <c r="J560" s="7" t="s">
        <v>11</v>
      </c>
      <c r="K560" s="8">
        <v>1</v>
      </c>
      <c r="L560" s="7" t="s">
        <v>1023</v>
      </c>
      <c r="M560" s="10">
        <v>500</v>
      </c>
      <c r="N560" s="10">
        <v>500</v>
      </c>
    </row>
    <row r="561" spans="1:14" x14ac:dyDescent="0.2">
      <c r="A561" s="8">
        <v>560</v>
      </c>
      <c r="B561" s="5">
        <v>45133</v>
      </c>
      <c r="C561" s="7" t="s">
        <v>1045</v>
      </c>
      <c r="D561" s="8">
        <v>7</v>
      </c>
      <c r="E561" s="8">
        <v>2023</v>
      </c>
      <c r="F561" s="7" t="s">
        <v>283</v>
      </c>
      <c r="G561" s="7" t="s">
        <v>10</v>
      </c>
      <c r="H561" s="8">
        <v>43</v>
      </c>
      <c r="I561" s="7" t="s">
        <v>1017</v>
      </c>
      <c r="J561" s="7" t="s">
        <v>16</v>
      </c>
      <c r="K561" s="8">
        <v>1</v>
      </c>
      <c r="L561" s="7" t="s">
        <v>1023</v>
      </c>
      <c r="M561" s="10">
        <v>300</v>
      </c>
      <c r="N561" s="10">
        <v>300</v>
      </c>
    </row>
    <row r="562" spans="1:14" x14ac:dyDescent="0.2">
      <c r="A562" s="8">
        <v>561</v>
      </c>
      <c r="B562" s="5">
        <v>45133</v>
      </c>
      <c r="C562" s="7" t="s">
        <v>1045</v>
      </c>
      <c r="D562" s="8">
        <v>7</v>
      </c>
      <c r="E562" s="8">
        <v>2023</v>
      </c>
      <c r="F562" s="7" t="s">
        <v>351</v>
      </c>
      <c r="G562" s="7" t="s">
        <v>10</v>
      </c>
      <c r="H562" s="8">
        <v>54</v>
      </c>
      <c r="I562" s="7" t="s">
        <v>1019</v>
      </c>
      <c r="J562" s="7" t="s">
        <v>11</v>
      </c>
      <c r="K562" s="8">
        <v>2</v>
      </c>
      <c r="L562" s="7" t="s">
        <v>1024</v>
      </c>
      <c r="M562" s="10">
        <v>50</v>
      </c>
      <c r="N562" s="10">
        <v>100</v>
      </c>
    </row>
    <row r="563" spans="1:14" x14ac:dyDescent="0.2">
      <c r="A563" s="8">
        <v>562</v>
      </c>
      <c r="B563" s="5">
        <v>45133</v>
      </c>
      <c r="C563" s="7" t="s">
        <v>1045</v>
      </c>
      <c r="D563" s="8">
        <v>7</v>
      </c>
      <c r="E563" s="8">
        <v>2023</v>
      </c>
      <c r="F563" s="7" t="s">
        <v>556</v>
      </c>
      <c r="G563" s="7" t="s">
        <v>10</v>
      </c>
      <c r="H563" s="8">
        <v>49</v>
      </c>
      <c r="I563" s="7" t="s">
        <v>1019</v>
      </c>
      <c r="J563" s="7" t="s">
        <v>11</v>
      </c>
      <c r="K563" s="8">
        <v>2</v>
      </c>
      <c r="L563" s="7" t="s">
        <v>1024</v>
      </c>
      <c r="M563" s="10">
        <v>300</v>
      </c>
      <c r="N563" s="10">
        <v>600</v>
      </c>
    </row>
    <row r="564" spans="1:14" x14ac:dyDescent="0.2">
      <c r="A564" s="8">
        <v>563</v>
      </c>
      <c r="B564" s="5">
        <v>45134</v>
      </c>
      <c r="C564" s="7" t="s">
        <v>1045</v>
      </c>
      <c r="D564" s="8">
        <v>7</v>
      </c>
      <c r="E564" s="8">
        <v>2023</v>
      </c>
      <c r="F564" s="7" t="s">
        <v>570</v>
      </c>
      <c r="G564" s="7" t="s">
        <v>13</v>
      </c>
      <c r="H564" s="8">
        <v>20</v>
      </c>
      <c r="I564" s="7" t="s">
        <v>1021</v>
      </c>
      <c r="J564" s="7" t="s">
        <v>11</v>
      </c>
      <c r="K564" s="8">
        <v>3</v>
      </c>
      <c r="L564" s="7" t="s">
        <v>1022</v>
      </c>
      <c r="M564" s="10">
        <v>30</v>
      </c>
      <c r="N564" s="10">
        <v>90</v>
      </c>
    </row>
    <row r="565" spans="1:14" x14ac:dyDescent="0.2">
      <c r="A565" s="8">
        <v>564</v>
      </c>
      <c r="B565" s="5">
        <v>45134</v>
      </c>
      <c r="C565" s="7" t="s">
        <v>1045</v>
      </c>
      <c r="D565" s="8">
        <v>7</v>
      </c>
      <c r="E565" s="8">
        <v>2023</v>
      </c>
      <c r="F565" s="7" t="s">
        <v>715</v>
      </c>
      <c r="G565" s="7" t="s">
        <v>13</v>
      </c>
      <c r="H565" s="8">
        <v>60</v>
      </c>
      <c r="I565" s="7" t="s">
        <v>1018</v>
      </c>
      <c r="J565" s="7" t="s">
        <v>14</v>
      </c>
      <c r="K565" s="8">
        <v>2</v>
      </c>
      <c r="L565" s="7" t="s">
        <v>1024</v>
      </c>
      <c r="M565" s="10">
        <v>300</v>
      </c>
      <c r="N565" s="10">
        <v>600</v>
      </c>
    </row>
    <row r="566" spans="1:14" x14ac:dyDescent="0.2">
      <c r="A566" s="8">
        <v>565</v>
      </c>
      <c r="B566" s="5">
        <v>45134</v>
      </c>
      <c r="C566" s="7" t="s">
        <v>1045</v>
      </c>
      <c r="D566" s="8">
        <v>7</v>
      </c>
      <c r="E566" s="8">
        <v>2023</v>
      </c>
      <c r="F566" s="7" t="s">
        <v>877</v>
      </c>
      <c r="G566" s="7" t="s">
        <v>13</v>
      </c>
      <c r="H566" s="8">
        <v>51</v>
      </c>
      <c r="I566" s="7" t="s">
        <v>1019</v>
      </c>
      <c r="J566" s="7" t="s">
        <v>16</v>
      </c>
      <c r="K566" s="8">
        <v>1</v>
      </c>
      <c r="L566" s="7" t="s">
        <v>1023</v>
      </c>
      <c r="M566" s="10">
        <v>500</v>
      </c>
      <c r="N566" s="10">
        <v>500</v>
      </c>
    </row>
    <row r="567" spans="1:14" x14ac:dyDescent="0.2">
      <c r="A567" s="8">
        <v>566</v>
      </c>
      <c r="B567" s="5">
        <v>45135</v>
      </c>
      <c r="C567" s="7" t="s">
        <v>1045</v>
      </c>
      <c r="D567" s="8">
        <v>7</v>
      </c>
      <c r="E567" s="8">
        <v>2023</v>
      </c>
      <c r="F567" s="7" t="s">
        <v>267</v>
      </c>
      <c r="G567" s="7" t="s">
        <v>10</v>
      </c>
      <c r="H567" s="8">
        <v>41</v>
      </c>
      <c r="I567" s="7" t="s">
        <v>1017</v>
      </c>
      <c r="J567" s="7" t="s">
        <v>16</v>
      </c>
      <c r="K567" s="8">
        <v>1</v>
      </c>
      <c r="L567" s="7" t="s">
        <v>1023</v>
      </c>
      <c r="M567" s="10">
        <v>500</v>
      </c>
      <c r="N567" s="10">
        <v>500</v>
      </c>
    </row>
    <row r="568" spans="1:14" x14ac:dyDescent="0.2">
      <c r="A568" s="8">
        <v>567</v>
      </c>
      <c r="B568" s="5">
        <v>45135</v>
      </c>
      <c r="C568" s="7" t="s">
        <v>1045</v>
      </c>
      <c r="D568" s="8">
        <v>7</v>
      </c>
      <c r="E568" s="8">
        <v>2023</v>
      </c>
      <c r="F568" s="7" t="s">
        <v>308</v>
      </c>
      <c r="G568" s="7" t="s">
        <v>13</v>
      </c>
      <c r="H568" s="8">
        <v>27</v>
      </c>
      <c r="I568" s="7" t="s">
        <v>1021</v>
      </c>
      <c r="J568" s="7" t="s">
        <v>11</v>
      </c>
      <c r="K568" s="8">
        <v>3</v>
      </c>
      <c r="L568" s="7" t="s">
        <v>1022</v>
      </c>
      <c r="M568" s="10">
        <v>300</v>
      </c>
      <c r="N568" s="10">
        <v>900</v>
      </c>
    </row>
    <row r="569" spans="1:14" x14ac:dyDescent="0.2">
      <c r="A569" s="8">
        <v>568</v>
      </c>
      <c r="B569" s="5">
        <v>45135</v>
      </c>
      <c r="C569" s="7" t="s">
        <v>1045</v>
      </c>
      <c r="D569" s="8">
        <v>7</v>
      </c>
      <c r="E569" s="8">
        <v>2023</v>
      </c>
      <c r="F569" s="7" t="s">
        <v>470</v>
      </c>
      <c r="G569" s="7" t="s">
        <v>13</v>
      </c>
      <c r="H569" s="8">
        <v>58</v>
      </c>
      <c r="I569" s="7" t="s">
        <v>1018</v>
      </c>
      <c r="J569" s="7" t="s">
        <v>11</v>
      </c>
      <c r="K569" s="8">
        <v>3</v>
      </c>
      <c r="L569" s="7" t="s">
        <v>1022</v>
      </c>
      <c r="M569" s="10">
        <v>300</v>
      </c>
      <c r="N569" s="10">
        <v>900</v>
      </c>
    </row>
    <row r="570" spans="1:14" x14ac:dyDescent="0.2">
      <c r="A570" s="8">
        <v>569</v>
      </c>
      <c r="B570" s="5">
        <v>45135</v>
      </c>
      <c r="C570" s="7" t="s">
        <v>1045</v>
      </c>
      <c r="D570" s="8">
        <v>7</v>
      </c>
      <c r="E570" s="8">
        <v>2023</v>
      </c>
      <c r="F570" s="7" t="s">
        <v>681</v>
      </c>
      <c r="G570" s="7" t="s">
        <v>13</v>
      </c>
      <c r="H570" s="8">
        <v>62</v>
      </c>
      <c r="I570" s="7" t="s">
        <v>1018</v>
      </c>
      <c r="J570" s="7" t="s">
        <v>16</v>
      </c>
      <c r="K570" s="8">
        <v>3</v>
      </c>
      <c r="L570" s="7" t="s">
        <v>1022</v>
      </c>
      <c r="M570" s="10">
        <v>50</v>
      </c>
      <c r="N570" s="10">
        <v>150</v>
      </c>
    </row>
    <row r="571" spans="1:14" x14ac:dyDescent="0.2">
      <c r="A571" s="8">
        <v>570</v>
      </c>
      <c r="B571" s="5">
        <v>45135</v>
      </c>
      <c r="C571" s="7" t="s">
        <v>1045</v>
      </c>
      <c r="D571" s="8">
        <v>7</v>
      </c>
      <c r="E571" s="8">
        <v>2023</v>
      </c>
      <c r="F571" s="7" t="s">
        <v>863</v>
      </c>
      <c r="G571" s="7" t="s">
        <v>13</v>
      </c>
      <c r="H571" s="8">
        <v>26</v>
      </c>
      <c r="I571" s="7" t="s">
        <v>1021</v>
      </c>
      <c r="J571" s="7" t="s">
        <v>11</v>
      </c>
      <c r="K571" s="8">
        <v>2</v>
      </c>
      <c r="L571" s="7" t="s">
        <v>1024</v>
      </c>
      <c r="M571" s="10">
        <v>500</v>
      </c>
      <c r="N571" s="10">
        <v>1000</v>
      </c>
    </row>
    <row r="572" spans="1:14" x14ac:dyDescent="0.2">
      <c r="A572" s="8">
        <v>571</v>
      </c>
      <c r="B572" s="5">
        <v>45136</v>
      </c>
      <c r="C572" s="7" t="s">
        <v>1045</v>
      </c>
      <c r="D572" s="8">
        <v>7</v>
      </c>
      <c r="E572" s="8">
        <v>2023</v>
      </c>
      <c r="F572" s="7" t="s">
        <v>554</v>
      </c>
      <c r="G572" s="7" t="s">
        <v>10</v>
      </c>
      <c r="H572" s="8">
        <v>56</v>
      </c>
      <c r="I572" s="7" t="s">
        <v>1018</v>
      </c>
      <c r="J572" s="7" t="s">
        <v>11</v>
      </c>
      <c r="K572" s="8">
        <v>1</v>
      </c>
      <c r="L572" s="7" t="s">
        <v>1023</v>
      </c>
      <c r="M572" s="10">
        <v>500</v>
      </c>
      <c r="N572" s="10">
        <v>500</v>
      </c>
    </row>
    <row r="573" spans="1:14" x14ac:dyDescent="0.2">
      <c r="A573" s="8">
        <v>572</v>
      </c>
      <c r="B573" s="5">
        <v>45136</v>
      </c>
      <c r="C573" s="7" t="s">
        <v>1045</v>
      </c>
      <c r="D573" s="8">
        <v>7</v>
      </c>
      <c r="E573" s="8">
        <v>2023</v>
      </c>
      <c r="F573" s="7" t="s">
        <v>993</v>
      </c>
      <c r="G573" s="7" t="s">
        <v>13</v>
      </c>
      <c r="H573" s="8">
        <v>31</v>
      </c>
      <c r="I573" s="7" t="s">
        <v>1021</v>
      </c>
      <c r="J573" s="7" t="s">
        <v>16</v>
      </c>
      <c r="K573" s="8">
        <v>3</v>
      </c>
      <c r="L573" s="7" t="s">
        <v>1022</v>
      </c>
      <c r="M573" s="10">
        <v>25</v>
      </c>
      <c r="N573" s="10">
        <v>75</v>
      </c>
    </row>
    <row r="574" spans="1:14" x14ac:dyDescent="0.2">
      <c r="A574" s="8">
        <v>573</v>
      </c>
      <c r="B574" s="5">
        <v>45137</v>
      </c>
      <c r="C574" s="7" t="s">
        <v>1045</v>
      </c>
      <c r="D574" s="8">
        <v>7</v>
      </c>
      <c r="E574" s="8">
        <v>2023</v>
      </c>
      <c r="F574" s="7" t="s">
        <v>275</v>
      </c>
      <c r="G574" s="7" t="s">
        <v>13</v>
      </c>
      <c r="H574" s="8">
        <v>32</v>
      </c>
      <c r="I574" s="7" t="s">
        <v>1021</v>
      </c>
      <c r="J574" s="7" t="s">
        <v>11</v>
      </c>
      <c r="K574" s="8">
        <v>4</v>
      </c>
      <c r="L574" s="7" t="s">
        <v>1025</v>
      </c>
      <c r="M574" s="10">
        <v>30</v>
      </c>
      <c r="N574" s="10">
        <v>120</v>
      </c>
    </row>
    <row r="575" spans="1:14" x14ac:dyDescent="0.2">
      <c r="A575" s="8">
        <v>574</v>
      </c>
      <c r="B575" s="5">
        <v>45137</v>
      </c>
      <c r="C575" s="7" t="s">
        <v>1045</v>
      </c>
      <c r="D575" s="8">
        <v>7</v>
      </c>
      <c r="E575" s="8">
        <v>2023</v>
      </c>
      <c r="F575" s="7" t="s">
        <v>480</v>
      </c>
      <c r="G575" s="7" t="s">
        <v>13</v>
      </c>
      <c r="H575" s="8">
        <v>53</v>
      </c>
      <c r="I575" s="7" t="s">
        <v>1019</v>
      </c>
      <c r="J575" s="7" t="s">
        <v>16</v>
      </c>
      <c r="K575" s="8">
        <v>3</v>
      </c>
      <c r="L575" s="7" t="s">
        <v>1022</v>
      </c>
      <c r="M575" s="10">
        <v>50</v>
      </c>
      <c r="N575" s="10">
        <v>150</v>
      </c>
    </row>
    <row r="576" spans="1:14" x14ac:dyDescent="0.2">
      <c r="A576" s="8">
        <v>575</v>
      </c>
      <c r="B576" s="5">
        <v>45138</v>
      </c>
      <c r="C576" s="7" t="s">
        <v>1045</v>
      </c>
      <c r="D576" s="8">
        <v>7</v>
      </c>
      <c r="E576" s="8">
        <v>2023</v>
      </c>
      <c r="F576" s="7" t="s">
        <v>476</v>
      </c>
      <c r="G576" s="7" t="s">
        <v>13</v>
      </c>
      <c r="H576" s="8">
        <v>54</v>
      </c>
      <c r="I576" s="7" t="s">
        <v>1019</v>
      </c>
      <c r="J576" s="7" t="s">
        <v>11</v>
      </c>
      <c r="K576" s="8">
        <v>3</v>
      </c>
      <c r="L576" s="7" t="s">
        <v>1022</v>
      </c>
      <c r="M576" s="10">
        <v>500</v>
      </c>
      <c r="N576" s="10">
        <v>1500</v>
      </c>
    </row>
    <row r="577" spans="1:14" x14ac:dyDescent="0.2">
      <c r="A577" s="8">
        <v>576</v>
      </c>
      <c r="B577" s="5">
        <v>45139</v>
      </c>
      <c r="C577" s="7" t="s">
        <v>1045</v>
      </c>
      <c r="D577" s="8">
        <v>7</v>
      </c>
      <c r="E577" s="8">
        <v>2023</v>
      </c>
      <c r="F577" s="7" t="s">
        <v>611</v>
      </c>
      <c r="G577" s="7" t="s">
        <v>10</v>
      </c>
      <c r="H577" s="8">
        <v>37</v>
      </c>
      <c r="I577" s="7" t="s">
        <v>1017</v>
      </c>
      <c r="J577" s="7" t="s">
        <v>11</v>
      </c>
      <c r="K577" s="8">
        <v>4</v>
      </c>
      <c r="L577" s="7" t="s">
        <v>1025</v>
      </c>
      <c r="M577" s="10">
        <v>30</v>
      </c>
      <c r="N577" s="10">
        <v>120</v>
      </c>
    </row>
    <row r="578" spans="1:14" x14ac:dyDescent="0.2">
      <c r="A578" s="8">
        <v>577</v>
      </c>
      <c r="B578" s="5">
        <v>45139</v>
      </c>
      <c r="C578" s="7" t="s">
        <v>1046</v>
      </c>
      <c r="D578" s="8">
        <v>8</v>
      </c>
      <c r="E578" s="8">
        <v>2023</v>
      </c>
      <c r="F578" s="7" t="s">
        <v>680</v>
      </c>
      <c r="G578" s="7" t="s">
        <v>13</v>
      </c>
      <c r="H578" s="8">
        <v>29</v>
      </c>
      <c r="I578" s="7" t="s">
        <v>1021</v>
      </c>
      <c r="J578" s="7" t="s">
        <v>16</v>
      </c>
      <c r="K578" s="8">
        <v>1</v>
      </c>
      <c r="L578" s="7" t="s">
        <v>1023</v>
      </c>
      <c r="M578" s="10">
        <v>500</v>
      </c>
      <c r="N578" s="10">
        <v>500</v>
      </c>
    </row>
    <row r="579" spans="1:14" x14ac:dyDescent="0.2">
      <c r="A579" s="8">
        <v>578</v>
      </c>
      <c r="B579" s="5">
        <v>45139</v>
      </c>
      <c r="C579" s="7" t="s">
        <v>1046</v>
      </c>
      <c r="D579" s="8">
        <v>8</v>
      </c>
      <c r="E579" s="8">
        <v>2023</v>
      </c>
      <c r="F579" s="7" t="s">
        <v>685</v>
      </c>
      <c r="G579" s="7" t="s">
        <v>13</v>
      </c>
      <c r="H579" s="8">
        <v>34</v>
      </c>
      <c r="I579" s="7" t="s">
        <v>1021</v>
      </c>
      <c r="J579" s="7" t="s">
        <v>11</v>
      </c>
      <c r="K579" s="8">
        <v>2</v>
      </c>
      <c r="L579" s="7" t="s">
        <v>1024</v>
      </c>
      <c r="M579" s="10">
        <v>50</v>
      </c>
      <c r="N579" s="10">
        <v>100</v>
      </c>
    </row>
    <row r="580" spans="1:14" x14ac:dyDescent="0.2">
      <c r="A580" s="8">
        <v>579</v>
      </c>
      <c r="B580" s="5">
        <v>45140</v>
      </c>
      <c r="C580" s="7" t="s">
        <v>1046</v>
      </c>
      <c r="D580" s="8">
        <v>8</v>
      </c>
      <c r="E580" s="8">
        <v>2023</v>
      </c>
      <c r="F580" s="7" t="s">
        <v>962</v>
      </c>
      <c r="G580" s="7" t="s">
        <v>13</v>
      </c>
      <c r="H580" s="8">
        <v>41</v>
      </c>
      <c r="I580" s="7" t="s">
        <v>1017</v>
      </c>
      <c r="J580" s="7" t="s">
        <v>16</v>
      </c>
      <c r="K580" s="8">
        <v>2</v>
      </c>
      <c r="L580" s="7" t="s">
        <v>1024</v>
      </c>
      <c r="M580" s="10">
        <v>25</v>
      </c>
      <c r="N580" s="10">
        <v>50</v>
      </c>
    </row>
    <row r="581" spans="1:14" x14ac:dyDescent="0.2">
      <c r="A581" s="8">
        <v>580</v>
      </c>
      <c r="B581" s="5">
        <v>45141</v>
      </c>
      <c r="C581" s="7" t="s">
        <v>1046</v>
      </c>
      <c r="D581" s="8">
        <v>8</v>
      </c>
      <c r="E581" s="8">
        <v>2023</v>
      </c>
      <c r="F581" s="7" t="s">
        <v>40</v>
      </c>
      <c r="G581" s="7" t="s">
        <v>13</v>
      </c>
      <c r="H581" s="8">
        <v>38</v>
      </c>
      <c r="I581" s="7" t="s">
        <v>1017</v>
      </c>
      <c r="J581" s="7" t="s">
        <v>11</v>
      </c>
      <c r="K581" s="8">
        <v>2</v>
      </c>
      <c r="L581" s="7" t="s">
        <v>1024</v>
      </c>
      <c r="M581" s="10">
        <v>25</v>
      </c>
      <c r="N581" s="10">
        <v>50</v>
      </c>
    </row>
    <row r="582" spans="1:14" x14ac:dyDescent="0.2">
      <c r="A582" s="8">
        <v>581</v>
      </c>
      <c r="B582" s="5">
        <v>45141</v>
      </c>
      <c r="C582" s="7" t="s">
        <v>1046</v>
      </c>
      <c r="D582" s="8">
        <v>8</v>
      </c>
      <c r="E582" s="8">
        <v>2023</v>
      </c>
      <c r="F582" s="7" t="s">
        <v>360</v>
      </c>
      <c r="G582" s="7" t="s">
        <v>10</v>
      </c>
      <c r="H582" s="8">
        <v>42</v>
      </c>
      <c r="I582" s="7" t="s">
        <v>1017</v>
      </c>
      <c r="J582" s="7" t="s">
        <v>16</v>
      </c>
      <c r="K582" s="8">
        <v>1</v>
      </c>
      <c r="L582" s="7" t="s">
        <v>1023</v>
      </c>
      <c r="M582" s="10">
        <v>25</v>
      </c>
      <c r="N582" s="10">
        <v>25</v>
      </c>
    </row>
    <row r="583" spans="1:14" x14ac:dyDescent="0.2">
      <c r="A583" s="8">
        <v>582</v>
      </c>
      <c r="B583" s="5">
        <v>45141</v>
      </c>
      <c r="C583" s="7" t="s">
        <v>1046</v>
      </c>
      <c r="D583" s="8">
        <v>8</v>
      </c>
      <c r="E583" s="8">
        <v>2023</v>
      </c>
      <c r="F583" s="7" t="s">
        <v>700</v>
      </c>
      <c r="G583" s="7" t="s">
        <v>13</v>
      </c>
      <c r="H583" s="8">
        <v>53</v>
      </c>
      <c r="I583" s="7" t="s">
        <v>1019</v>
      </c>
      <c r="J583" s="7" t="s">
        <v>16</v>
      </c>
      <c r="K583" s="8">
        <v>1</v>
      </c>
      <c r="L583" s="7" t="s">
        <v>1023</v>
      </c>
      <c r="M583" s="10">
        <v>300</v>
      </c>
      <c r="N583" s="10">
        <v>300</v>
      </c>
    </row>
    <row r="584" spans="1:14" x14ac:dyDescent="0.2">
      <c r="A584" s="8">
        <v>583</v>
      </c>
      <c r="B584" s="5">
        <v>45142</v>
      </c>
      <c r="C584" s="7" t="s">
        <v>1046</v>
      </c>
      <c r="D584" s="8">
        <v>8</v>
      </c>
      <c r="E584" s="8">
        <v>2023</v>
      </c>
      <c r="F584" s="7" t="s">
        <v>562</v>
      </c>
      <c r="G584" s="7" t="s">
        <v>13</v>
      </c>
      <c r="H584" s="8">
        <v>50</v>
      </c>
      <c r="I584" s="7" t="s">
        <v>1019</v>
      </c>
      <c r="J584" s="7" t="s">
        <v>11</v>
      </c>
      <c r="K584" s="8">
        <v>2</v>
      </c>
      <c r="L584" s="7" t="s">
        <v>1024</v>
      </c>
      <c r="M584" s="10">
        <v>50</v>
      </c>
      <c r="N584" s="10">
        <v>100</v>
      </c>
    </row>
    <row r="585" spans="1:14" x14ac:dyDescent="0.2">
      <c r="A585" s="8">
        <v>584</v>
      </c>
      <c r="B585" s="5">
        <v>45142</v>
      </c>
      <c r="C585" s="7" t="s">
        <v>1046</v>
      </c>
      <c r="D585" s="8">
        <v>8</v>
      </c>
      <c r="E585" s="8">
        <v>2023</v>
      </c>
      <c r="F585" s="7" t="s">
        <v>688</v>
      </c>
      <c r="G585" s="7" t="s">
        <v>13</v>
      </c>
      <c r="H585" s="8">
        <v>45</v>
      </c>
      <c r="I585" s="7" t="s">
        <v>1017</v>
      </c>
      <c r="J585" s="7" t="s">
        <v>14</v>
      </c>
      <c r="K585" s="8">
        <v>2</v>
      </c>
      <c r="L585" s="7" t="s">
        <v>1024</v>
      </c>
      <c r="M585" s="10">
        <v>30</v>
      </c>
      <c r="N585" s="10">
        <v>60</v>
      </c>
    </row>
    <row r="586" spans="1:14" x14ac:dyDescent="0.2">
      <c r="A586" s="8">
        <v>585</v>
      </c>
      <c r="B586" s="5">
        <v>45142</v>
      </c>
      <c r="C586" s="7" t="s">
        <v>1046</v>
      </c>
      <c r="D586" s="8">
        <v>8</v>
      </c>
      <c r="E586" s="8">
        <v>2023</v>
      </c>
      <c r="F586" s="7" t="s">
        <v>743</v>
      </c>
      <c r="G586" s="7" t="s">
        <v>13</v>
      </c>
      <c r="H586" s="8">
        <v>36</v>
      </c>
      <c r="I586" s="7" t="s">
        <v>1017</v>
      </c>
      <c r="J586" s="7" t="s">
        <v>14</v>
      </c>
      <c r="K586" s="8">
        <v>2</v>
      </c>
      <c r="L586" s="7" t="s">
        <v>1024</v>
      </c>
      <c r="M586" s="10">
        <v>25</v>
      </c>
      <c r="N586" s="10">
        <v>50</v>
      </c>
    </row>
    <row r="587" spans="1:14" x14ac:dyDescent="0.2">
      <c r="A587" s="8">
        <v>586</v>
      </c>
      <c r="B587" s="5">
        <v>45142</v>
      </c>
      <c r="C587" s="7" t="s">
        <v>1046</v>
      </c>
      <c r="D587" s="8">
        <v>8</v>
      </c>
      <c r="E587" s="8">
        <v>2023</v>
      </c>
      <c r="F587" s="7" t="s">
        <v>811</v>
      </c>
      <c r="G587" s="7" t="s">
        <v>10</v>
      </c>
      <c r="H587" s="8">
        <v>61</v>
      </c>
      <c r="I587" s="7" t="s">
        <v>1018</v>
      </c>
      <c r="J587" s="7" t="s">
        <v>14</v>
      </c>
      <c r="K587" s="8">
        <v>1</v>
      </c>
      <c r="L587" s="7" t="s">
        <v>1023</v>
      </c>
      <c r="M587" s="10">
        <v>50</v>
      </c>
      <c r="N587" s="10">
        <v>50</v>
      </c>
    </row>
    <row r="588" spans="1:14" x14ac:dyDescent="0.2">
      <c r="A588" s="8">
        <v>587</v>
      </c>
      <c r="B588" s="5">
        <v>45143</v>
      </c>
      <c r="C588" s="7" t="s">
        <v>1046</v>
      </c>
      <c r="D588" s="8">
        <v>8</v>
      </c>
      <c r="E588" s="8">
        <v>2023</v>
      </c>
      <c r="F588" s="7" t="s">
        <v>26</v>
      </c>
      <c r="G588" s="7" t="s">
        <v>10</v>
      </c>
      <c r="H588" s="8">
        <v>22</v>
      </c>
      <c r="I588" s="7" t="s">
        <v>1021</v>
      </c>
      <c r="J588" s="7" t="s">
        <v>16</v>
      </c>
      <c r="K588" s="8">
        <v>3</v>
      </c>
      <c r="L588" s="7" t="s">
        <v>1022</v>
      </c>
      <c r="M588" s="10">
        <v>500</v>
      </c>
      <c r="N588" s="10">
        <v>1500</v>
      </c>
    </row>
    <row r="589" spans="1:14" x14ac:dyDescent="0.2">
      <c r="A589" s="8">
        <v>588</v>
      </c>
      <c r="B589" s="5">
        <v>45143</v>
      </c>
      <c r="C589" s="7" t="s">
        <v>1046</v>
      </c>
      <c r="D589" s="8">
        <v>8</v>
      </c>
      <c r="E589" s="8">
        <v>2023</v>
      </c>
      <c r="F589" s="7" t="s">
        <v>48</v>
      </c>
      <c r="G589" s="7" t="s">
        <v>13</v>
      </c>
      <c r="H589" s="8">
        <v>58</v>
      </c>
      <c r="I589" s="7" t="s">
        <v>1018</v>
      </c>
      <c r="J589" s="7" t="s">
        <v>11</v>
      </c>
      <c r="K589" s="8">
        <v>3</v>
      </c>
      <c r="L589" s="7" t="s">
        <v>1022</v>
      </c>
      <c r="M589" s="10">
        <v>300</v>
      </c>
      <c r="N589" s="10">
        <v>900</v>
      </c>
    </row>
    <row r="590" spans="1:14" x14ac:dyDescent="0.2">
      <c r="A590" s="8">
        <v>589</v>
      </c>
      <c r="B590" s="5">
        <v>45143</v>
      </c>
      <c r="C590" s="7" t="s">
        <v>1046</v>
      </c>
      <c r="D590" s="8">
        <v>8</v>
      </c>
      <c r="E590" s="8">
        <v>2023</v>
      </c>
      <c r="F590" s="7" t="s">
        <v>153</v>
      </c>
      <c r="G590" s="7" t="s">
        <v>10</v>
      </c>
      <c r="H590" s="8">
        <v>38</v>
      </c>
      <c r="I590" s="7" t="s">
        <v>1017</v>
      </c>
      <c r="J590" s="7" t="s">
        <v>16</v>
      </c>
      <c r="K590" s="8">
        <v>1</v>
      </c>
      <c r="L590" s="7" t="s">
        <v>1023</v>
      </c>
      <c r="M590" s="10">
        <v>30</v>
      </c>
      <c r="N590" s="10">
        <v>30</v>
      </c>
    </row>
    <row r="591" spans="1:14" x14ac:dyDescent="0.2">
      <c r="A591" s="8">
        <v>590</v>
      </c>
      <c r="B591" s="5">
        <v>45143</v>
      </c>
      <c r="C591" s="7" t="s">
        <v>1046</v>
      </c>
      <c r="D591" s="8">
        <v>8</v>
      </c>
      <c r="E591" s="8">
        <v>2023</v>
      </c>
      <c r="F591" s="7" t="s">
        <v>219</v>
      </c>
      <c r="G591" s="7" t="s">
        <v>10</v>
      </c>
      <c r="H591" s="8">
        <v>61</v>
      </c>
      <c r="I591" s="7" t="s">
        <v>1018</v>
      </c>
      <c r="J591" s="7" t="s">
        <v>14</v>
      </c>
      <c r="K591" s="8">
        <v>1</v>
      </c>
      <c r="L591" s="7" t="s">
        <v>1023</v>
      </c>
      <c r="M591" s="10">
        <v>25</v>
      </c>
      <c r="N591" s="10">
        <v>25</v>
      </c>
    </row>
    <row r="592" spans="1:14" x14ac:dyDescent="0.2">
      <c r="A592" s="8">
        <v>591</v>
      </c>
      <c r="B592" s="5">
        <v>45143</v>
      </c>
      <c r="C592" s="7" t="s">
        <v>1046</v>
      </c>
      <c r="D592" s="8">
        <v>8</v>
      </c>
      <c r="E592" s="8">
        <v>2023</v>
      </c>
      <c r="F592" s="7" t="s">
        <v>274</v>
      </c>
      <c r="G592" s="7" t="s">
        <v>10</v>
      </c>
      <c r="H592" s="8">
        <v>21</v>
      </c>
      <c r="I592" s="7" t="s">
        <v>1021</v>
      </c>
      <c r="J592" s="7" t="s">
        <v>14</v>
      </c>
      <c r="K592" s="8">
        <v>2</v>
      </c>
      <c r="L592" s="7" t="s">
        <v>1024</v>
      </c>
      <c r="M592" s="10">
        <v>25</v>
      </c>
      <c r="N592" s="10">
        <v>50</v>
      </c>
    </row>
    <row r="593" spans="1:14" x14ac:dyDescent="0.2">
      <c r="A593" s="8">
        <v>592</v>
      </c>
      <c r="B593" s="5">
        <v>45143</v>
      </c>
      <c r="C593" s="7" t="s">
        <v>1046</v>
      </c>
      <c r="D593" s="8">
        <v>8</v>
      </c>
      <c r="E593" s="8">
        <v>2023</v>
      </c>
      <c r="F593" s="7" t="s">
        <v>292</v>
      </c>
      <c r="G593" s="7" t="s">
        <v>10</v>
      </c>
      <c r="H593" s="8">
        <v>50</v>
      </c>
      <c r="I593" s="7" t="s">
        <v>1019</v>
      </c>
      <c r="J593" s="7" t="s">
        <v>14</v>
      </c>
      <c r="K593" s="8">
        <v>1</v>
      </c>
      <c r="L593" s="7" t="s">
        <v>1023</v>
      </c>
      <c r="M593" s="10">
        <v>500</v>
      </c>
      <c r="N593" s="10">
        <v>500</v>
      </c>
    </row>
    <row r="594" spans="1:14" x14ac:dyDescent="0.2">
      <c r="A594" s="8">
        <v>593</v>
      </c>
      <c r="B594" s="5">
        <v>45143</v>
      </c>
      <c r="C594" s="7" t="s">
        <v>1046</v>
      </c>
      <c r="D594" s="8">
        <v>8</v>
      </c>
      <c r="E594" s="8">
        <v>2023</v>
      </c>
      <c r="F594" s="7" t="s">
        <v>321</v>
      </c>
      <c r="G594" s="7" t="s">
        <v>13</v>
      </c>
      <c r="H594" s="8">
        <v>34</v>
      </c>
      <c r="I594" s="7" t="s">
        <v>1021</v>
      </c>
      <c r="J594" s="7" t="s">
        <v>11</v>
      </c>
      <c r="K594" s="8">
        <v>4</v>
      </c>
      <c r="L594" s="7" t="s">
        <v>1025</v>
      </c>
      <c r="M594" s="10">
        <v>300</v>
      </c>
      <c r="N594" s="10">
        <v>1200</v>
      </c>
    </row>
    <row r="595" spans="1:14" x14ac:dyDescent="0.2">
      <c r="A595" s="8">
        <v>594</v>
      </c>
      <c r="B595" s="5">
        <v>45143</v>
      </c>
      <c r="C595" s="7" t="s">
        <v>1046</v>
      </c>
      <c r="D595" s="8">
        <v>8</v>
      </c>
      <c r="E595" s="8">
        <v>2023</v>
      </c>
      <c r="F595" s="7" t="s">
        <v>431</v>
      </c>
      <c r="G595" s="7" t="s">
        <v>13</v>
      </c>
      <c r="H595" s="8">
        <v>60</v>
      </c>
      <c r="I595" s="7" t="s">
        <v>1018</v>
      </c>
      <c r="J595" s="7" t="s">
        <v>16</v>
      </c>
      <c r="K595" s="8">
        <v>2</v>
      </c>
      <c r="L595" s="7" t="s">
        <v>1024</v>
      </c>
      <c r="M595" s="10">
        <v>500</v>
      </c>
      <c r="N595" s="10">
        <v>1000</v>
      </c>
    </row>
    <row r="596" spans="1:14" x14ac:dyDescent="0.2">
      <c r="A596" s="8">
        <v>595</v>
      </c>
      <c r="B596" s="5">
        <v>45144</v>
      </c>
      <c r="C596" s="7" t="s">
        <v>1046</v>
      </c>
      <c r="D596" s="8">
        <v>8</v>
      </c>
      <c r="E596" s="8">
        <v>2023</v>
      </c>
      <c r="F596" s="7" t="s">
        <v>625</v>
      </c>
      <c r="G596" s="7" t="s">
        <v>13</v>
      </c>
      <c r="H596" s="8">
        <v>61</v>
      </c>
      <c r="I596" s="7" t="s">
        <v>1018</v>
      </c>
      <c r="J596" s="7" t="s">
        <v>16</v>
      </c>
      <c r="K596" s="8">
        <v>1</v>
      </c>
      <c r="L596" s="7" t="s">
        <v>1023</v>
      </c>
      <c r="M596" s="10">
        <v>500</v>
      </c>
      <c r="N596" s="10">
        <v>500</v>
      </c>
    </row>
    <row r="597" spans="1:14" x14ac:dyDescent="0.2">
      <c r="A597" s="8">
        <v>596</v>
      </c>
      <c r="B597" s="5">
        <v>45144</v>
      </c>
      <c r="C597" s="7" t="s">
        <v>1046</v>
      </c>
      <c r="D597" s="8">
        <v>8</v>
      </c>
      <c r="E597" s="8">
        <v>2023</v>
      </c>
      <c r="F597" s="7" t="s">
        <v>888</v>
      </c>
      <c r="G597" s="7" t="s">
        <v>13</v>
      </c>
      <c r="H597" s="8">
        <v>51</v>
      </c>
      <c r="I597" s="7" t="s">
        <v>1019</v>
      </c>
      <c r="J597" s="7" t="s">
        <v>16</v>
      </c>
      <c r="K597" s="8">
        <v>4</v>
      </c>
      <c r="L597" s="7" t="s">
        <v>1025</v>
      </c>
      <c r="M597" s="10">
        <v>500</v>
      </c>
      <c r="N597" s="10">
        <v>2000</v>
      </c>
    </row>
    <row r="598" spans="1:14" x14ac:dyDescent="0.2">
      <c r="A598" s="8">
        <v>597</v>
      </c>
      <c r="B598" s="5">
        <v>45145</v>
      </c>
      <c r="C598" s="7" t="s">
        <v>1046</v>
      </c>
      <c r="D598" s="8">
        <v>8</v>
      </c>
      <c r="E598" s="8">
        <v>2023</v>
      </c>
      <c r="F598" s="7" t="s">
        <v>443</v>
      </c>
      <c r="G598" s="7" t="s">
        <v>13</v>
      </c>
      <c r="H598" s="8">
        <v>43</v>
      </c>
      <c r="I598" s="7" t="s">
        <v>1017</v>
      </c>
      <c r="J598" s="7" t="s">
        <v>16</v>
      </c>
      <c r="K598" s="8">
        <v>3</v>
      </c>
      <c r="L598" s="7" t="s">
        <v>1022</v>
      </c>
      <c r="M598" s="10">
        <v>300</v>
      </c>
      <c r="N598" s="10">
        <v>900</v>
      </c>
    </row>
    <row r="599" spans="1:14" x14ac:dyDescent="0.2">
      <c r="A599" s="8">
        <v>598</v>
      </c>
      <c r="B599" s="5">
        <v>45145</v>
      </c>
      <c r="C599" s="7" t="s">
        <v>1046</v>
      </c>
      <c r="D599" s="8">
        <v>8</v>
      </c>
      <c r="E599" s="8">
        <v>2023</v>
      </c>
      <c r="F599" s="7" t="s">
        <v>646</v>
      </c>
      <c r="G599" s="7" t="s">
        <v>10</v>
      </c>
      <c r="H599" s="8">
        <v>39</v>
      </c>
      <c r="I599" s="7" t="s">
        <v>1017</v>
      </c>
      <c r="J599" s="7" t="s">
        <v>11</v>
      </c>
      <c r="K599" s="8">
        <v>4</v>
      </c>
      <c r="L599" s="7" t="s">
        <v>1025</v>
      </c>
      <c r="M599" s="10">
        <v>30</v>
      </c>
      <c r="N599" s="10">
        <v>120</v>
      </c>
    </row>
    <row r="600" spans="1:14" x14ac:dyDescent="0.2">
      <c r="A600" s="8">
        <v>599</v>
      </c>
      <c r="B600" s="5">
        <v>45146</v>
      </c>
      <c r="C600" s="7" t="s">
        <v>1046</v>
      </c>
      <c r="D600" s="8">
        <v>8</v>
      </c>
      <c r="E600" s="8">
        <v>2023</v>
      </c>
      <c r="F600" s="7" t="s">
        <v>138</v>
      </c>
      <c r="G600" s="7" t="s">
        <v>10</v>
      </c>
      <c r="H600" s="8">
        <v>48</v>
      </c>
      <c r="I600" s="7" t="s">
        <v>1019</v>
      </c>
      <c r="J600" s="7" t="s">
        <v>14</v>
      </c>
      <c r="K600" s="8">
        <v>2</v>
      </c>
      <c r="L600" s="7" t="s">
        <v>1024</v>
      </c>
      <c r="M600" s="10">
        <v>50</v>
      </c>
      <c r="N600" s="10">
        <v>100</v>
      </c>
    </row>
    <row r="601" spans="1:14" x14ac:dyDescent="0.2">
      <c r="A601" s="8">
        <v>600</v>
      </c>
      <c r="B601" s="5">
        <v>45146</v>
      </c>
      <c r="C601" s="7" t="s">
        <v>1046</v>
      </c>
      <c r="D601" s="8">
        <v>8</v>
      </c>
      <c r="E601" s="8">
        <v>2023</v>
      </c>
      <c r="F601" s="7" t="s">
        <v>729</v>
      </c>
      <c r="G601" s="7" t="s">
        <v>13</v>
      </c>
      <c r="H601" s="8">
        <v>60</v>
      </c>
      <c r="I601" s="7" t="s">
        <v>1018</v>
      </c>
      <c r="J601" s="7" t="s">
        <v>14</v>
      </c>
      <c r="K601" s="8">
        <v>4</v>
      </c>
      <c r="L601" s="7" t="s">
        <v>1025</v>
      </c>
      <c r="M601" s="10">
        <v>300</v>
      </c>
      <c r="N601" s="10">
        <v>1200</v>
      </c>
    </row>
    <row r="602" spans="1:14" x14ac:dyDescent="0.2">
      <c r="A602" s="8">
        <v>601</v>
      </c>
      <c r="B602" s="5">
        <v>45146</v>
      </c>
      <c r="C602" s="7" t="s">
        <v>1046</v>
      </c>
      <c r="D602" s="8">
        <v>8</v>
      </c>
      <c r="E602" s="8">
        <v>2023</v>
      </c>
      <c r="F602" s="7" t="s">
        <v>803</v>
      </c>
      <c r="G602" s="7" t="s">
        <v>10</v>
      </c>
      <c r="H602" s="8">
        <v>62</v>
      </c>
      <c r="I602" s="7" t="s">
        <v>1018</v>
      </c>
      <c r="J602" s="7" t="s">
        <v>14</v>
      </c>
      <c r="K602" s="8">
        <v>1</v>
      </c>
      <c r="L602" s="7" t="s">
        <v>1023</v>
      </c>
      <c r="M602" s="10">
        <v>25</v>
      </c>
      <c r="N602" s="10">
        <v>25</v>
      </c>
    </row>
    <row r="603" spans="1:14" x14ac:dyDescent="0.2">
      <c r="A603" s="8">
        <v>602</v>
      </c>
      <c r="B603" s="5">
        <v>45146</v>
      </c>
      <c r="C603" s="7" t="s">
        <v>1046</v>
      </c>
      <c r="D603" s="8">
        <v>8</v>
      </c>
      <c r="E603" s="8">
        <v>2023</v>
      </c>
      <c r="F603" s="7" t="s">
        <v>973</v>
      </c>
      <c r="G603" s="7" t="s">
        <v>10</v>
      </c>
      <c r="H603" s="8">
        <v>59</v>
      </c>
      <c r="I603" s="7" t="s">
        <v>1018</v>
      </c>
      <c r="J603" s="7" t="s">
        <v>14</v>
      </c>
      <c r="K603" s="8">
        <v>2</v>
      </c>
      <c r="L603" s="7" t="s">
        <v>1024</v>
      </c>
      <c r="M603" s="10">
        <v>30</v>
      </c>
      <c r="N603" s="10">
        <v>60</v>
      </c>
    </row>
    <row r="604" spans="1:14" x14ac:dyDescent="0.2">
      <c r="A604" s="8">
        <v>603</v>
      </c>
      <c r="B604" s="5">
        <v>45147</v>
      </c>
      <c r="C604" s="7" t="s">
        <v>1046</v>
      </c>
      <c r="D604" s="8">
        <v>8</v>
      </c>
      <c r="E604" s="8">
        <v>2023</v>
      </c>
      <c r="F604" s="7" t="s">
        <v>272</v>
      </c>
      <c r="G604" s="7" t="s">
        <v>13</v>
      </c>
      <c r="H604" s="8">
        <v>45</v>
      </c>
      <c r="I604" s="7" t="s">
        <v>1017</v>
      </c>
      <c r="J604" s="7" t="s">
        <v>14</v>
      </c>
      <c r="K604" s="8">
        <v>4</v>
      </c>
      <c r="L604" s="7" t="s">
        <v>1025</v>
      </c>
      <c r="M604" s="10">
        <v>50</v>
      </c>
      <c r="N604" s="10">
        <v>200</v>
      </c>
    </row>
    <row r="605" spans="1:14" x14ac:dyDescent="0.2">
      <c r="A605" s="8">
        <v>604</v>
      </c>
      <c r="B605" s="5">
        <v>45147</v>
      </c>
      <c r="C605" s="7" t="s">
        <v>1046</v>
      </c>
      <c r="D605" s="8">
        <v>8</v>
      </c>
      <c r="E605" s="8">
        <v>2023</v>
      </c>
      <c r="F605" s="7" t="s">
        <v>456</v>
      </c>
      <c r="G605" s="7" t="s">
        <v>10</v>
      </c>
      <c r="H605" s="8">
        <v>29</v>
      </c>
      <c r="I605" s="7" t="s">
        <v>1021</v>
      </c>
      <c r="J605" s="7" t="s">
        <v>14</v>
      </c>
      <c r="K605" s="8">
        <v>2</v>
      </c>
      <c r="L605" s="7" t="s">
        <v>1024</v>
      </c>
      <c r="M605" s="10">
        <v>300</v>
      </c>
      <c r="N605" s="10">
        <v>600</v>
      </c>
    </row>
    <row r="606" spans="1:14" x14ac:dyDescent="0.2">
      <c r="A606" s="8">
        <v>605</v>
      </c>
      <c r="B606" s="5">
        <v>45147</v>
      </c>
      <c r="C606" s="7" t="s">
        <v>1046</v>
      </c>
      <c r="D606" s="8">
        <v>8</v>
      </c>
      <c r="E606" s="8">
        <v>2023</v>
      </c>
      <c r="F606" s="7" t="s">
        <v>542</v>
      </c>
      <c r="G606" s="7" t="s">
        <v>13</v>
      </c>
      <c r="H606" s="8">
        <v>35</v>
      </c>
      <c r="I606" s="7" t="s">
        <v>1017</v>
      </c>
      <c r="J606" s="7" t="s">
        <v>14</v>
      </c>
      <c r="K606" s="8">
        <v>3</v>
      </c>
      <c r="L606" s="7" t="s">
        <v>1022</v>
      </c>
      <c r="M606" s="10">
        <v>50</v>
      </c>
      <c r="N606" s="10">
        <v>150</v>
      </c>
    </row>
    <row r="607" spans="1:14" x14ac:dyDescent="0.2">
      <c r="A607" s="8">
        <v>606</v>
      </c>
      <c r="B607" s="5">
        <v>45147</v>
      </c>
      <c r="C607" s="7" t="s">
        <v>1046</v>
      </c>
      <c r="D607" s="8">
        <v>8</v>
      </c>
      <c r="E607" s="8">
        <v>2023</v>
      </c>
      <c r="F607" s="7" t="s">
        <v>576</v>
      </c>
      <c r="G607" s="7" t="s">
        <v>10</v>
      </c>
      <c r="H607" s="8">
        <v>20</v>
      </c>
      <c r="I607" s="7" t="s">
        <v>1021</v>
      </c>
      <c r="J607" s="7" t="s">
        <v>14</v>
      </c>
      <c r="K607" s="8">
        <v>2</v>
      </c>
      <c r="L607" s="7" t="s">
        <v>1024</v>
      </c>
      <c r="M607" s="10">
        <v>30</v>
      </c>
      <c r="N607" s="10">
        <v>60</v>
      </c>
    </row>
    <row r="608" spans="1:14" x14ac:dyDescent="0.2">
      <c r="A608" s="8">
        <v>607</v>
      </c>
      <c r="B608" s="5">
        <v>45148</v>
      </c>
      <c r="C608" s="7" t="s">
        <v>1046</v>
      </c>
      <c r="D608" s="8">
        <v>8</v>
      </c>
      <c r="E608" s="8">
        <v>2023</v>
      </c>
      <c r="F608" s="7" t="s">
        <v>814</v>
      </c>
      <c r="G608" s="7" t="s">
        <v>10</v>
      </c>
      <c r="H608" s="8">
        <v>21</v>
      </c>
      <c r="I608" s="7" t="s">
        <v>1021</v>
      </c>
      <c r="J608" s="7" t="s">
        <v>14</v>
      </c>
      <c r="K608" s="8">
        <v>4</v>
      </c>
      <c r="L608" s="7" t="s">
        <v>1025</v>
      </c>
      <c r="M608" s="10">
        <v>50</v>
      </c>
      <c r="N608" s="10">
        <v>200</v>
      </c>
    </row>
    <row r="609" spans="1:14" x14ac:dyDescent="0.2">
      <c r="A609" s="8">
        <v>608</v>
      </c>
      <c r="B609" s="5">
        <v>45149</v>
      </c>
      <c r="C609" s="7" t="s">
        <v>1046</v>
      </c>
      <c r="D609" s="8">
        <v>8</v>
      </c>
      <c r="E609" s="8">
        <v>2023</v>
      </c>
      <c r="F609" s="7" t="s">
        <v>173</v>
      </c>
      <c r="G609" s="7" t="s">
        <v>13</v>
      </c>
      <c r="H609" s="8">
        <v>43</v>
      </c>
      <c r="I609" s="7" t="s">
        <v>1017</v>
      </c>
      <c r="J609" s="7" t="s">
        <v>14</v>
      </c>
      <c r="K609" s="8">
        <v>2</v>
      </c>
      <c r="L609" s="7" t="s">
        <v>1024</v>
      </c>
      <c r="M609" s="10">
        <v>50</v>
      </c>
      <c r="N609" s="10">
        <v>100</v>
      </c>
    </row>
    <row r="610" spans="1:14" x14ac:dyDescent="0.2">
      <c r="A610" s="8">
        <v>609</v>
      </c>
      <c r="B610" s="5">
        <v>45149</v>
      </c>
      <c r="C610" s="7" t="s">
        <v>1046</v>
      </c>
      <c r="D610" s="8">
        <v>8</v>
      </c>
      <c r="E610" s="8">
        <v>2023</v>
      </c>
      <c r="F610" s="7" t="s">
        <v>521</v>
      </c>
      <c r="G610" s="7" t="s">
        <v>10</v>
      </c>
      <c r="H610" s="8">
        <v>58</v>
      </c>
      <c r="I610" s="7" t="s">
        <v>1018</v>
      </c>
      <c r="J610" s="7" t="s">
        <v>11</v>
      </c>
      <c r="K610" s="8">
        <v>2</v>
      </c>
      <c r="L610" s="7" t="s">
        <v>1024</v>
      </c>
      <c r="M610" s="10">
        <v>300</v>
      </c>
      <c r="N610" s="10">
        <v>600</v>
      </c>
    </row>
    <row r="611" spans="1:14" x14ac:dyDescent="0.2">
      <c r="A611" s="8">
        <v>610</v>
      </c>
      <c r="B611" s="5">
        <v>45149</v>
      </c>
      <c r="C611" s="7" t="s">
        <v>1046</v>
      </c>
      <c r="D611" s="8">
        <v>8</v>
      </c>
      <c r="E611" s="8">
        <v>2023</v>
      </c>
      <c r="F611" s="7" t="s">
        <v>820</v>
      </c>
      <c r="G611" s="7" t="s">
        <v>13</v>
      </c>
      <c r="H611" s="8">
        <v>50</v>
      </c>
      <c r="I611" s="7" t="s">
        <v>1019</v>
      </c>
      <c r="J611" s="7" t="s">
        <v>16</v>
      </c>
      <c r="K611" s="8">
        <v>4</v>
      </c>
      <c r="L611" s="7" t="s">
        <v>1025</v>
      </c>
      <c r="M611" s="10">
        <v>50</v>
      </c>
      <c r="N611" s="10">
        <v>200</v>
      </c>
    </row>
    <row r="612" spans="1:14" x14ac:dyDescent="0.2">
      <c r="A612" s="8">
        <v>611</v>
      </c>
      <c r="B612" s="5">
        <v>45150</v>
      </c>
      <c r="C612" s="7" t="s">
        <v>1046</v>
      </c>
      <c r="D612" s="8">
        <v>8</v>
      </c>
      <c r="E612" s="8">
        <v>2023</v>
      </c>
      <c r="F612" s="7" t="s">
        <v>524</v>
      </c>
      <c r="G612" s="7" t="s">
        <v>10</v>
      </c>
      <c r="H612" s="8">
        <v>45</v>
      </c>
      <c r="I612" s="7" t="s">
        <v>1017</v>
      </c>
      <c r="J612" s="7" t="s">
        <v>11</v>
      </c>
      <c r="K612" s="8">
        <v>2</v>
      </c>
      <c r="L612" s="7" t="s">
        <v>1024</v>
      </c>
      <c r="M612" s="10">
        <v>50</v>
      </c>
      <c r="N612" s="10">
        <v>100</v>
      </c>
    </row>
    <row r="613" spans="1:14" x14ac:dyDescent="0.2">
      <c r="A613" s="8">
        <v>612</v>
      </c>
      <c r="B613" s="5">
        <v>45150</v>
      </c>
      <c r="C613" s="7" t="s">
        <v>1046</v>
      </c>
      <c r="D613" s="8">
        <v>8</v>
      </c>
      <c r="E613" s="8">
        <v>2023</v>
      </c>
      <c r="F613" s="7" t="s">
        <v>534</v>
      </c>
      <c r="G613" s="7" t="s">
        <v>13</v>
      </c>
      <c r="H613" s="8">
        <v>47</v>
      </c>
      <c r="I613" s="7" t="s">
        <v>1019</v>
      </c>
      <c r="J613" s="7" t="s">
        <v>14</v>
      </c>
      <c r="K613" s="8">
        <v>4</v>
      </c>
      <c r="L613" s="7" t="s">
        <v>1025</v>
      </c>
      <c r="M613" s="10">
        <v>30</v>
      </c>
      <c r="N613" s="10">
        <v>120</v>
      </c>
    </row>
    <row r="614" spans="1:14" x14ac:dyDescent="0.2">
      <c r="A614" s="8">
        <v>613</v>
      </c>
      <c r="B614" s="5">
        <v>45150</v>
      </c>
      <c r="C614" s="7" t="s">
        <v>1046</v>
      </c>
      <c r="D614" s="8">
        <v>8</v>
      </c>
      <c r="E614" s="8">
        <v>2023</v>
      </c>
      <c r="F614" s="7" t="s">
        <v>708</v>
      </c>
      <c r="G614" s="7" t="s">
        <v>13</v>
      </c>
      <c r="H614" s="8">
        <v>22</v>
      </c>
      <c r="I614" s="7" t="s">
        <v>1021</v>
      </c>
      <c r="J614" s="7" t="s">
        <v>16</v>
      </c>
      <c r="K614" s="8">
        <v>3</v>
      </c>
      <c r="L614" s="7" t="s">
        <v>1022</v>
      </c>
      <c r="M614" s="10">
        <v>50</v>
      </c>
      <c r="N614" s="10">
        <v>150</v>
      </c>
    </row>
    <row r="615" spans="1:14" x14ac:dyDescent="0.2">
      <c r="A615" s="8">
        <v>614</v>
      </c>
      <c r="B615" s="5">
        <v>45150</v>
      </c>
      <c r="C615" s="7" t="s">
        <v>1046</v>
      </c>
      <c r="D615" s="8">
        <v>8</v>
      </c>
      <c r="E615" s="8">
        <v>2023</v>
      </c>
      <c r="F615" s="7" t="s">
        <v>829</v>
      </c>
      <c r="G615" s="7" t="s">
        <v>10</v>
      </c>
      <c r="H615" s="8">
        <v>47</v>
      </c>
      <c r="I615" s="7" t="s">
        <v>1019</v>
      </c>
      <c r="J615" s="7" t="s">
        <v>11</v>
      </c>
      <c r="K615" s="8">
        <v>2</v>
      </c>
      <c r="L615" s="7" t="s">
        <v>1024</v>
      </c>
      <c r="M615" s="10">
        <v>500</v>
      </c>
      <c r="N615" s="10">
        <v>1000</v>
      </c>
    </row>
    <row r="616" spans="1:14" x14ac:dyDescent="0.2">
      <c r="A616" s="8">
        <v>615</v>
      </c>
      <c r="B616" s="5">
        <v>45151</v>
      </c>
      <c r="C616" s="7" t="s">
        <v>1046</v>
      </c>
      <c r="D616" s="8">
        <v>8</v>
      </c>
      <c r="E616" s="8">
        <v>2023</v>
      </c>
      <c r="F616" s="7" t="s">
        <v>230</v>
      </c>
      <c r="G616" s="7" t="s">
        <v>13</v>
      </c>
      <c r="H616" s="8">
        <v>35</v>
      </c>
      <c r="I616" s="7" t="s">
        <v>1017</v>
      </c>
      <c r="J616" s="7" t="s">
        <v>16</v>
      </c>
      <c r="K616" s="8">
        <v>4</v>
      </c>
      <c r="L616" s="7" t="s">
        <v>1025</v>
      </c>
      <c r="M616" s="10">
        <v>50</v>
      </c>
      <c r="N616" s="10">
        <v>200</v>
      </c>
    </row>
    <row r="617" spans="1:14" x14ac:dyDescent="0.2">
      <c r="A617" s="8">
        <v>616</v>
      </c>
      <c r="B617" s="5">
        <v>45151</v>
      </c>
      <c r="C617" s="7" t="s">
        <v>1046</v>
      </c>
      <c r="D617" s="8">
        <v>8</v>
      </c>
      <c r="E617" s="8">
        <v>2023</v>
      </c>
      <c r="F617" s="7" t="s">
        <v>397</v>
      </c>
      <c r="G617" s="7" t="s">
        <v>10</v>
      </c>
      <c r="H617" s="8">
        <v>55</v>
      </c>
      <c r="I617" s="7" t="s">
        <v>1019</v>
      </c>
      <c r="J617" s="7" t="s">
        <v>14</v>
      </c>
      <c r="K617" s="8">
        <v>1</v>
      </c>
      <c r="L617" s="7" t="s">
        <v>1023</v>
      </c>
      <c r="M617" s="10">
        <v>500</v>
      </c>
      <c r="N617" s="10">
        <v>500</v>
      </c>
    </row>
    <row r="618" spans="1:14" x14ac:dyDescent="0.2">
      <c r="A618" s="8">
        <v>617</v>
      </c>
      <c r="B618" s="5">
        <v>45152</v>
      </c>
      <c r="C618" s="7" t="s">
        <v>1046</v>
      </c>
      <c r="D618" s="8">
        <v>8</v>
      </c>
      <c r="E618" s="8">
        <v>2023</v>
      </c>
      <c r="F618" s="7" t="s">
        <v>661</v>
      </c>
      <c r="G618" s="7" t="s">
        <v>10</v>
      </c>
      <c r="H618" s="8">
        <v>53</v>
      </c>
      <c r="I618" s="7" t="s">
        <v>1019</v>
      </c>
      <c r="J618" s="7" t="s">
        <v>11</v>
      </c>
      <c r="K618" s="8">
        <v>4</v>
      </c>
      <c r="L618" s="7" t="s">
        <v>1025</v>
      </c>
      <c r="M618" s="10">
        <v>300</v>
      </c>
      <c r="N618" s="10">
        <v>1200</v>
      </c>
    </row>
    <row r="619" spans="1:14" x14ac:dyDescent="0.2">
      <c r="A619" s="8">
        <v>618</v>
      </c>
      <c r="B619" s="5">
        <v>45152</v>
      </c>
      <c r="C619" s="7" t="s">
        <v>1046</v>
      </c>
      <c r="D619" s="8">
        <v>8</v>
      </c>
      <c r="E619" s="8">
        <v>2023</v>
      </c>
      <c r="F619" s="7" t="s">
        <v>939</v>
      </c>
      <c r="G619" s="7" t="s">
        <v>10</v>
      </c>
      <c r="H619" s="8">
        <v>22</v>
      </c>
      <c r="I619" s="7" t="s">
        <v>1021</v>
      </c>
      <c r="J619" s="7" t="s">
        <v>16</v>
      </c>
      <c r="K619" s="8">
        <v>1</v>
      </c>
      <c r="L619" s="7" t="s">
        <v>1023</v>
      </c>
      <c r="M619" s="10">
        <v>30</v>
      </c>
      <c r="N619" s="10">
        <v>30</v>
      </c>
    </row>
    <row r="620" spans="1:14" x14ac:dyDescent="0.2">
      <c r="A620" s="8">
        <v>619</v>
      </c>
      <c r="B620" s="5">
        <v>45153</v>
      </c>
      <c r="C620" s="7" t="s">
        <v>1046</v>
      </c>
      <c r="D620" s="8">
        <v>8</v>
      </c>
      <c r="E620" s="8">
        <v>2023</v>
      </c>
      <c r="F620" s="7" t="s">
        <v>298</v>
      </c>
      <c r="G620" s="7" t="s">
        <v>13</v>
      </c>
      <c r="H620" s="8">
        <v>31</v>
      </c>
      <c r="I620" s="7" t="s">
        <v>1021</v>
      </c>
      <c r="J620" s="7" t="s">
        <v>16</v>
      </c>
      <c r="K620" s="8">
        <v>1</v>
      </c>
      <c r="L620" s="7" t="s">
        <v>1023</v>
      </c>
      <c r="M620" s="10">
        <v>25</v>
      </c>
      <c r="N620" s="10">
        <v>25</v>
      </c>
    </row>
    <row r="621" spans="1:14" x14ac:dyDescent="0.2">
      <c r="A621" s="8">
        <v>620</v>
      </c>
      <c r="B621" s="5">
        <v>45153</v>
      </c>
      <c r="C621" s="7" t="s">
        <v>1046</v>
      </c>
      <c r="D621" s="8">
        <v>8</v>
      </c>
      <c r="E621" s="8">
        <v>2023</v>
      </c>
      <c r="F621" s="7" t="s">
        <v>440</v>
      </c>
      <c r="G621" s="7" t="s">
        <v>10</v>
      </c>
      <c r="H621" s="8">
        <v>25</v>
      </c>
      <c r="I621" s="7" t="s">
        <v>1021</v>
      </c>
      <c r="J621" s="7" t="s">
        <v>16</v>
      </c>
      <c r="K621" s="8">
        <v>1</v>
      </c>
      <c r="L621" s="7" t="s">
        <v>1023</v>
      </c>
      <c r="M621" s="10">
        <v>25</v>
      </c>
      <c r="N621" s="10">
        <v>25</v>
      </c>
    </row>
    <row r="622" spans="1:14" x14ac:dyDescent="0.2">
      <c r="A622" s="8">
        <v>621</v>
      </c>
      <c r="B622" s="5">
        <v>45153</v>
      </c>
      <c r="C622" s="7" t="s">
        <v>1046</v>
      </c>
      <c r="D622" s="8">
        <v>8</v>
      </c>
      <c r="E622" s="8">
        <v>2023</v>
      </c>
      <c r="F622" s="7" t="s">
        <v>582</v>
      </c>
      <c r="G622" s="7" t="s">
        <v>10</v>
      </c>
      <c r="H622" s="8">
        <v>52</v>
      </c>
      <c r="I622" s="7" t="s">
        <v>1019</v>
      </c>
      <c r="J622" s="7" t="s">
        <v>16</v>
      </c>
      <c r="K622" s="8">
        <v>4</v>
      </c>
      <c r="L622" s="7" t="s">
        <v>1025</v>
      </c>
      <c r="M622" s="10">
        <v>50</v>
      </c>
      <c r="N622" s="10">
        <v>200</v>
      </c>
    </row>
    <row r="623" spans="1:14" x14ac:dyDescent="0.2">
      <c r="A623" s="8">
        <v>622</v>
      </c>
      <c r="B623" s="5">
        <v>45153</v>
      </c>
      <c r="C623" s="7" t="s">
        <v>1046</v>
      </c>
      <c r="D623" s="8">
        <v>8</v>
      </c>
      <c r="E623" s="8">
        <v>2023</v>
      </c>
      <c r="F623" s="7" t="s">
        <v>583</v>
      </c>
      <c r="G623" s="7" t="s">
        <v>10</v>
      </c>
      <c r="H623" s="8">
        <v>49</v>
      </c>
      <c r="I623" s="7" t="s">
        <v>1019</v>
      </c>
      <c r="J623" s="7" t="s">
        <v>14</v>
      </c>
      <c r="K623" s="8">
        <v>1</v>
      </c>
      <c r="L623" s="7" t="s">
        <v>1023</v>
      </c>
      <c r="M623" s="10">
        <v>500</v>
      </c>
      <c r="N623" s="10">
        <v>500</v>
      </c>
    </row>
    <row r="624" spans="1:14" x14ac:dyDescent="0.2">
      <c r="A624" s="8">
        <v>623</v>
      </c>
      <c r="B624" s="5">
        <v>45153</v>
      </c>
      <c r="C624" s="7" t="s">
        <v>1046</v>
      </c>
      <c r="D624" s="8">
        <v>8</v>
      </c>
      <c r="E624" s="8">
        <v>2023</v>
      </c>
      <c r="F624" s="7" t="s">
        <v>643</v>
      </c>
      <c r="G624" s="7" t="s">
        <v>10</v>
      </c>
      <c r="H624" s="8">
        <v>42</v>
      </c>
      <c r="I624" s="7" t="s">
        <v>1017</v>
      </c>
      <c r="J624" s="7" t="s">
        <v>14</v>
      </c>
      <c r="K624" s="8">
        <v>2</v>
      </c>
      <c r="L624" s="7" t="s">
        <v>1024</v>
      </c>
      <c r="M624" s="10">
        <v>50</v>
      </c>
      <c r="N624" s="10">
        <v>100</v>
      </c>
    </row>
    <row r="625" spans="1:14" x14ac:dyDescent="0.2">
      <c r="A625" s="8">
        <v>624</v>
      </c>
      <c r="B625" s="5">
        <v>45153</v>
      </c>
      <c r="C625" s="7" t="s">
        <v>1046</v>
      </c>
      <c r="D625" s="8">
        <v>8</v>
      </c>
      <c r="E625" s="8">
        <v>2023</v>
      </c>
      <c r="F625" s="7" t="s">
        <v>970</v>
      </c>
      <c r="G625" s="7" t="s">
        <v>13</v>
      </c>
      <c r="H625" s="8">
        <v>60</v>
      </c>
      <c r="I625" s="7" t="s">
        <v>1018</v>
      </c>
      <c r="J625" s="7" t="s">
        <v>16</v>
      </c>
      <c r="K625" s="8">
        <v>4</v>
      </c>
      <c r="L625" s="7" t="s">
        <v>1025</v>
      </c>
      <c r="M625" s="10">
        <v>30</v>
      </c>
      <c r="N625" s="10">
        <v>120</v>
      </c>
    </row>
    <row r="626" spans="1:14" x14ac:dyDescent="0.2">
      <c r="A626" s="8">
        <v>625</v>
      </c>
      <c r="B626" s="5">
        <v>45155</v>
      </c>
      <c r="C626" s="7" t="s">
        <v>1046</v>
      </c>
      <c r="D626" s="8">
        <v>8</v>
      </c>
      <c r="E626" s="8">
        <v>2023</v>
      </c>
      <c r="F626" s="7" t="s">
        <v>648</v>
      </c>
      <c r="G626" s="7" t="s">
        <v>13</v>
      </c>
      <c r="H626" s="8">
        <v>63</v>
      </c>
      <c r="I626" s="7" t="s">
        <v>1018</v>
      </c>
      <c r="J626" s="7" t="s">
        <v>16</v>
      </c>
      <c r="K626" s="8">
        <v>3</v>
      </c>
      <c r="L626" s="7" t="s">
        <v>1022</v>
      </c>
      <c r="M626" s="10">
        <v>300</v>
      </c>
      <c r="N626" s="10">
        <v>900</v>
      </c>
    </row>
    <row r="627" spans="1:14" x14ac:dyDescent="0.2">
      <c r="A627" s="8">
        <v>626</v>
      </c>
      <c r="B627" s="5">
        <v>45156</v>
      </c>
      <c r="C627" s="7" t="s">
        <v>1046</v>
      </c>
      <c r="D627" s="8">
        <v>8</v>
      </c>
      <c r="E627" s="8">
        <v>2023</v>
      </c>
      <c r="F627" s="7" t="s">
        <v>42</v>
      </c>
      <c r="G627" s="7" t="s">
        <v>13</v>
      </c>
      <c r="H627" s="8">
        <v>42</v>
      </c>
      <c r="I627" s="7" t="s">
        <v>1017</v>
      </c>
      <c r="J627" s="7" t="s">
        <v>16</v>
      </c>
      <c r="K627" s="8">
        <v>1</v>
      </c>
      <c r="L627" s="7" t="s">
        <v>1023</v>
      </c>
      <c r="M627" s="10">
        <v>30</v>
      </c>
      <c r="N627" s="10">
        <v>30</v>
      </c>
    </row>
    <row r="628" spans="1:14" x14ac:dyDescent="0.2">
      <c r="A628" s="8">
        <v>627</v>
      </c>
      <c r="B628" s="5">
        <v>45156</v>
      </c>
      <c r="C628" s="7" t="s">
        <v>1046</v>
      </c>
      <c r="D628" s="8">
        <v>8</v>
      </c>
      <c r="E628" s="8">
        <v>2023</v>
      </c>
      <c r="F628" s="7" t="s">
        <v>290</v>
      </c>
      <c r="G628" s="7" t="s">
        <v>10</v>
      </c>
      <c r="H628" s="8">
        <v>36</v>
      </c>
      <c r="I628" s="7" t="s">
        <v>1017</v>
      </c>
      <c r="J628" s="7" t="s">
        <v>14</v>
      </c>
      <c r="K628" s="8">
        <v>4</v>
      </c>
      <c r="L628" s="7" t="s">
        <v>1025</v>
      </c>
      <c r="M628" s="10">
        <v>25</v>
      </c>
      <c r="N628" s="10">
        <v>100</v>
      </c>
    </row>
    <row r="629" spans="1:14" x14ac:dyDescent="0.2">
      <c r="A629" s="8">
        <v>628</v>
      </c>
      <c r="B629" s="5">
        <v>45156</v>
      </c>
      <c r="C629" s="7" t="s">
        <v>1046</v>
      </c>
      <c r="D629" s="8">
        <v>8</v>
      </c>
      <c r="E629" s="8">
        <v>2023</v>
      </c>
      <c r="F629" s="7" t="s">
        <v>872</v>
      </c>
      <c r="G629" s="7" t="s">
        <v>13</v>
      </c>
      <c r="H629" s="8">
        <v>56</v>
      </c>
      <c r="I629" s="7" t="s">
        <v>1018</v>
      </c>
      <c r="J629" s="7" t="s">
        <v>16</v>
      </c>
      <c r="K629" s="8">
        <v>3</v>
      </c>
      <c r="L629" s="7" t="s">
        <v>1022</v>
      </c>
      <c r="M629" s="10">
        <v>500</v>
      </c>
      <c r="N629" s="10">
        <v>1500</v>
      </c>
    </row>
    <row r="630" spans="1:14" x14ac:dyDescent="0.2">
      <c r="A630" s="8">
        <v>629</v>
      </c>
      <c r="B630" s="5">
        <v>45157</v>
      </c>
      <c r="C630" s="7" t="s">
        <v>1046</v>
      </c>
      <c r="D630" s="8">
        <v>8</v>
      </c>
      <c r="E630" s="8">
        <v>2023</v>
      </c>
      <c r="F630" s="7" t="s">
        <v>651</v>
      </c>
      <c r="G630" s="7" t="s">
        <v>10</v>
      </c>
      <c r="H630" s="8">
        <v>46</v>
      </c>
      <c r="I630" s="7" t="s">
        <v>1019</v>
      </c>
      <c r="J630" s="7" t="s">
        <v>16</v>
      </c>
      <c r="K630" s="8">
        <v>1</v>
      </c>
      <c r="L630" s="7" t="s">
        <v>1023</v>
      </c>
      <c r="M630" s="10">
        <v>500</v>
      </c>
      <c r="N630" s="10">
        <v>500</v>
      </c>
    </row>
    <row r="631" spans="1:14" x14ac:dyDescent="0.2">
      <c r="A631" s="8">
        <v>630</v>
      </c>
      <c r="B631" s="5">
        <v>45157</v>
      </c>
      <c r="C631" s="7" t="s">
        <v>1046</v>
      </c>
      <c r="D631" s="8">
        <v>8</v>
      </c>
      <c r="E631" s="8">
        <v>2023</v>
      </c>
      <c r="F631" s="7" t="s">
        <v>836</v>
      </c>
      <c r="G631" s="7" t="s">
        <v>13</v>
      </c>
      <c r="H631" s="8">
        <v>56</v>
      </c>
      <c r="I631" s="7" t="s">
        <v>1018</v>
      </c>
      <c r="J631" s="7" t="s">
        <v>16</v>
      </c>
      <c r="K631" s="8">
        <v>2</v>
      </c>
      <c r="L631" s="7" t="s">
        <v>1024</v>
      </c>
      <c r="M631" s="10">
        <v>50</v>
      </c>
      <c r="N631" s="10">
        <v>100</v>
      </c>
    </row>
    <row r="632" spans="1:14" x14ac:dyDescent="0.2">
      <c r="A632" s="8">
        <v>631</v>
      </c>
      <c r="B632" s="5">
        <v>45157</v>
      </c>
      <c r="C632" s="7" t="s">
        <v>1046</v>
      </c>
      <c r="D632" s="8">
        <v>8</v>
      </c>
      <c r="E632" s="8">
        <v>2023</v>
      </c>
      <c r="F632" s="7" t="s">
        <v>969</v>
      </c>
      <c r="G632" s="7" t="s">
        <v>10</v>
      </c>
      <c r="H632" s="8">
        <v>30</v>
      </c>
      <c r="I632" s="7" t="s">
        <v>1021</v>
      </c>
      <c r="J632" s="7" t="s">
        <v>14</v>
      </c>
      <c r="K632" s="8">
        <v>3</v>
      </c>
      <c r="L632" s="7" t="s">
        <v>1022</v>
      </c>
      <c r="M632" s="10">
        <v>500</v>
      </c>
      <c r="N632" s="10">
        <v>1500</v>
      </c>
    </row>
    <row r="633" spans="1:14" x14ac:dyDescent="0.2">
      <c r="A633" s="8">
        <v>632</v>
      </c>
      <c r="B633" s="5">
        <v>45157</v>
      </c>
      <c r="C633" s="7" t="s">
        <v>1046</v>
      </c>
      <c r="D633" s="8">
        <v>8</v>
      </c>
      <c r="E633" s="8">
        <v>2023</v>
      </c>
      <c r="F633" s="7" t="s">
        <v>994</v>
      </c>
      <c r="G633" s="7" t="s">
        <v>13</v>
      </c>
      <c r="H633" s="8">
        <v>30</v>
      </c>
      <c r="I633" s="7" t="s">
        <v>1021</v>
      </c>
      <c r="J633" s="7" t="s">
        <v>16</v>
      </c>
      <c r="K633" s="8">
        <v>2</v>
      </c>
      <c r="L633" s="7" t="s">
        <v>1024</v>
      </c>
      <c r="M633" s="10">
        <v>30</v>
      </c>
      <c r="N633" s="10">
        <v>60</v>
      </c>
    </row>
    <row r="634" spans="1:14" x14ac:dyDescent="0.2">
      <c r="A634" s="8">
        <v>633</v>
      </c>
      <c r="B634" s="5">
        <v>45158</v>
      </c>
      <c r="C634" s="7" t="s">
        <v>1046</v>
      </c>
      <c r="D634" s="8">
        <v>8</v>
      </c>
      <c r="E634" s="8">
        <v>2023</v>
      </c>
      <c r="F634" s="7" t="s">
        <v>232</v>
      </c>
      <c r="G634" s="7" t="s">
        <v>13</v>
      </c>
      <c r="H634" s="8">
        <v>53</v>
      </c>
      <c r="I634" s="7" t="s">
        <v>1019</v>
      </c>
      <c r="J634" s="7" t="s">
        <v>16</v>
      </c>
      <c r="K634" s="8">
        <v>3</v>
      </c>
      <c r="L634" s="7" t="s">
        <v>1022</v>
      </c>
      <c r="M634" s="10">
        <v>30</v>
      </c>
      <c r="N634" s="10">
        <v>90</v>
      </c>
    </row>
    <row r="635" spans="1:14" x14ac:dyDescent="0.2">
      <c r="A635" s="8">
        <v>634</v>
      </c>
      <c r="B635" s="5">
        <v>45159</v>
      </c>
      <c r="C635" s="7" t="s">
        <v>1046</v>
      </c>
      <c r="D635" s="8">
        <v>8</v>
      </c>
      <c r="E635" s="8">
        <v>2023</v>
      </c>
      <c r="F635" s="7" t="s">
        <v>86</v>
      </c>
      <c r="G635" s="7" t="s">
        <v>10</v>
      </c>
      <c r="H635" s="8">
        <v>29</v>
      </c>
      <c r="I635" s="7" t="s">
        <v>1021</v>
      </c>
      <c r="J635" s="7" t="s">
        <v>16</v>
      </c>
      <c r="K635" s="8">
        <v>3</v>
      </c>
      <c r="L635" s="7" t="s">
        <v>1022</v>
      </c>
      <c r="M635" s="10">
        <v>30</v>
      </c>
      <c r="N635" s="10">
        <v>90</v>
      </c>
    </row>
    <row r="636" spans="1:14" x14ac:dyDescent="0.2">
      <c r="A636" s="8">
        <v>635</v>
      </c>
      <c r="B636" s="5">
        <v>45159</v>
      </c>
      <c r="C636" s="7" t="s">
        <v>1046</v>
      </c>
      <c r="D636" s="8">
        <v>8</v>
      </c>
      <c r="E636" s="8">
        <v>2023</v>
      </c>
      <c r="F636" s="7" t="s">
        <v>175</v>
      </c>
      <c r="G636" s="7" t="s">
        <v>10</v>
      </c>
      <c r="H636" s="8">
        <v>39</v>
      </c>
      <c r="I636" s="7" t="s">
        <v>1017</v>
      </c>
      <c r="J636" s="7" t="s">
        <v>14</v>
      </c>
      <c r="K636" s="8">
        <v>2</v>
      </c>
      <c r="L636" s="7" t="s">
        <v>1024</v>
      </c>
      <c r="M636" s="10">
        <v>30</v>
      </c>
      <c r="N636" s="10">
        <v>60</v>
      </c>
    </row>
    <row r="637" spans="1:14" x14ac:dyDescent="0.2">
      <c r="A637" s="8">
        <v>636</v>
      </c>
      <c r="B637" s="5">
        <v>45159</v>
      </c>
      <c r="C637" s="7" t="s">
        <v>1046</v>
      </c>
      <c r="D637" s="8">
        <v>8</v>
      </c>
      <c r="E637" s="8">
        <v>2023</v>
      </c>
      <c r="F637" s="7" t="s">
        <v>319</v>
      </c>
      <c r="G637" s="7" t="s">
        <v>10</v>
      </c>
      <c r="H637" s="8">
        <v>54</v>
      </c>
      <c r="I637" s="7" t="s">
        <v>1019</v>
      </c>
      <c r="J637" s="7" t="s">
        <v>16</v>
      </c>
      <c r="K637" s="8">
        <v>1</v>
      </c>
      <c r="L637" s="7" t="s">
        <v>1023</v>
      </c>
      <c r="M637" s="10">
        <v>50</v>
      </c>
      <c r="N637" s="10">
        <v>50</v>
      </c>
    </row>
    <row r="638" spans="1:14" x14ac:dyDescent="0.2">
      <c r="A638" s="8">
        <v>637</v>
      </c>
      <c r="B638" s="5">
        <v>45159</v>
      </c>
      <c r="C638" s="7" t="s">
        <v>1046</v>
      </c>
      <c r="D638" s="8">
        <v>8</v>
      </c>
      <c r="E638" s="8">
        <v>2023</v>
      </c>
      <c r="F638" s="7" t="s">
        <v>738</v>
      </c>
      <c r="G638" s="7" t="s">
        <v>10</v>
      </c>
      <c r="H638" s="8">
        <v>61</v>
      </c>
      <c r="I638" s="7" t="s">
        <v>1018</v>
      </c>
      <c r="J638" s="7" t="s">
        <v>16</v>
      </c>
      <c r="K638" s="8">
        <v>1</v>
      </c>
      <c r="L638" s="7" t="s">
        <v>1023</v>
      </c>
      <c r="M638" s="10">
        <v>300</v>
      </c>
      <c r="N638" s="10">
        <v>300</v>
      </c>
    </row>
    <row r="639" spans="1:14" x14ac:dyDescent="0.2">
      <c r="A639" s="8">
        <v>638</v>
      </c>
      <c r="B639" s="5">
        <v>45159</v>
      </c>
      <c r="C639" s="7" t="s">
        <v>1046</v>
      </c>
      <c r="D639" s="8">
        <v>8</v>
      </c>
      <c r="E639" s="8">
        <v>2023</v>
      </c>
      <c r="F639" s="7" t="s">
        <v>893</v>
      </c>
      <c r="G639" s="7" t="s">
        <v>10</v>
      </c>
      <c r="H639" s="8">
        <v>22</v>
      </c>
      <c r="I639" s="7" t="s">
        <v>1021</v>
      </c>
      <c r="J639" s="7" t="s">
        <v>11</v>
      </c>
      <c r="K639" s="8">
        <v>2</v>
      </c>
      <c r="L639" s="7" t="s">
        <v>1024</v>
      </c>
      <c r="M639" s="10">
        <v>500</v>
      </c>
      <c r="N639" s="10">
        <v>1000</v>
      </c>
    </row>
    <row r="640" spans="1:14" x14ac:dyDescent="0.2">
      <c r="A640" s="8">
        <v>639</v>
      </c>
      <c r="B640" s="5">
        <v>45159</v>
      </c>
      <c r="C640" s="7" t="s">
        <v>1046</v>
      </c>
      <c r="D640" s="8">
        <v>8</v>
      </c>
      <c r="E640" s="8">
        <v>2023</v>
      </c>
      <c r="F640" s="7" t="s">
        <v>1005</v>
      </c>
      <c r="G640" s="7" t="s">
        <v>13</v>
      </c>
      <c r="H640" s="8">
        <v>57</v>
      </c>
      <c r="I640" s="7" t="s">
        <v>1018</v>
      </c>
      <c r="J640" s="7" t="s">
        <v>16</v>
      </c>
      <c r="K640" s="8">
        <v>2</v>
      </c>
      <c r="L640" s="7" t="s">
        <v>1024</v>
      </c>
      <c r="M640" s="10">
        <v>30</v>
      </c>
      <c r="N640" s="10">
        <v>60</v>
      </c>
    </row>
    <row r="641" spans="1:14" x14ac:dyDescent="0.2">
      <c r="A641" s="8">
        <v>640</v>
      </c>
      <c r="B641" s="5">
        <v>45160</v>
      </c>
      <c r="C641" s="7" t="s">
        <v>1046</v>
      </c>
      <c r="D641" s="8">
        <v>8</v>
      </c>
      <c r="E641" s="8">
        <v>2023</v>
      </c>
      <c r="F641" s="7" t="s">
        <v>610</v>
      </c>
      <c r="G641" s="7" t="s">
        <v>10</v>
      </c>
      <c r="H641" s="8">
        <v>22</v>
      </c>
      <c r="I641" s="7" t="s">
        <v>1021</v>
      </c>
      <c r="J641" s="7" t="s">
        <v>11</v>
      </c>
      <c r="K641" s="8">
        <v>4</v>
      </c>
      <c r="L641" s="7" t="s">
        <v>1025</v>
      </c>
      <c r="M641" s="10">
        <v>300</v>
      </c>
      <c r="N641" s="10">
        <v>1200</v>
      </c>
    </row>
    <row r="642" spans="1:14" x14ac:dyDescent="0.2">
      <c r="A642" s="8">
        <v>641</v>
      </c>
      <c r="B642" s="5">
        <v>45160</v>
      </c>
      <c r="C642" s="7" t="s">
        <v>1046</v>
      </c>
      <c r="D642" s="8">
        <v>8</v>
      </c>
      <c r="E642" s="8">
        <v>2023</v>
      </c>
      <c r="F642" s="7" t="s">
        <v>635</v>
      </c>
      <c r="G642" s="7" t="s">
        <v>13</v>
      </c>
      <c r="H642" s="8">
        <v>49</v>
      </c>
      <c r="I642" s="7" t="s">
        <v>1019</v>
      </c>
      <c r="J642" s="7" t="s">
        <v>11</v>
      </c>
      <c r="K642" s="8">
        <v>3</v>
      </c>
      <c r="L642" s="7" t="s">
        <v>1022</v>
      </c>
      <c r="M642" s="10">
        <v>25</v>
      </c>
      <c r="N642" s="10">
        <v>75</v>
      </c>
    </row>
    <row r="643" spans="1:14" x14ac:dyDescent="0.2">
      <c r="A643" s="8">
        <v>642</v>
      </c>
      <c r="B643" s="5">
        <v>45161</v>
      </c>
      <c r="C643" s="7" t="s">
        <v>1046</v>
      </c>
      <c r="D643" s="8">
        <v>8</v>
      </c>
      <c r="E643" s="8">
        <v>2023</v>
      </c>
      <c r="F643" s="7" t="s">
        <v>129</v>
      </c>
      <c r="G643" s="7" t="s">
        <v>13</v>
      </c>
      <c r="H643" s="8">
        <v>23</v>
      </c>
      <c r="I643" s="7" t="s">
        <v>1021</v>
      </c>
      <c r="J643" s="7" t="s">
        <v>14</v>
      </c>
      <c r="K643" s="8">
        <v>1</v>
      </c>
      <c r="L643" s="7" t="s">
        <v>1023</v>
      </c>
      <c r="M643" s="10">
        <v>30</v>
      </c>
      <c r="N643" s="10">
        <v>30</v>
      </c>
    </row>
    <row r="644" spans="1:14" x14ac:dyDescent="0.2">
      <c r="A644" s="8">
        <v>643</v>
      </c>
      <c r="B644" s="5">
        <v>45161</v>
      </c>
      <c r="C644" s="7" t="s">
        <v>1046</v>
      </c>
      <c r="D644" s="8">
        <v>8</v>
      </c>
      <c r="E644" s="8">
        <v>2023</v>
      </c>
      <c r="F644" s="7" t="s">
        <v>377</v>
      </c>
      <c r="G644" s="7" t="s">
        <v>13</v>
      </c>
      <c r="H644" s="8">
        <v>19</v>
      </c>
      <c r="I644" s="7" t="s">
        <v>1021</v>
      </c>
      <c r="J644" s="7" t="s">
        <v>11</v>
      </c>
      <c r="K644" s="8">
        <v>1</v>
      </c>
      <c r="L644" s="7" t="s">
        <v>1023</v>
      </c>
      <c r="M644" s="10">
        <v>500</v>
      </c>
      <c r="N644" s="10">
        <v>500</v>
      </c>
    </row>
    <row r="645" spans="1:14" x14ac:dyDescent="0.2">
      <c r="A645" s="8">
        <v>644</v>
      </c>
      <c r="B645" s="5">
        <v>45161</v>
      </c>
      <c r="C645" s="7" t="s">
        <v>1046</v>
      </c>
      <c r="D645" s="8">
        <v>8</v>
      </c>
      <c r="E645" s="8">
        <v>2023</v>
      </c>
      <c r="F645" s="7" t="s">
        <v>381</v>
      </c>
      <c r="G645" s="7" t="s">
        <v>13</v>
      </c>
      <c r="H645" s="8">
        <v>56</v>
      </c>
      <c r="I645" s="7" t="s">
        <v>1018</v>
      </c>
      <c r="J645" s="7" t="s">
        <v>14</v>
      </c>
      <c r="K645" s="8">
        <v>4</v>
      </c>
      <c r="L645" s="7" t="s">
        <v>1025</v>
      </c>
      <c r="M645" s="10">
        <v>300</v>
      </c>
      <c r="N645" s="10">
        <v>1200</v>
      </c>
    </row>
    <row r="646" spans="1:14" x14ac:dyDescent="0.2">
      <c r="A646" s="8">
        <v>645</v>
      </c>
      <c r="B646" s="5">
        <v>45162</v>
      </c>
      <c r="C646" s="7" t="s">
        <v>1046</v>
      </c>
      <c r="D646" s="8">
        <v>8</v>
      </c>
      <c r="E646" s="8">
        <v>2023</v>
      </c>
      <c r="F646" s="7" t="s">
        <v>63</v>
      </c>
      <c r="G646" s="7" t="s">
        <v>13</v>
      </c>
      <c r="H646" s="8">
        <v>27</v>
      </c>
      <c r="I646" s="7" t="s">
        <v>1021</v>
      </c>
      <c r="J646" s="7" t="s">
        <v>11</v>
      </c>
      <c r="K646" s="8">
        <v>3</v>
      </c>
      <c r="L646" s="7" t="s">
        <v>1022</v>
      </c>
      <c r="M646" s="10">
        <v>25</v>
      </c>
      <c r="N646" s="10">
        <v>75</v>
      </c>
    </row>
    <row r="647" spans="1:14" x14ac:dyDescent="0.2">
      <c r="A647" s="8">
        <v>646</v>
      </c>
      <c r="B647" s="5">
        <v>45162</v>
      </c>
      <c r="C647" s="7" t="s">
        <v>1046</v>
      </c>
      <c r="D647" s="8">
        <v>8</v>
      </c>
      <c r="E647" s="8">
        <v>2023</v>
      </c>
      <c r="F647" s="7" t="s">
        <v>492</v>
      </c>
      <c r="G647" s="7" t="s">
        <v>10</v>
      </c>
      <c r="H647" s="8">
        <v>52</v>
      </c>
      <c r="I647" s="7" t="s">
        <v>1019</v>
      </c>
      <c r="J647" s="7" t="s">
        <v>16</v>
      </c>
      <c r="K647" s="8">
        <v>4</v>
      </c>
      <c r="L647" s="7" t="s">
        <v>1025</v>
      </c>
      <c r="M647" s="10">
        <v>300</v>
      </c>
      <c r="N647" s="10">
        <v>1200</v>
      </c>
    </row>
    <row r="648" spans="1:14" x14ac:dyDescent="0.2">
      <c r="A648" s="8">
        <v>647</v>
      </c>
      <c r="B648" s="5">
        <v>45162</v>
      </c>
      <c r="C648" s="7" t="s">
        <v>1046</v>
      </c>
      <c r="D648" s="8">
        <v>8</v>
      </c>
      <c r="E648" s="8">
        <v>2023</v>
      </c>
      <c r="F648" s="7" t="s">
        <v>817</v>
      </c>
      <c r="G648" s="7" t="s">
        <v>10</v>
      </c>
      <c r="H648" s="8">
        <v>42</v>
      </c>
      <c r="I648" s="7" t="s">
        <v>1017</v>
      </c>
      <c r="J648" s="7" t="s">
        <v>16</v>
      </c>
      <c r="K648" s="8">
        <v>1</v>
      </c>
      <c r="L648" s="7" t="s">
        <v>1023</v>
      </c>
      <c r="M648" s="10">
        <v>30</v>
      </c>
      <c r="N648" s="10">
        <v>30</v>
      </c>
    </row>
    <row r="649" spans="1:14" x14ac:dyDescent="0.2">
      <c r="A649" s="8">
        <v>648</v>
      </c>
      <c r="B649" s="5">
        <v>45163</v>
      </c>
      <c r="C649" s="7" t="s">
        <v>1046</v>
      </c>
      <c r="D649" s="8">
        <v>8</v>
      </c>
      <c r="E649" s="8">
        <v>2023</v>
      </c>
      <c r="F649" s="7" t="s">
        <v>105</v>
      </c>
      <c r="G649" s="7" t="s">
        <v>13</v>
      </c>
      <c r="H649" s="8">
        <v>51</v>
      </c>
      <c r="I649" s="7" t="s">
        <v>1019</v>
      </c>
      <c r="J649" s="7" t="s">
        <v>16</v>
      </c>
      <c r="K649" s="8">
        <v>4</v>
      </c>
      <c r="L649" s="7" t="s">
        <v>1025</v>
      </c>
      <c r="M649" s="10">
        <v>30</v>
      </c>
      <c r="N649" s="10">
        <v>120</v>
      </c>
    </row>
    <row r="650" spans="1:14" x14ac:dyDescent="0.2">
      <c r="A650" s="8">
        <v>649</v>
      </c>
      <c r="B650" s="5">
        <v>45163</v>
      </c>
      <c r="C650" s="7" t="s">
        <v>1046</v>
      </c>
      <c r="D650" s="8">
        <v>8</v>
      </c>
      <c r="E650" s="8">
        <v>2023</v>
      </c>
      <c r="F650" s="7" t="s">
        <v>295</v>
      </c>
      <c r="G650" s="7" t="s">
        <v>13</v>
      </c>
      <c r="H650" s="8">
        <v>64</v>
      </c>
      <c r="I650" s="7" t="s">
        <v>1018</v>
      </c>
      <c r="J650" s="7" t="s">
        <v>16</v>
      </c>
      <c r="K650" s="8">
        <v>4</v>
      </c>
      <c r="L650" s="7" t="s">
        <v>1025</v>
      </c>
      <c r="M650" s="10">
        <v>50</v>
      </c>
      <c r="N650" s="10">
        <v>200</v>
      </c>
    </row>
    <row r="651" spans="1:14" x14ac:dyDescent="0.2">
      <c r="A651" s="8">
        <v>650</v>
      </c>
      <c r="B651" s="5">
        <v>45292</v>
      </c>
      <c r="C651" s="7" t="s">
        <v>1046</v>
      </c>
      <c r="D651" s="8">
        <v>8</v>
      </c>
      <c r="E651" s="8">
        <v>2023</v>
      </c>
      <c r="F651" s="7" t="s">
        <v>663</v>
      </c>
      <c r="G651" s="7" t="s">
        <v>10</v>
      </c>
      <c r="H651" s="8">
        <v>55</v>
      </c>
      <c r="I651" s="7" t="s">
        <v>1019</v>
      </c>
      <c r="J651" s="7" t="s">
        <v>16</v>
      </c>
      <c r="K651" s="8">
        <v>1</v>
      </c>
      <c r="L651" s="7" t="s">
        <v>1023</v>
      </c>
      <c r="M651" s="10">
        <v>30</v>
      </c>
      <c r="N651" s="10">
        <v>30</v>
      </c>
    </row>
    <row r="652" spans="1:14" x14ac:dyDescent="0.2">
      <c r="A652" s="8">
        <v>651</v>
      </c>
      <c r="B652" s="5">
        <v>45163</v>
      </c>
      <c r="C652" s="7" t="s">
        <v>1046</v>
      </c>
      <c r="D652" s="8">
        <v>8</v>
      </c>
      <c r="E652" s="8">
        <v>2023</v>
      </c>
      <c r="F652" s="7" t="s">
        <v>731</v>
      </c>
      <c r="G652" s="7" t="s">
        <v>13</v>
      </c>
      <c r="H652" s="8">
        <v>59</v>
      </c>
      <c r="I652" s="7" t="s">
        <v>1018</v>
      </c>
      <c r="J652" s="7" t="s">
        <v>11</v>
      </c>
      <c r="K652" s="8">
        <v>3</v>
      </c>
      <c r="L652" s="7" t="s">
        <v>1022</v>
      </c>
      <c r="M652" s="10">
        <v>25</v>
      </c>
      <c r="N652" s="10">
        <v>75</v>
      </c>
    </row>
    <row r="653" spans="1:14" x14ac:dyDescent="0.2">
      <c r="A653" s="8">
        <v>652</v>
      </c>
      <c r="B653" s="5">
        <v>45164</v>
      </c>
      <c r="C653" s="7" t="s">
        <v>1046</v>
      </c>
      <c r="D653" s="8">
        <v>8</v>
      </c>
      <c r="E653" s="8">
        <v>2023</v>
      </c>
      <c r="F653" s="7" t="s">
        <v>630</v>
      </c>
      <c r="G653" s="7" t="s">
        <v>10</v>
      </c>
      <c r="H653" s="8">
        <v>34</v>
      </c>
      <c r="I653" s="7" t="s">
        <v>1021</v>
      </c>
      <c r="J653" s="7" t="s">
        <v>16</v>
      </c>
      <c r="K653" s="8">
        <v>1</v>
      </c>
      <c r="L653" s="7" t="s">
        <v>1023</v>
      </c>
      <c r="M653" s="10">
        <v>30</v>
      </c>
      <c r="N653" s="10">
        <v>30</v>
      </c>
    </row>
    <row r="654" spans="1:14" x14ac:dyDescent="0.2">
      <c r="A654" s="8">
        <v>653</v>
      </c>
      <c r="B654" s="5">
        <v>45164</v>
      </c>
      <c r="C654" s="7" t="s">
        <v>1046</v>
      </c>
      <c r="D654" s="8">
        <v>8</v>
      </c>
      <c r="E654" s="8">
        <v>2023</v>
      </c>
      <c r="F654" s="7" t="s">
        <v>637</v>
      </c>
      <c r="G654" s="7" t="s">
        <v>13</v>
      </c>
      <c r="H654" s="8">
        <v>34</v>
      </c>
      <c r="I654" s="7" t="s">
        <v>1021</v>
      </c>
      <c r="J654" s="7" t="s">
        <v>11</v>
      </c>
      <c r="K654" s="8">
        <v>3</v>
      </c>
      <c r="L654" s="7" t="s">
        <v>1022</v>
      </c>
      <c r="M654" s="10">
        <v>300</v>
      </c>
      <c r="N654" s="10">
        <v>900</v>
      </c>
    </row>
    <row r="655" spans="1:14" x14ac:dyDescent="0.2">
      <c r="A655" s="8">
        <v>654</v>
      </c>
      <c r="B655" s="5">
        <v>45164</v>
      </c>
      <c r="C655" s="7" t="s">
        <v>1046</v>
      </c>
      <c r="D655" s="8">
        <v>8</v>
      </c>
      <c r="E655" s="8">
        <v>2023</v>
      </c>
      <c r="F655" s="7" t="s">
        <v>838</v>
      </c>
      <c r="G655" s="7" t="s">
        <v>13</v>
      </c>
      <c r="H655" s="8">
        <v>46</v>
      </c>
      <c r="I655" s="7" t="s">
        <v>1019</v>
      </c>
      <c r="J655" s="7" t="s">
        <v>11</v>
      </c>
      <c r="K655" s="8">
        <v>1</v>
      </c>
      <c r="L655" s="7" t="s">
        <v>1023</v>
      </c>
      <c r="M655" s="10">
        <v>25</v>
      </c>
      <c r="N655" s="10">
        <v>25</v>
      </c>
    </row>
    <row r="656" spans="1:14" x14ac:dyDescent="0.2">
      <c r="A656" s="8">
        <v>655</v>
      </c>
      <c r="B656" s="5">
        <v>45165</v>
      </c>
      <c r="C656" s="7" t="s">
        <v>1046</v>
      </c>
      <c r="D656" s="8">
        <v>8</v>
      </c>
      <c r="E656" s="8">
        <v>2023</v>
      </c>
      <c r="F656" s="7" t="s">
        <v>581</v>
      </c>
      <c r="G656" s="7" t="s">
        <v>13</v>
      </c>
      <c r="H656" s="8">
        <v>51</v>
      </c>
      <c r="I656" s="7" t="s">
        <v>1019</v>
      </c>
      <c r="J656" s="7" t="s">
        <v>16</v>
      </c>
      <c r="K656" s="8">
        <v>1</v>
      </c>
      <c r="L656" s="7" t="s">
        <v>1023</v>
      </c>
      <c r="M656" s="10">
        <v>300</v>
      </c>
      <c r="N656" s="10">
        <v>300</v>
      </c>
    </row>
    <row r="657" spans="1:14" x14ac:dyDescent="0.2">
      <c r="A657" s="8">
        <v>656</v>
      </c>
      <c r="B657" s="5">
        <v>45165</v>
      </c>
      <c r="C657" s="7" t="s">
        <v>1046</v>
      </c>
      <c r="D657" s="8">
        <v>8</v>
      </c>
      <c r="E657" s="8">
        <v>2023</v>
      </c>
      <c r="F657" s="7" t="s">
        <v>684</v>
      </c>
      <c r="G657" s="7" t="s">
        <v>10</v>
      </c>
      <c r="H657" s="8">
        <v>62</v>
      </c>
      <c r="I657" s="7" t="s">
        <v>1018</v>
      </c>
      <c r="J657" s="7" t="s">
        <v>16</v>
      </c>
      <c r="K657" s="8">
        <v>3</v>
      </c>
      <c r="L657" s="7" t="s">
        <v>1022</v>
      </c>
      <c r="M657" s="10">
        <v>50</v>
      </c>
      <c r="N657" s="10">
        <v>150</v>
      </c>
    </row>
    <row r="658" spans="1:14" x14ac:dyDescent="0.2">
      <c r="A658" s="8">
        <v>657</v>
      </c>
      <c r="B658" s="5">
        <v>45165</v>
      </c>
      <c r="C658" s="7" t="s">
        <v>1046</v>
      </c>
      <c r="D658" s="8">
        <v>8</v>
      </c>
      <c r="E658" s="8">
        <v>2023</v>
      </c>
      <c r="F658" s="7" t="s">
        <v>769</v>
      </c>
      <c r="G658" s="7" t="s">
        <v>13</v>
      </c>
      <c r="H658" s="8">
        <v>62</v>
      </c>
      <c r="I658" s="7" t="s">
        <v>1018</v>
      </c>
      <c r="J658" s="7" t="s">
        <v>16</v>
      </c>
      <c r="K658" s="8">
        <v>4</v>
      </c>
      <c r="L658" s="7" t="s">
        <v>1025</v>
      </c>
      <c r="M658" s="10">
        <v>300</v>
      </c>
      <c r="N658" s="10">
        <v>1200</v>
      </c>
    </row>
    <row r="659" spans="1:14" x14ac:dyDescent="0.2">
      <c r="A659" s="8">
        <v>658</v>
      </c>
      <c r="B659" s="5">
        <v>45165</v>
      </c>
      <c r="C659" s="7" t="s">
        <v>1046</v>
      </c>
      <c r="D659" s="8">
        <v>8</v>
      </c>
      <c r="E659" s="8">
        <v>2023</v>
      </c>
      <c r="F659" s="7" t="s">
        <v>828</v>
      </c>
      <c r="G659" s="7" t="s">
        <v>13</v>
      </c>
      <c r="H659" s="8">
        <v>51</v>
      </c>
      <c r="I659" s="7" t="s">
        <v>1019</v>
      </c>
      <c r="J659" s="7" t="s">
        <v>14</v>
      </c>
      <c r="K659" s="8">
        <v>3</v>
      </c>
      <c r="L659" s="7" t="s">
        <v>1022</v>
      </c>
      <c r="M659" s="10">
        <v>25</v>
      </c>
      <c r="N659" s="10">
        <v>75</v>
      </c>
    </row>
    <row r="660" spans="1:14" x14ac:dyDescent="0.2">
      <c r="A660" s="8">
        <v>659</v>
      </c>
      <c r="B660" s="5">
        <v>45166</v>
      </c>
      <c r="C660" s="7" t="s">
        <v>1046</v>
      </c>
      <c r="D660" s="8">
        <v>8</v>
      </c>
      <c r="E660" s="8">
        <v>2023</v>
      </c>
      <c r="F660" s="7" t="s">
        <v>159</v>
      </c>
      <c r="G660" s="7" t="s">
        <v>10</v>
      </c>
      <c r="H660" s="8">
        <v>38</v>
      </c>
      <c r="I660" s="7" t="s">
        <v>1017</v>
      </c>
      <c r="J660" s="7" t="s">
        <v>14</v>
      </c>
      <c r="K660" s="8">
        <v>4</v>
      </c>
      <c r="L660" s="7" t="s">
        <v>1025</v>
      </c>
      <c r="M660" s="10">
        <v>50</v>
      </c>
      <c r="N660" s="10">
        <v>200</v>
      </c>
    </row>
    <row r="661" spans="1:14" x14ac:dyDescent="0.2">
      <c r="A661" s="8">
        <v>660</v>
      </c>
      <c r="B661" s="5">
        <v>45166</v>
      </c>
      <c r="C661" s="7" t="s">
        <v>1046</v>
      </c>
      <c r="D661" s="8">
        <v>8</v>
      </c>
      <c r="E661" s="8">
        <v>2023</v>
      </c>
      <c r="F661" s="7" t="s">
        <v>276</v>
      </c>
      <c r="G661" s="7" t="s">
        <v>10</v>
      </c>
      <c r="H661" s="8">
        <v>23</v>
      </c>
      <c r="I661" s="7" t="s">
        <v>1021</v>
      </c>
      <c r="J661" s="7" t="s">
        <v>11</v>
      </c>
      <c r="K661" s="8">
        <v>2</v>
      </c>
      <c r="L661" s="7" t="s">
        <v>1024</v>
      </c>
      <c r="M661" s="10">
        <v>30</v>
      </c>
      <c r="N661" s="10">
        <v>60</v>
      </c>
    </row>
    <row r="662" spans="1:14" x14ac:dyDescent="0.2">
      <c r="A662" s="8">
        <v>661</v>
      </c>
      <c r="B662" s="5">
        <v>45166</v>
      </c>
      <c r="C662" s="7" t="s">
        <v>1046</v>
      </c>
      <c r="D662" s="8">
        <v>8</v>
      </c>
      <c r="E662" s="8">
        <v>2023</v>
      </c>
      <c r="F662" s="7" t="s">
        <v>717</v>
      </c>
      <c r="G662" s="7" t="s">
        <v>13</v>
      </c>
      <c r="H662" s="8">
        <v>62</v>
      </c>
      <c r="I662" s="7" t="s">
        <v>1018</v>
      </c>
      <c r="J662" s="7" t="s">
        <v>14</v>
      </c>
      <c r="K662" s="8">
        <v>3</v>
      </c>
      <c r="L662" s="7" t="s">
        <v>1022</v>
      </c>
      <c r="M662" s="10">
        <v>30</v>
      </c>
      <c r="N662" s="10">
        <v>90</v>
      </c>
    </row>
    <row r="663" spans="1:14" x14ac:dyDescent="0.2">
      <c r="A663" s="8">
        <v>662</v>
      </c>
      <c r="B663" s="5">
        <v>45167</v>
      </c>
      <c r="C663" s="7" t="s">
        <v>1046</v>
      </c>
      <c r="D663" s="8">
        <v>8</v>
      </c>
      <c r="E663" s="8">
        <v>2023</v>
      </c>
      <c r="F663" s="7" t="s">
        <v>489</v>
      </c>
      <c r="G663" s="7" t="s">
        <v>13</v>
      </c>
      <c r="H663" s="8">
        <v>27</v>
      </c>
      <c r="I663" s="7" t="s">
        <v>1021</v>
      </c>
      <c r="J663" s="7" t="s">
        <v>14</v>
      </c>
      <c r="K663" s="8">
        <v>4</v>
      </c>
      <c r="L663" s="7" t="s">
        <v>1025</v>
      </c>
      <c r="M663" s="10">
        <v>500</v>
      </c>
      <c r="N663" s="10">
        <v>2000</v>
      </c>
    </row>
    <row r="664" spans="1:14" x14ac:dyDescent="0.2">
      <c r="A664" s="8">
        <v>663</v>
      </c>
      <c r="B664" s="5">
        <v>45167</v>
      </c>
      <c r="C664" s="7" t="s">
        <v>1046</v>
      </c>
      <c r="D664" s="8">
        <v>8</v>
      </c>
      <c r="E664" s="8">
        <v>2023</v>
      </c>
      <c r="F664" s="7" t="s">
        <v>746</v>
      </c>
      <c r="G664" s="7" t="s">
        <v>10</v>
      </c>
      <c r="H664" s="8">
        <v>34</v>
      </c>
      <c r="I664" s="7" t="s">
        <v>1021</v>
      </c>
      <c r="J664" s="7" t="s">
        <v>11</v>
      </c>
      <c r="K664" s="8">
        <v>1</v>
      </c>
      <c r="L664" s="7" t="s">
        <v>1023</v>
      </c>
      <c r="M664" s="10">
        <v>30</v>
      </c>
      <c r="N664" s="10">
        <v>30</v>
      </c>
    </row>
    <row r="665" spans="1:14" x14ac:dyDescent="0.2">
      <c r="A665" s="8">
        <v>664</v>
      </c>
      <c r="B665" s="5">
        <v>45167</v>
      </c>
      <c r="C665" s="7" t="s">
        <v>1046</v>
      </c>
      <c r="D665" s="8">
        <v>8</v>
      </c>
      <c r="E665" s="8">
        <v>2023</v>
      </c>
      <c r="F665" s="7" t="s">
        <v>937</v>
      </c>
      <c r="G665" s="7" t="s">
        <v>10</v>
      </c>
      <c r="H665" s="8">
        <v>55</v>
      </c>
      <c r="I665" s="7" t="s">
        <v>1019</v>
      </c>
      <c r="J665" s="7" t="s">
        <v>11</v>
      </c>
      <c r="K665" s="8">
        <v>2</v>
      </c>
      <c r="L665" s="7" t="s">
        <v>1024</v>
      </c>
      <c r="M665" s="10">
        <v>50</v>
      </c>
      <c r="N665" s="10">
        <v>100</v>
      </c>
    </row>
    <row r="666" spans="1:14" x14ac:dyDescent="0.2">
      <c r="A666" s="8">
        <v>665</v>
      </c>
      <c r="B666" s="5">
        <v>45167</v>
      </c>
      <c r="C666" s="7" t="s">
        <v>1046</v>
      </c>
      <c r="D666" s="8">
        <v>8</v>
      </c>
      <c r="E666" s="8">
        <v>2023</v>
      </c>
      <c r="F666" s="7" t="s">
        <v>997</v>
      </c>
      <c r="G666" s="7" t="s">
        <v>10</v>
      </c>
      <c r="H666" s="8">
        <v>56</v>
      </c>
      <c r="I666" s="7" t="s">
        <v>1018</v>
      </c>
      <c r="J666" s="7" t="s">
        <v>14</v>
      </c>
      <c r="K666" s="8">
        <v>1</v>
      </c>
      <c r="L666" s="7" t="s">
        <v>1023</v>
      </c>
      <c r="M666" s="10">
        <v>500</v>
      </c>
      <c r="N666" s="10">
        <v>500</v>
      </c>
    </row>
    <row r="667" spans="1:14" x14ac:dyDescent="0.2">
      <c r="A667" s="8">
        <v>666</v>
      </c>
      <c r="B667" s="5">
        <v>45169</v>
      </c>
      <c r="C667" s="7" t="s">
        <v>1046</v>
      </c>
      <c r="D667" s="8">
        <v>8</v>
      </c>
      <c r="E667" s="8">
        <v>2023</v>
      </c>
      <c r="F667" s="7" t="s">
        <v>264</v>
      </c>
      <c r="G667" s="7" t="s">
        <v>13</v>
      </c>
      <c r="H667" s="8">
        <v>57</v>
      </c>
      <c r="I667" s="7" t="s">
        <v>1018</v>
      </c>
      <c r="J667" s="7" t="s">
        <v>11</v>
      </c>
      <c r="K667" s="8">
        <v>4</v>
      </c>
      <c r="L667" s="7" t="s">
        <v>1025</v>
      </c>
      <c r="M667" s="10">
        <v>50</v>
      </c>
      <c r="N667" s="10">
        <v>200</v>
      </c>
    </row>
    <row r="668" spans="1:14" x14ac:dyDescent="0.2">
      <c r="A668" s="8">
        <v>667</v>
      </c>
      <c r="B668" s="5">
        <v>45169</v>
      </c>
      <c r="C668" s="7" t="s">
        <v>1046</v>
      </c>
      <c r="D668" s="8">
        <v>8</v>
      </c>
      <c r="E668" s="8">
        <v>2023</v>
      </c>
      <c r="F668" s="7" t="s">
        <v>266</v>
      </c>
      <c r="G668" s="7" t="s">
        <v>13</v>
      </c>
      <c r="H668" s="8">
        <v>53</v>
      </c>
      <c r="I668" s="7" t="s">
        <v>1019</v>
      </c>
      <c r="J668" s="7" t="s">
        <v>14</v>
      </c>
      <c r="K668" s="8">
        <v>4</v>
      </c>
      <c r="L668" s="7" t="s">
        <v>1025</v>
      </c>
      <c r="M668" s="10">
        <v>500</v>
      </c>
      <c r="N668" s="10">
        <v>2000</v>
      </c>
    </row>
    <row r="669" spans="1:14" x14ac:dyDescent="0.2">
      <c r="A669" s="8">
        <v>668</v>
      </c>
      <c r="B669" s="5">
        <v>45169</v>
      </c>
      <c r="C669" s="7" t="s">
        <v>1046</v>
      </c>
      <c r="D669" s="8">
        <v>8</v>
      </c>
      <c r="E669" s="8">
        <v>2023</v>
      </c>
      <c r="F669" s="7" t="s">
        <v>587</v>
      </c>
      <c r="G669" s="7" t="s">
        <v>13</v>
      </c>
      <c r="H669" s="8">
        <v>63</v>
      </c>
      <c r="I669" s="7" t="s">
        <v>1018</v>
      </c>
      <c r="J669" s="7" t="s">
        <v>16</v>
      </c>
      <c r="K669" s="8">
        <v>2</v>
      </c>
      <c r="L669" s="7" t="s">
        <v>1024</v>
      </c>
      <c r="M669" s="10">
        <v>25</v>
      </c>
      <c r="N669" s="10">
        <v>50</v>
      </c>
    </row>
    <row r="670" spans="1:14" x14ac:dyDescent="0.2">
      <c r="A670" s="8">
        <v>669</v>
      </c>
      <c r="B670" s="5">
        <v>45169</v>
      </c>
      <c r="C670" s="7" t="s">
        <v>1046</v>
      </c>
      <c r="D670" s="8">
        <v>8</v>
      </c>
      <c r="E670" s="8">
        <v>2023</v>
      </c>
      <c r="F670" s="7" t="s">
        <v>764</v>
      </c>
      <c r="G670" s="7" t="s">
        <v>13</v>
      </c>
      <c r="H670" s="8">
        <v>42</v>
      </c>
      <c r="I670" s="7" t="s">
        <v>1017</v>
      </c>
      <c r="J670" s="7" t="s">
        <v>14</v>
      </c>
      <c r="K670" s="8">
        <v>2</v>
      </c>
      <c r="L670" s="7" t="s">
        <v>1024</v>
      </c>
      <c r="M670" s="10">
        <v>25</v>
      </c>
      <c r="N670" s="10">
        <v>50</v>
      </c>
    </row>
    <row r="671" spans="1:14" x14ac:dyDescent="0.2">
      <c r="A671" s="8">
        <v>670</v>
      </c>
      <c r="B671" s="5">
        <v>45169</v>
      </c>
      <c r="C671" s="7" t="s">
        <v>1046</v>
      </c>
      <c r="D671" s="8">
        <v>8</v>
      </c>
      <c r="E671" s="8">
        <v>2023</v>
      </c>
      <c r="F671" s="7" t="s">
        <v>884</v>
      </c>
      <c r="G671" s="7" t="s">
        <v>10</v>
      </c>
      <c r="H671" s="8">
        <v>62</v>
      </c>
      <c r="I671" s="7" t="s">
        <v>1018</v>
      </c>
      <c r="J671" s="7" t="s">
        <v>11</v>
      </c>
      <c r="K671" s="8">
        <v>2</v>
      </c>
      <c r="L671" s="7" t="s">
        <v>1024</v>
      </c>
      <c r="M671" s="10">
        <v>30</v>
      </c>
      <c r="N671" s="10">
        <v>60</v>
      </c>
    </row>
    <row r="672" spans="1:14" x14ac:dyDescent="0.2">
      <c r="A672" s="8">
        <v>671</v>
      </c>
      <c r="B672" s="5">
        <v>45170</v>
      </c>
      <c r="C672" s="7" t="s">
        <v>1047</v>
      </c>
      <c r="D672" s="8">
        <v>9</v>
      </c>
      <c r="E672" s="8">
        <v>2023</v>
      </c>
      <c r="F672" s="7" t="s">
        <v>213</v>
      </c>
      <c r="G672" s="7" t="s">
        <v>10</v>
      </c>
      <c r="H672" s="8">
        <v>27</v>
      </c>
      <c r="I672" s="7" t="s">
        <v>1021</v>
      </c>
      <c r="J672" s="7" t="s">
        <v>11</v>
      </c>
      <c r="K672" s="8">
        <v>3</v>
      </c>
      <c r="L672" s="7" t="s">
        <v>1022</v>
      </c>
      <c r="M672" s="10">
        <v>50</v>
      </c>
      <c r="N672" s="10">
        <v>150</v>
      </c>
    </row>
    <row r="673" spans="1:14" x14ac:dyDescent="0.2">
      <c r="A673" s="8">
        <v>672</v>
      </c>
      <c r="B673" s="5">
        <v>45170</v>
      </c>
      <c r="C673" s="7" t="s">
        <v>1047</v>
      </c>
      <c r="D673" s="8">
        <v>9</v>
      </c>
      <c r="E673" s="8">
        <v>2023</v>
      </c>
      <c r="F673" s="7" t="s">
        <v>607</v>
      </c>
      <c r="G673" s="7" t="s">
        <v>13</v>
      </c>
      <c r="H673" s="8">
        <v>19</v>
      </c>
      <c r="I673" s="7" t="s">
        <v>1021</v>
      </c>
      <c r="J673" s="7" t="s">
        <v>16</v>
      </c>
      <c r="K673" s="8">
        <v>2</v>
      </c>
      <c r="L673" s="7" t="s">
        <v>1024</v>
      </c>
      <c r="M673" s="10">
        <v>300</v>
      </c>
      <c r="N673" s="10">
        <v>600</v>
      </c>
    </row>
    <row r="674" spans="1:14" x14ac:dyDescent="0.2">
      <c r="A674" s="8">
        <v>673</v>
      </c>
      <c r="B674" s="5">
        <v>45170</v>
      </c>
      <c r="C674" s="7" t="s">
        <v>1047</v>
      </c>
      <c r="D674" s="8">
        <v>9</v>
      </c>
      <c r="E674" s="8">
        <v>2023</v>
      </c>
      <c r="F674" s="7" t="s">
        <v>650</v>
      </c>
      <c r="G674" s="7" t="s">
        <v>10</v>
      </c>
      <c r="H674" s="8">
        <v>43</v>
      </c>
      <c r="I674" s="7" t="s">
        <v>1017</v>
      </c>
      <c r="J674" s="7" t="s">
        <v>14</v>
      </c>
      <c r="K674" s="8">
        <v>2</v>
      </c>
      <c r="L674" s="7" t="s">
        <v>1024</v>
      </c>
      <c r="M674" s="10">
        <v>300</v>
      </c>
      <c r="N674" s="10">
        <v>600</v>
      </c>
    </row>
    <row r="675" spans="1:14" x14ac:dyDescent="0.2">
      <c r="A675" s="8">
        <v>674</v>
      </c>
      <c r="B675" s="5">
        <v>45170</v>
      </c>
      <c r="C675" s="7" t="s">
        <v>1047</v>
      </c>
      <c r="D675" s="8">
        <v>9</v>
      </c>
      <c r="E675" s="8">
        <v>2023</v>
      </c>
      <c r="F675" s="7" t="s">
        <v>868</v>
      </c>
      <c r="G675" s="7" t="s">
        <v>10</v>
      </c>
      <c r="H675" s="8">
        <v>54</v>
      </c>
      <c r="I675" s="7" t="s">
        <v>1019</v>
      </c>
      <c r="J675" s="7" t="s">
        <v>11</v>
      </c>
      <c r="K675" s="8">
        <v>1</v>
      </c>
      <c r="L675" s="7" t="s">
        <v>1023</v>
      </c>
      <c r="M675" s="10">
        <v>25</v>
      </c>
      <c r="N675" s="10">
        <v>25</v>
      </c>
    </row>
    <row r="676" spans="1:14" x14ac:dyDescent="0.2">
      <c r="A676" s="8">
        <v>675</v>
      </c>
      <c r="B676" s="5">
        <v>45171</v>
      </c>
      <c r="C676" s="7" t="s">
        <v>1047</v>
      </c>
      <c r="D676" s="8">
        <v>9</v>
      </c>
      <c r="E676" s="8">
        <v>2023</v>
      </c>
      <c r="F676" s="7" t="s">
        <v>338</v>
      </c>
      <c r="G676" s="7" t="s">
        <v>13</v>
      </c>
      <c r="H676" s="8">
        <v>52</v>
      </c>
      <c r="I676" s="7" t="s">
        <v>1019</v>
      </c>
      <c r="J676" s="7" t="s">
        <v>16</v>
      </c>
      <c r="K676" s="8">
        <v>2</v>
      </c>
      <c r="L676" s="7" t="s">
        <v>1024</v>
      </c>
      <c r="M676" s="10">
        <v>25</v>
      </c>
      <c r="N676" s="10">
        <v>50</v>
      </c>
    </row>
    <row r="677" spans="1:14" x14ac:dyDescent="0.2">
      <c r="A677" s="8">
        <v>676</v>
      </c>
      <c r="B677" s="5">
        <v>45171</v>
      </c>
      <c r="C677" s="7" t="s">
        <v>1047</v>
      </c>
      <c r="D677" s="8">
        <v>9</v>
      </c>
      <c r="E677" s="8">
        <v>2023</v>
      </c>
      <c r="F677" s="7" t="s">
        <v>695</v>
      </c>
      <c r="G677" s="7" t="s">
        <v>10</v>
      </c>
      <c r="H677" s="8">
        <v>46</v>
      </c>
      <c r="I677" s="7" t="s">
        <v>1019</v>
      </c>
      <c r="J677" s="7" t="s">
        <v>11</v>
      </c>
      <c r="K677" s="8">
        <v>4</v>
      </c>
      <c r="L677" s="7" t="s">
        <v>1025</v>
      </c>
      <c r="M677" s="10">
        <v>300</v>
      </c>
      <c r="N677" s="10">
        <v>1200</v>
      </c>
    </row>
    <row r="678" spans="1:14" x14ac:dyDescent="0.2">
      <c r="A678" s="8">
        <v>677</v>
      </c>
      <c r="B678" s="5">
        <v>45171</v>
      </c>
      <c r="C678" s="7" t="s">
        <v>1047</v>
      </c>
      <c r="D678" s="8">
        <v>9</v>
      </c>
      <c r="E678" s="8">
        <v>2023</v>
      </c>
      <c r="F678" s="7" t="s">
        <v>944</v>
      </c>
      <c r="G678" s="7" t="s">
        <v>10</v>
      </c>
      <c r="H678" s="8">
        <v>30</v>
      </c>
      <c r="I678" s="7" t="s">
        <v>1021</v>
      </c>
      <c r="J678" s="7" t="s">
        <v>11</v>
      </c>
      <c r="K678" s="8">
        <v>4</v>
      </c>
      <c r="L678" s="7" t="s">
        <v>1025</v>
      </c>
      <c r="M678" s="10">
        <v>30</v>
      </c>
      <c r="N678" s="10">
        <v>120</v>
      </c>
    </row>
    <row r="679" spans="1:14" x14ac:dyDescent="0.2">
      <c r="A679" s="8">
        <v>678</v>
      </c>
      <c r="B679" s="5">
        <v>45172</v>
      </c>
      <c r="C679" s="7" t="s">
        <v>1047</v>
      </c>
      <c r="D679" s="8">
        <v>9</v>
      </c>
      <c r="E679" s="8">
        <v>2023</v>
      </c>
      <c r="F679" s="7" t="s">
        <v>938</v>
      </c>
      <c r="G679" s="7" t="s">
        <v>10</v>
      </c>
      <c r="H679" s="8">
        <v>25</v>
      </c>
      <c r="I679" s="7" t="s">
        <v>1021</v>
      </c>
      <c r="J679" s="7" t="s">
        <v>16</v>
      </c>
      <c r="K679" s="8">
        <v>1</v>
      </c>
      <c r="L679" s="7" t="s">
        <v>1023</v>
      </c>
      <c r="M679" s="10">
        <v>300</v>
      </c>
      <c r="N679" s="10">
        <v>300</v>
      </c>
    </row>
    <row r="680" spans="1:14" x14ac:dyDescent="0.2">
      <c r="A680" s="8">
        <v>679</v>
      </c>
      <c r="B680" s="5">
        <v>45173</v>
      </c>
      <c r="C680" s="7" t="s">
        <v>1047</v>
      </c>
      <c r="D680" s="8">
        <v>9</v>
      </c>
      <c r="E680" s="8">
        <v>2023</v>
      </c>
      <c r="F680" s="7" t="s">
        <v>310</v>
      </c>
      <c r="G680" s="7" t="s">
        <v>13</v>
      </c>
      <c r="H680" s="8">
        <v>40</v>
      </c>
      <c r="I680" s="7" t="s">
        <v>1017</v>
      </c>
      <c r="J680" s="7" t="s">
        <v>16</v>
      </c>
      <c r="K680" s="8">
        <v>2</v>
      </c>
      <c r="L680" s="7" t="s">
        <v>1024</v>
      </c>
      <c r="M680" s="10">
        <v>500</v>
      </c>
      <c r="N680" s="10">
        <v>1000</v>
      </c>
    </row>
    <row r="681" spans="1:14" x14ac:dyDescent="0.2">
      <c r="A681" s="8">
        <v>680</v>
      </c>
      <c r="B681" s="5">
        <v>45174</v>
      </c>
      <c r="C681" s="7" t="s">
        <v>1047</v>
      </c>
      <c r="D681" s="8">
        <v>9</v>
      </c>
      <c r="E681" s="8">
        <v>2023</v>
      </c>
      <c r="F681" s="7" t="s">
        <v>827</v>
      </c>
      <c r="G681" s="7" t="s">
        <v>13</v>
      </c>
      <c r="H681" s="8">
        <v>59</v>
      </c>
      <c r="I681" s="7" t="s">
        <v>1018</v>
      </c>
      <c r="J681" s="7" t="s">
        <v>14</v>
      </c>
      <c r="K681" s="8">
        <v>1</v>
      </c>
      <c r="L681" s="7" t="s">
        <v>1023</v>
      </c>
      <c r="M681" s="10">
        <v>500</v>
      </c>
      <c r="N681" s="10">
        <v>500</v>
      </c>
    </row>
    <row r="682" spans="1:14" x14ac:dyDescent="0.2">
      <c r="A682" s="8">
        <v>681</v>
      </c>
      <c r="B682" s="5">
        <v>45174</v>
      </c>
      <c r="C682" s="7" t="s">
        <v>1047</v>
      </c>
      <c r="D682" s="8">
        <v>9</v>
      </c>
      <c r="E682" s="8">
        <v>2023</v>
      </c>
      <c r="F682" s="7" t="s">
        <v>907</v>
      </c>
      <c r="G682" s="7" t="s">
        <v>10</v>
      </c>
      <c r="H682" s="8">
        <v>52</v>
      </c>
      <c r="I682" s="7" t="s">
        <v>1019</v>
      </c>
      <c r="J682" s="7" t="s">
        <v>16</v>
      </c>
      <c r="K682" s="8">
        <v>1</v>
      </c>
      <c r="L682" s="7" t="s">
        <v>1023</v>
      </c>
      <c r="M682" s="10">
        <v>30</v>
      </c>
      <c r="N682" s="10">
        <v>30</v>
      </c>
    </row>
    <row r="683" spans="1:14" x14ac:dyDescent="0.2">
      <c r="A683" s="8">
        <v>682</v>
      </c>
      <c r="B683" s="5">
        <v>45175</v>
      </c>
      <c r="C683" s="7" t="s">
        <v>1047</v>
      </c>
      <c r="D683" s="8">
        <v>9</v>
      </c>
      <c r="E683" s="8">
        <v>2023</v>
      </c>
      <c r="F683" s="7" t="s">
        <v>207</v>
      </c>
      <c r="G683" s="7" t="s">
        <v>10</v>
      </c>
      <c r="H683" s="8">
        <v>55</v>
      </c>
      <c r="I683" s="7" t="s">
        <v>1019</v>
      </c>
      <c r="J683" s="7" t="s">
        <v>14</v>
      </c>
      <c r="K683" s="8">
        <v>4</v>
      </c>
      <c r="L683" s="7" t="s">
        <v>1025</v>
      </c>
      <c r="M683" s="10">
        <v>50</v>
      </c>
      <c r="N683" s="10">
        <v>200</v>
      </c>
    </row>
    <row r="684" spans="1:14" x14ac:dyDescent="0.2">
      <c r="A684" s="8">
        <v>683</v>
      </c>
      <c r="B684" s="5">
        <v>45175</v>
      </c>
      <c r="C684" s="7" t="s">
        <v>1047</v>
      </c>
      <c r="D684" s="8">
        <v>9</v>
      </c>
      <c r="E684" s="8">
        <v>2023</v>
      </c>
      <c r="F684" s="7" t="s">
        <v>258</v>
      </c>
      <c r="G684" s="7" t="s">
        <v>10</v>
      </c>
      <c r="H684" s="8">
        <v>47</v>
      </c>
      <c r="I684" s="7" t="s">
        <v>1019</v>
      </c>
      <c r="J684" s="7" t="s">
        <v>14</v>
      </c>
      <c r="K684" s="8">
        <v>3</v>
      </c>
      <c r="L684" s="7" t="s">
        <v>1022</v>
      </c>
      <c r="M684" s="10">
        <v>30</v>
      </c>
      <c r="N684" s="10">
        <v>90</v>
      </c>
    </row>
    <row r="685" spans="1:14" x14ac:dyDescent="0.2">
      <c r="A685" s="8">
        <v>684</v>
      </c>
      <c r="B685" s="5">
        <v>45175</v>
      </c>
      <c r="C685" s="7" t="s">
        <v>1047</v>
      </c>
      <c r="D685" s="8">
        <v>9</v>
      </c>
      <c r="E685" s="8">
        <v>2023</v>
      </c>
      <c r="F685" s="7" t="s">
        <v>309</v>
      </c>
      <c r="G685" s="7" t="s">
        <v>13</v>
      </c>
      <c r="H685" s="8">
        <v>22</v>
      </c>
      <c r="I685" s="7" t="s">
        <v>1021</v>
      </c>
      <c r="J685" s="7" t="s">
        <v>14</v>
      </c>
      <c r="K685" s="8">
        <v>4</v>
      </c>
      <c r="L685" s="7" t="s">
        <v>1025</v>
      </c>
      <c r="M685" s="10">
        <v>300</v>
      </c>
      <c r="N685" s="10">
        <v>1200</v>
      </c>
    </row>
    <row r="686" spans="1:14" x14ac:dyDescent="0.2">
      <c r="A686" s="8">
        <v>685</v>
      </c>
      <c r="B686" s="5">
        <v>45175</v>
      </c>
      <c r="C686" s="7" t="s">
        <v>1047</v>
      </c>
      <c r="D686" s="8">
        <v>9</v>
      </c>
      <c r="E686" s="8">
        <v>2023</v>
      </c>
      <c r="F686" s="7" t="s">
        <v>657</v>
      </c>
      <c r="G686" s="7" t="s">
        <v>10</v>
      </c>
      <c r="H686" s="8">
        <v>23</v>
      </c>
      <c r="I686" s="7" t="s">
        <v>1021</v>
      </c>
      <c r="J686" s="7" t="s">
        <v>11</v>
      </c>
      <c r="K686" s="8">
        <v>3</v>
      </c>
      <c r="L686" s="7" t="s">
        <v>1022</v>
      </c>
      <c r="M686" s="10">
        <v>25</v>
      </c>
      <c r="N686" s="10">
        <v>75</v>
      </c>
    </row>
    <row r="687" spans="1:14" x14ac:dyDescent="0.2">
      <c r="A687" s="8">
        <v>686</v>
      </c>
      <c r="B687" s="5">
        <v>45175</v>
      </c>
      <c r="C687" s="7" t="s">
        <v>1047</v>
      </c>
      <c r="D687" s="8">
        <v>9</v>
      </c>
      <c r="E687" s="8">
        <v>2023</v>
      </c>
      <c r="F687" s="7" t="s">
        <v>709</v>
      </c>
      <c r="G687" s="7" t="s">
        <v>13</v>
      </c>
      <c r="H687" s="8">
        <v>50</v>
      </c>
      <c r="I687" s="7" t="s">
        <v>1019</v>
      </c>
      <c r="J687" s="7" t="s">
        <v>14</v>
      </c>
      <c r="K687" s="8">
        <v>4</v>
      </c>
      <c r="L687" s="7" t="s">
        <v>1025</v>
      </c>
      <c r="M687" s="10">
        <v>50</v>
      </c>
      <c r="N687" s="10">
        <v>200</v>
      </c>
    </row>
    <row r="688" spans="1:14" x14ac:dyDescent="0.2">
      <c r="A688" s="8">
        <v>687</v>
      </c>
      <c r="B688" s="5">
        <v>45176</v>
      </c>
      <c r="C688" s="7" t="s">
        <v>1047</v>
      </c>
      <c r="D688" s="8">
        <v>9</v>
      </c>
      <c r="E688" s="8">
        <v>2023</v>
      </c>
      <c r="F688" s="7" t="s">
        <v>325</v>
      </c>
      <c r="G688" s="7" t="s">
        <v>10</v>
      </c>
      <c r="H688" s="8">
        <v>41</v>
      </c>
      <c r="I688" s="7" t="s">
        <v>1017</v>
      </c>
      <c r="J688" s="7" t="s">
        <v>14</v>
      </c>
      <c r="K688" s="8">
        <v>4</v>
      </c>
      <c r="L688" s="7" t="s">
        <v>1025</v>
      </c>
      <c r="M688" s="10">
        <v>30</v>
      </c>
      <c r="N688" s="10">
        <v>120</v>
      </c>
    </row>
    <row r="689" spans="1:14" x14ac:dyDescent="0.2">
      <c r="A689" s="8">
        <v>688</v>
      </c>
      <c r="B689" s="5">
        <v>45176</v>
      </c>
      <c r="C689" s="7" t="s">
        <v>1047</v>
      </c>
      <c r="D689" s="8">
        <v>9</v>
      </c>
      <c r="E689" s="8">
        <v>2023</v>
      </c>
      <c r="F689" s="7" t="s">
        <v>705</v>
      </c>
      <c r="G689" s="7" t="s">
        <v>13</v>
      </c>
      <c r="H689" s="8">
        <v>64</v>
      </c>
      <c r="I689" s="7" t="s">
        <v>1018</v>
      </c>
      <c r="J689" s="7" t="s">
        <v>14</v>
      </c>
      <c r="K689" s="8">
        <v>2</v>
      </c>
      <c r="L689" s="7" t="s">
        <v>1024</v>
      </c>
      <c r="M689" s="10">
        <v>50</v>
      </c>
      <c r="N689" s="10">
        <v>100</v>
      </c>
    </row>
    <row r="690" spans="1:14" x14ac:dyDescent="0.2">
      <c r="A690" s="8">
        <v>689</v>
      </c>
      <c r="B690" s="5">
        <v>45176</v>
      </c>
      <c r="C690" s="7" t="s">
        <v>1047</v>
      </c>
      <c r="D690" s="8">
        <v>9</v>
      </c>
      <c r="E690" s="8">
        <v>2023</v>
      </c>
      <c r="F690" s="7" t="s">
        <v>848</v>
      </c>
      <c r="G690" s="7" t="s">
        <v>10</v>
      </c>
      <c r="H690" s="8">
        <v>37</v>
      </c>
      <c r="I690" s="7" t="s">
        <v>1017</v>
      </c>
      <c r="J690" s="7" t="s">
        <v>14</v>
      </c>
      <c r="K690" s="8">
        <v>4</v>
      </c>
      <c r="L690" s="7" t="s">
        <v>1025</v>
      </c>
      <c r="M690" s="10">
        <v>50</v>
      </c>
      <c r="N690" s="10">
        <v>200</v>
      </c>
    </row>
    <row r="691" spans="1:14" x14ac:dyDescent="0.2">
      <c r="A691" s="8">
        <v>690</v>
      </c>
      <c r="B691" s="5">
        <v>45177</v>
      </c>
      <c r="C691" s="7" t="s">
        <v>1047</v>
      </c>
      <c r="D691" s="8">
        <v>9</v>
      </c>
      <c r="E691" s="8">
        <v>2023</v>
      </c>
      <c r="F691" s="7" t="s">
        <v>196</v>
      </c>
      <c r="G691" s="7" t="s">
        <v>13</v>
      </c>
      <c r="H691" s="8">
        <v>43</v>
      </c>
      <c r="I691" s="7" t="s">
        <v>1017</v>
      </c>
      <c r="J691" s="7" t="s">
        <v>11</v>
      </c>
      <c r="K691" s="8">
        <v>3</v>
      </c>
      <c r="L691" s="7" t="s">
        <v>1022</v>
      </c>
      <c r="M691" s="10">
        <v>300</v>
      </c>
      <c r="N691" s="10">
        <v>900</v>
      </c>
    </row>
    <row r="692" spans="1:14" x14ac:dyDescent="0.2">
      <c r="A692" s="8">
        <v>691</v>
      </c>
      <c r="B692" s="5">
        <v>45177</v>
      </c>
      <c r="C692" s="7" t="s">
        <v>1047</v>
      </c>
      <c r="D692" s="8">
        <v>9</v>
      </c>
      <c r="E692" s="8">
        <v>2023</v>
      </c>
      <c r="F692" s="7" t="s">
        <v>426</v>
      </c>
      <c r="G692" s="7" t="s">
        <v>13</v>
      </c>
      <c r="H692" s="8">
        <v>44</v>
      </c>
      <c r="I692" s="7" t="s">
        <v>1017</v>
      </c>
      <c r="J692" s="7" t="s">
        <v>11</v>
      </c>
      <c r="K692" s="8">
        <v>3</v>
      </c>
      <c r="L692" s="7" t="s">
        <v>1022</v>
      </c>
      <c r="M692" s="10">
        <v>25</v>
      </c>
      <c r="N692" s="10">
        <v>75</v>
      </c>
    </row>
    <row r="693" spans="1:14" x14ac:dyDescent="0.2">
      <c r="A693" s="8">
        <v>692</v>
      </c>
      <c r="B693" s="5">
        <v>45177</v>
      </c>
      <c r="C693" s="7" t="s">
        <v>1047</v>
      </c>
      <c r="D693" s="8">
        <v>9</v>
      </c>
      <c r="E693" s="8">
        <v>2023</v>
      </c>
      <c r="F693" s="7" t="s">
        <v>812</v>
      </c>
      <c r="G693" s="7" t="s">
        <v>10</v>
      </c>
      <c r="H693" s="8">
        <v>56</v>
      </c>
      <c r="I693" s="7" t="s">
        <v>1018</v>
      </c>
      <c r="J693" s="7" t="s">
        <v>16</v>
      </c>
      <c r="K693" s="8">
        <v>2</v>
      </c>
      <c r="L693" s="7" t="s">
        <v>1024</v>
      </c>
      <c r="M693" s="10">
        <v>50</v>
      </c>
      <c r="N693" s="10">
        <v>100</v>
      </c>
    </row>
    <row r="694" spans="1:14" x14ac:dyDescent="0.2">
      <c r="A694" s="8">
        <v>693</v>
      </c>
      <c r="B694" s="5">
        <v>45177</v>
      </c>
      <c r="C694" s="7" t="s">
        <v>1047</v>
      </c>
      <c r="D694" s="8">
        <v>9</v>
      </c>
      <c r="E694" s="8">
        <v>2023</v>
      </c>
      <c r="F694" s="7" t="s">
        <v>864</v>
      </c>
      <c r="G694" s="7" t="s">
        <v>10</v>
      </c>
      <c r="H694" s="8">
        <v>32</v>
      </c>
      <c r="I694" s="7" t="s">
        <v>1021</v>
      </c>
      <c r="J694" s="7" t="s">
        <v>16</v>
      </c>
      <c r="K694" s="8">
        <v>2</v>
      </c>
      <c r="L694" s="7" t="s">
        <v>1024</v>
      </c>
      <c r="M694" s="10">
        <v>25</v>
      </c>
      <c r="N694" s="10">
        <v>50</v>
      </c>
    </row>
    <row r="695" spans="1:14" x14ac:dyDescent="0.2">
      <c r="A695" s="8">
        <v>694</v>
      </c>
      <c r="B695" s="5">
        <v>45178</v>
      </c>
      <c r="C695" s="7" t="s">
        <v>1047</v>
      </c>
      <c r="D695" s="8">
        <v>9</v>
      </c>
      <c r="E695" s="8">
        <v>2023</v>
      </c>
      <c r="F695" s="7" t="s">
        <v>871</v>
      </c>
      <c r="G695" s="7" t="s">
        <v>10</v>
      </c>
      <c r="H695" s="8">
        <v>23</v>
      </c>
      <c r="I695" s="7" t="s">
        <v>1021</v>
      </c>
      <c r="J695" s="7" t="s">
        <v>16</v>
      </c>
      <c r="K695" s="8">
        <v>2</v>
      </c>
      <c r="L695" s="7" t="s">
        <v>1024</v>
      </c>
      <c r="M695" s="10">
        <v>50</v>
      </c>
      <c r="N695" s="10">
        <v>100</v>
      </c>
    </row>
    <row r="696" spans="1:14" x14ac:dyDescent="0.2">
      <c r="A696" s="8">
        <v>695</v>
      </c>
      <c r="B696" s="5">
        <v>45178</v>
      </c>
      <c r="C696" s="7" t="s">
        <v>1047</v>
      </c>
      <c r="D696" s="8">
        <v>9</v>
      </c>
      <c r="E696" s="8">
        <v>2023</v>
      </c>
      <c r="F696" s="7" t="s">
        <v>932</v>
      </c>
      <c r="G696" s="7" t="s">
        <v>13</v>
      </c>
      <c r="H696" s="8">
        <v>22</v>
      </c>
      <c r="I696" s="7" t="s">
        <v>1021</v>
      </c>
      <c r="J696" s="7" t="s">
        <v>11</v>
      </c>
      <c r="K696" s="8">
        <v>2</v>
      </c>
      <c r="L696" s="7" t="s">
        <v>1024</v>
      </c>
      <c r="M696" s="10">
        <v>25</v>
      </c>
      <c r="N696" s="10">
        <v>50</v>
      </c>
    </row>
    <row r="697" spans="1:14" x14ac:dyDescent="0.2">
      <c r="A697" s="8">
        <v>696</v>
      </c>
      <c r="B697" s="5">
        <v>45178</v>
      </c>
      <c r="C697" s="7" t="s">
        <v>1047</v>
      </c>
      <c r="D697" s="8">
        <v>9</v>
      </c>
      <c r="E697" s="8">
        <v>2023</v>
      </c>
      <c r="F697" s="7" t="s">
        <v>948</v>
      </c>
      <c r="G697" s="7" t="s">
        <v>13</v>
      </c>
      <c r="H697" s="8">
        <v>34</v>
      </c>
      <c r="I697" s="7" t="s">
        <v>1021</v>
      </c>
      <c r="J697" s="7" t="s">
        <v>11</v>
      </c>
      <c r="K697" s="8">
        <v>1</v>
      </c>
      <c r="L697" s="7" t="s">
        <v>1023</v>
      </c>
      <c r="M697" s="10">
        <v>50</v>
      </c>
      <c r="N697" s="10">
        <v>50</v>
      </c>
    </row>
    <row r="698" spans="1:14" x14ac:dyDescent="0.2">
      <c r="A698" s="8">
        <v>697</v>
      </c>
      <c r="B698" s="5">
        <v>45179</v>
      </c>
      <c r="C698" s="7" t="s">
        <v>1047</v>
      </c>
      <c r="D698" s="8">
        <v>9</v>
      </c>
      <c r="E698" s="8">
        <v>2023</v>
      </c>
      <c r="F698" s="7" t="s">
        <v>145</v>
      </c>
      <c r="G698" s="7" t="s">
        <v>10</v>
      </c>
      <c r="H698" s="8">
        <v>42</v>
      </c>
      <c r="I698" s="7" t="s">
        <v>1017</v>
      </c>
      <c r="J698" s="7" t="s">
        <v>16</v>
      </c>
      <c r="K698" s="8">
        <v>4</v>
      </c>
      <c r="L698" s="7" t="s">
        <v>1025</v>
      </c>
      <c r="M698" s="10">
        <v>50</v>
      </c>
      <c r="N698" s="10">
        <v>200</v>
      </c>
    </row>
    <row r="699" spans="1:14" x14ac:dyDescent="0.2">
      <c r="A699" s="8">
        <v>698</v>
      </c>
      <c r="B699" s="5">
        <v>45180</v>
      </c>
      <c r="C699" s="7" t="s">
        <v>1047</v>
      </c>
      <c r="D699" s="8">
        <v>9</v>
      </c>
      <c r="E699" s="8">
        <v>2023</v>
      </c>
      <c r="F699" s="7" t="s">
        <v>617</v>
      </c>
      <c r="G699" s="7" t="s">
        <v>13</v>
      </c>
      <c r="H699" s="8">
        <v>29</v>
      </c>
      <c r="I699" s="7" t="s">
        <v>1021</v>
      </c>
      <c r="J699" s="7" t="s">
        <v>16</v>
      </c>
      <c r="K699" s="8">
        <v>4</v>
      </c>
      <c r="L699" s="7" t="s">
        <v>1025</v>
      </c>
      <c r="M699" s="10">
        <v>50</v>
      </c>
      <c r="N699" s="10">
        <v>200</v>
      </c>
    </row>
    <row r="700" spans="1:14" x14ac:dyDescent="0.2">
      <c r="A700" s="8">
        <v>699</v>
      </c>
      <c r="B700" s="5">
        <v>45180</v>
      </c>
      <c r="C700" s="7" t="s">
        <v>1047</v>
      </c>
      <c r="D700" s="8">
        <v>9</v>
      </c>
      <c r="E700" s="8">
        <v>2023</v>
      </c>
      <c r="F700" s="7" t="s">
        <v>845</v>
      </c>
      <c r="G700" s="7" t="s">
        <v>10</v>
      </c>
      <c r="H700" s="8">
        <v>47</v>
      </c>
      <c r="I700" s="7" t="s">
        <v>1019</v>
      </c>
      <c r="J700" s="7" t="s">
        <v>11</v>
      </c>
      <c r="K700" s="8">
        <v>4</v>
      </c>
      <c r="L700" s="7" t="s">
        <v>1025</v>
      </c>
      <c r="M700" s="10">
        <v>500</v>
      </c>
      <c r="N700" s="10">
        <v>2000</v>
      </c>
    </row>
    <row r="701" spans="1:14" x14ac:dyDescent="0.2">
      <c r="A701" s="8">
        <v>700</v>
      </c>
      <c r="B701" s="5">
        <v>45182</v>
      </c>
      <c r="C701" s="7" t="s">
        <v>1047</v>
      </c>
      <c r="D701" s="8">
        <v>9</v>
      </c>
      <c r="E701" s="8">
        <v>2023</v>
      </c>
      <c r="F701" s="7" t="s">
        <v>126</v>
      </c>
      <c r="G701" s="7" t="s">
        <v>13</v>
      </c>
      <c r="H701" s="8">
        <v>41</v>
      </c>
      <c r="I701" s="7" t="s">
        <v>1017</v>
      </c>
      <c r="J701" s="7" t="s">
        <v>16</v>
      </c>
      <c r="K701" s="8">
        <v>2</v>
      </c>
      <c r="L701" s="7" t="s">
        <v>1024</v>
      </c>
      <c r="M701" s="10">
        <v>25</v>
      </c>
      <c r="N701" s="10">
        <v>50</v>
      </c>
    </row>
    <row r="702" spans="1:14" x14ac:dyDescent="0.2">
      <c r="A702" s="8">
        <v>701</v>
      </c>
      <c r="B702" s="5">
        <v>45183</v>
      </c>
      <c r="C702" s="7" t="s">
        <v>1047</v>
      </c>
      <c r="D702" s="8">
        <v>9</v>
      </c>
      <c r="E702" s="8">
        <v>2023</v>
      </c>
      <c r="F702" s="7" t="s">
        <v>178</v>
      </c>
      <c r="G702" s="7" t="s">
        <v>13</v>
      </c>
      <c r="H702" s="8">
        <v>60</v>
      </c>
      <c r="I702" s="7" t="s">
        <v>1018</v>
      </c>
      <c r="J702" s="7" t="s">
        <v>14</v>
      </c>
      <c r="K702" s="8">
        <v>4</v>
      </c>
      <c r="L702" s="7" t="s">
        <v>1025</v>
      </c>
      <c r="M702" s="10">
        <v>300</v>
      </c>
      <c r="N702" s="10">
        <v>1200</v>
      </c>
    </row>
    <row r="703" spans="1:14" x14ac:dyDescent="0.2">
      <c r="A703" s="8">
        <v>702</v>
      </c>
      <c r="B703" s="5">
        <v>45184</v>
      </c>
      <c r="C703" s="7" t="s">
        <v>1047</v>
      </c>
      <c r="D703" s="8">
        <v>9</v>
      </c>
      <c r="E703" s="8">
        <v>2023</v>
      </c>
      <c r="F703" s="7" t="s">
        <v>339</v>
      </c>
      <c r="G703" s="7" t="s">
        <v>13</v>
      </c>
      <c r="H703" s="8">
        <v>18</v>
      </c>
      <c r="I703" s="7" t="s">
        <v>1020</v>
      </c>
      <c r="J703" s="7" t="s">
        <v>14</v>
      </c>
      <c r="K703" s="8">
        <v>3</v>
      </c>
      <c r="L703" s="7" t="s">
        <v>1022</v>
      </c>
      <c r="M703" s="10">
        <v>25</v>
      </c>
      <c r="N703" s="10">
        <v>75</v>
      </c>
    </row>
    <row r="704" spans="1:14" x14ac:dyDescent="0.2">
      <c r="A704" s="8">
        <v>703</v>
      </c>
      <c r="B704" s="5">
        <v>45185</v>
      </c>
      <c r="C704" s="7" t="s">
        <v>1047</v>
      </c>
      <c r="D704" s="8">
        <v>9</v>
      </c>
      <c r="E704" s="8">
        <v>2023</v>
      </c>
      <c r="F704" s="7" t="s">
        <v>32</v>
      </c>
      <c r="G704" s="7" t="s">
        <v>13</v>
      </c>
      <c r="H704" s="8">
        <v>62</v>
      </c>
      <c r="I704" s="7" t="s">
        <v>1018</v>
      </c>
      <c r="J704" s="7" t="s">
        <v>14</v>
      </c>
      <c r="K704" s="8">
        <v>2</v>
      </c>
      <c r="L704" s="7" t="s">
        <v>1024</v>
      </c>
      <c r="M704" s="10">
        <v>25</v>
      </c>
      <c r="N704" s="10">
        <v>50</v>
      </c>
    </row>
    <row r="705" spans="1:14" x14ac:dyDescent="0.2">
      <c r="A705" s="8">
        <v>704</v>
      </c>
      <c r="B705" s="5">
        <v>45185</v>
      </c>
      <c r="C705" s="7" t="s">
        <v>1047</v>
      </c>
      <c r="D705" s="8">
        <v>9</v>
      </c>
      <c r="E705" s="8">
        <v>2023</v>
      </c>
      <c r="F705" s="7" t="s">
        <v>425</v>
      </c>
      <c r="G705" s="7" t="s">
        <v>13</v>
      </c>
      <c r="H705" s="8">
        <v>19</v>
      </c>
      <c r="I705" s="7" t="s">
        <v>1021</v>
      </c>
      <c r="J705" s="7" t="s">
        <v>16</v>
      </c>
      <c r="K705" s="8">
        <v>4</v>
      </c>
      <c r="L705" s="7" t="s">
        <v>1025</v>
      </c>
      <c r="M705" s="10">
        <v>500</v>
      </c>
      <c r="N705" s="10">
        <v>2000</v>
      </c>
    </row>
    <row r="706" spans="1:14" x14ac:dyDescent="0.2">
      <c r="A706" s="8">
        <v>705</v>
      </c>
      <c r="B706" s="5">
        <v>45185</v>
      </c>
      <c r="C706" s="7" t="s">
        <v>1047</v>
      </c>
      <c r="D706" s="8">
        <v>9</v>
      </c>
      <c r="E706" s="8">
        <v>2023</v>
      </c>
      <c r="F706" s="7" t="s">
        <v>645</v>
      </c>
      <c r="G706" s="7" t="s">
        <v>13</v>
      </c>
      <c r="H706" s="8">
        <v>26</v>
      </c>
      <c r="I706" s="7" t="s">
        <v>1021</v>
      </c>
      <c r="J706" s="7" t="s">
        <v>16</v>
      </c>
      <c r="K706" s="8">
        <v>4</v>
      </c>
      <c r="L706" s="7" t="s">
        <v>1025</v>
      </c>
      <c r="M706" s="10">
        <v>25</v>
      </c>
      <c r="N706" s="10">
        <v>100</v>
      </c>
    </row>
    <row r="707" spans="1:14" x14ac:dyDescent="0.2">
      <c r="A707" s="8">
        <v>706</v>
      </c>
      <c r="B707" s="5">
        <v>45186</v>
      </c>
      <c r="C707" s="7" t="s">
        <v>1047</v>
      </c>
      <c r="D707" s="8">
        <v>9</v>
      </c>
      <c r="E707" s="8">
        <v>2023</v>
      </c>
      <c r="F707" s="7" t="s">
        <v>180</v>
      </c>
      <c r="G707" s="7" t="s">
        <v>13</v>
      </c>
      <c r="H707" s="8">
        <v>43</v>
      </c>
      <c r="I707" s="7" t="s">
        <v>1017</v>
      </c>
      <c r="J707" s="7" t="s">
        <v>14</v>
      </c>
      <c r="K707" s="8">
        <v>3</v>
      </c>
      <c r="L707" s="7" t="s">
        <v>1022</v>
      </c>
      <c r="M707" s="10">
        <v>50</v>
      </c>
      <c r="N707" s="10">
        <v>150</v>
      </c>
    </row>
    <row r="708" spans="1:14" x14ac:dyDescent="0.2">
      <c r="A708" s="8">
        <v>707</v>
      </c>
      <c r="B708" s="5">
        <v>45186</v>
      </c>
      <c r="C708" s="7" t="s">
        <v>1047</v>
      </c>
      <c r="D708" s="8">
        <v>9</v>
      </c>
      <c r="E708" s="8">
        <v>2023</v>
      </c>
      <c r="F708" s="7" t="s">
        <v>185</v>
      </c>
      <c r="G708" s="7" t="s">
        <v>10</v>
      </c>
      <c r="H708" s="8">
        <v>32</v>
      </c>
      <c r="I708" s="7" t="s">
        <v>1021</v>
      </c>
      <c r="J708" s="7" t="s">
        <v>11</v>
      </c>
      <c r="K708" s="8">
        <v>2</v>
      </c>
      <c r="L708" s="7" t="s">
        <v>1024</v>
      </c>
      <c r="M708" s="10">
        <v>25</v>
      </c>
      <c r="N708" s="10">
        <v>50</v>
      </c>
    </row>
    <row r="709" spans="1:14" x14ac:dyDescent="0.2">
      <c r="A709" s="8">
        <v>708</v>
      </c>
      <c r="B709" s="5">
        <v>45186</v>
      </c>
      <c r="C709" s="7" t="s">
        <v>1047</v>
      </c>
      <c r="D709" s="8">
        <v>9</v>
      </c>
      <c r="E709" s="8">
        <v>2023</v>
      </c>
      <c r="F709" s="7" t="s">
        <v>388</v>
      </c>
      <c r="G709" s="7" t="s">
        <v>10</v>
      </c>
      <c r="H709" s="8">
        <v>32</v>
      </c>
      <c r="I709" s="7" t="s">
        <v>1021</v>
      </c>
      <c r="J709" s="7" t="s">
        <v>14</v>
      </c>
      <c r="K709" s="8">
        <v>1</v>
      </c>
      <c r="L709" s="7" t="s">
        <v>1023</v>
      </c>
      <c r="M709" s="10">
        <v>50</v>
      </c>
      <c r="N709" s="10">
        <v>50</v>
      </c>
    </row>
    <row r="710" spans="1:14" x14ac:dyDescent="0.2">
      <c r="A710" s="8">
        <v>709</v>
      </c>
      <c r="B710" s="5">
        <v>45186</v>
      </c>
      <c r="C710" s="7" t="s">
        <v>1047</v>
      </c>
      <c r="D710" s="8">
        <v>9</v>
      </c>
      <c r="E710" s="8">
        <v>2023</v>
      </c>
      <c r="F710" s="7" t="s">
        <v>551</v>
      </c>
      <c r="G710" s="7" t="s">
        <v>10</v>
      </c>
      <c r="H710" s="8">
        <v>18</v>
      </c>
      <c r="I710" s="7" t="s">
        <v>1020</v>
      </c>
      <c r="J710" s="7" t="s">
        <v>14</v>
      </c>
      <c r="K710" s="8">
        <v>3</v>
      </c>
      <c r="L710" s="7" t="s">
        <v>1022</v>
      </c>
      <c r="M710" s="10">
        <v>50</v>
      </c>
      <c r="N710" s="10">
        <v>150</v>
      </c>
    </row>
    <row r="711" spans="1:14" x14ac:dyDescent="0.2">
      <c r="A711" s="8">
        <v>710</v>
      </c>
      <c r="B711" s="5">
        <v>45186</v>
      </c>
      <c r="C711" s="7" t="s">
        <v>1047</v>
      </c>
      <c r="D711" s="8">
        <v>9</v>
      </c>
      <c r="E711" s="8">
        <v>2023</v>
      </c>
      <c r="F711" s="7" t="s">
        <v>807</v>
      </c>
      <c r="G711" s="7" t="s">
        <v>13</v>
      </c>
      <c r="H711" s="8">
        <v>60</v>
      </c>
      <c r="I711" s="7" t="s">
        <v>1018</v>
      </c>
      <c r="J711" s="7" t="s">
        <v>11</v>
      </c>
      <c r="K711" s="8">
        <v>1</v>
      </c>
      <c r="L711" s="7" t="s">
        <v>1023</v>
      </c>
      <c r="M711" s="10">
        <v>300</v>
      </c>
      <c r="N711" s="10">
        <v>300</v>
      </c>
    </row>
    <row r="712" spans="1:14" x14ac:dyDescent="0.2">
      <c r="A712" s="8">
        <v>711</v>
      </c>
      <c r="B712" s="5">
        <v>45187</v>
      </c>
      <c r="C712" s="7" t="s">
        <v>1047</v>
      </c>
      <c r="D712" s="8">
        <v>9</v>
      </c>
      <c r="E712" s="8">
        <v>2023</v>
      </c>
      <c r="F712" s="7" t="s">
        <v>144</v>
      </c>
      <c r="G712" s="7" t="s">
        <v>13</v>
      </c>
      <c r="H712" s="8">
        <v>21</v>
      </c>
      <c r="I712" s="7" t="s">
        <v>1021</v>
      </c>
      <c r="J712" s="7" t="s">
        <v>11</v>
      </c>
      <c r="K712" s="8">
        <v>2</v>
      </c>
      <c r="L712" s="7" t="s">
        <v>1024</v>
      </c>
      <c r="M712" s="10">
        <v>300</v>
      </c>
      <c r="N712" s="10">
        <v>600</v>
      </c>
    </row>
    <row r="713" spans="1:14" x14ac:dyDescent="0.2">
      <c r="A713" s="8">
        <v>712</v>
      </c>
      <c r="B713" s="5">
        <v>45187</v>
      </c>
      <c r="C713" s="7" t="s">
        <v>1047</v>
      </c>
      <c r="D713" s="8">
        <v>9</v>
      </c>
      <c r="E713" s="8">
        <v>2023</v>
      </c>
      <c r="F713" s="7" t="s">
        <v>343</v>
      </c>
      <c r="G713" s="7" t="s">
        <v>13</v>
      </c>
      <c r="H713" s="8">
        <v>25</v>
      </c>
      <c r="I713" s="7" t="s">
        <v>1021</v>
      </c>
      <c r="J713" s="7" t="s">
        <v>11</v>
      </c>
      <c r="K713" s="8">
        <v>4</v>
      </c>
      <c r="L713" s="7" t="s">
        <v>1025</v>
      </c>
      <c r="M713" s="10">
        <v>50</v>
      </c>
      <c r="N713" s="10">
        <v>200</v>
      </c>
    </row>
    <row r="714" spans="1:14" x14ac:dyDescent="0.2">
      <c r="A714" s="8">
        <v>713</v>
      </c>
      <c r="B714" s="5">
        <v>45187</v>
      </c>
      <c r="C714" s="7" t="s">
        <v>1047</v>
      </c>
      <c r="D714" s="8">
        <v>9</v>
      </c>
      <c r="E714" s="8">
        <v>2023</v>
      </c>
      <c r="F714" s="7" t="s">
        <v>507</v>
      </c>
      <c r="G714" s="7" t="s">
        <v>13</v>
      </c>
      <c r="H714" s="8">
        <v>42</v>
      </c>
      <c r="I714" s="7" t="s">
        <v>1017</v>
      </c>
      <c r="J714" s="7" t="s">
        <v>11</v>
      </c>
      <c r="K714" s="8">
        <v>4</v>
      </c>
      <c r="L714" s="7" t="s">
        <v>1025</v>
      </c>
      <c r="M714" s="10">
        <v>50</v>
      </c>
      <c r="N714" s="10">
        <v>200</v>
      </c>
    </row>
    <row r="715" spans="1:14" x14ac:dyDescent="0.2">
      <c r="A715" s="8">
        <v>714</v>
      </c>
      <c r="B715" s="5">
        <v>45188</v>
      </c>
      <c r="C715" s="7" t="s">
        <v>1047</v>
      </c>
      <c r="D715" s="8">
        <v>9</v>
      </c>
      <c r="E715" s="8">
        <v>2023</v>
      </c>
      <c r="F715" s="7" t="s">
        <v>526</v>
      </c>
      <c r="G715" s="7" t="s">
        <v>10</v>
      </c>
      <c r="H715" s="8">
        <v>24</v>
      </c>
      <c r="I715" s="7" t="s">
        <v>1021</v>
      </c>
      <c r="J715" s="7" t="s">
        <v>16</v>
      </c>
      <c r="K715" s="8">
        <v>4</v>
      </c>
      <c r="L715" s="7" t="s">
        <v>1025</v>
      </c>
      <c r="M715" s="10">
        <v>25</v>
      </c>
      <c r="N715" s="10">
        <v>100</v>
      </c>
    </row>
    <row r="716" spans="1:14" x14ac:dyDescent="0.2">
      <c r="A716" s="8">
        <v>715</v>
      </c>
      <c r="B716" s="5">
        <v>45188</v>
      </c>
      <c r="C716" s="7" t="s">
        <v>1047</v>
      </c>
      <c r="D716" s="8">
        <v>9</v>
      </c>
      <c r="E716" s="8">
        <v>2023</v>
      </c>
      <c r="F716" s="7" t="s">
        <v>586</v>
      </c>
      <c r="G716" s="7" t="s">
        <v>10</v>
      </c>
      <c r="H716" s="8">
        <v>49</v>
      </c>
      <c r="I716" s="7" t="s">
        <v>1019</v>
      </c>
      <c r="J716" s="7" t="s">
        <v>11</v>
      </c>
      <c r="K716" s="8">
        <v>2</v>
      </c>
      <c r="L716" s="7" t="s">
        <v>1024</v>
      </c>
      <c r="M716" s="10">
        <v>30</v>
      </c>
      <c r="N716" s="10">
        <v>60</v>
      </c>
    </row>
    <row r="717" spans="1:14" x14ac:dyDescent="0.2">
      <c r="A717" s="8">
        <v>716</v>
      </c>
      <c r="B717" s="5">
        <v>45190</v>
      </c>
      <c r="C717" s="7" t="s">
        <v>1047</v>
      </c>
      <c r="D717" s="8">
        <v>9</v>
      </c>
      <c r="E717" s="8">
        <v>2023</v>
      </c>
      <c r="F717" s="7" t="s">
        <v>254</v>
      </c>
      <c r="G717" s="7" t="s">
        <v>13</v>
      </c>
      <c r="H717" s="8">
        <v>23</v>
      </c>
      <c r="I717" s="7" t="s">
        <v>1021</v>
      </c>
      <c r="J717" s="7" t="s">
        <v>16</v>
      </c>
      <c r="K717" s="8">
        <v>3</v>
      </c>
      <c r="L717" s="7" t="s">
        <v>1022</v>
      </c>
      <c r="M717" s="10">
        <v>25</v>
      </c>
      <c r="N717" s="10">
        <v>75</v>
      </c>
    </row>
    <row r="718" spans="1:14" x14ac:dyDescent="0.2">
      <c r="A718" s="8">
        <v>717</v>
      </c>
      <c r="B718" s="5">
        <v>45190</v>
      </c>
      <c r="C718" s="7" t="s">
        <v>1047</v>
      </c>
      <c r="D718" s="8">
        <v>9</v>
      </c>
      <c r="E718" s="8">
        <v>2023</v>
      </c>
      <c r="F718" s="7" t="s">
        <v>592</v>
      </c>
      <c r="G718" s="7" t="s">
        <v>13</v>
      </c>
      <c r="H718" s="8">
        <v>38</v>
      </c>
      <c r="I718" s="7" t="s">
        <v>1017</v>
      </c>
      <c r="J718" s="7" t="s">
        <v>16</v>
      </c>
      <c r="K718" s="8">
        <v>1</v>
      </c>
      <c r="L718" s="7" t="s">
        <v>1023</v>
      </c>
      <c r="M718" s="10">
        <v>30</v>
      </c>
      <c r="N718" s="10">
        <v>30</v>
      </c>
    </row>
    <row r="719" spans="1:14" x14ac:dyDescent="0.2">
      <c r="A719" s="8">
        <v>718</v>
      </c>
      <c r="B719" s="5">
        <v>45191</v>
      </c>
      <c r="C719" s="7" t="s">
        <v>1047</v>
      </c>
      <c r="D719" s="8">
        <v>9</v>
      </c>
      <c r="E719" s="8">
        <v>2023</v>
      </c>
      <c r="F719" s="7" t="s">
        <v>231</v>
      </c>
      <c r="G719" s="7" t="s">
        <v>10</v>
      </c>
      <c r="H719" s="8">
        <v>64</v>
      </c>
      <c r="I719" s="7" t="s">
        <v>1018</v>
      </c>
      <c r="J719" s="7" t="s">
        <v>11</v>
      </c>
      <c r="K719" s="8">
        <v>3</v>
      </c>
      <c r="L719" s="7" t="s">
        <v>1022</v>
      </c>
      <c r="M719" s="10">
        <v>30</v>
      </c>
      <c r="N719" s="10">
        <v>90</v>
      </c>
    </row>
    <row r="720" spans="1:14" x14ac:dyDescent="0.2">
      <c r="A720" s="8">
        <v>719</v>
      </c>
      <c r="B720" s="5">
        <v>45191</v>
      </c>
      <c r="C720" s="7" t="s">
        <v>1047</v>
      </c>
      <c r="D720" s="8">
        <v>9</v>
      </c>
      <c r="E720" s="8">
        <v>2023</v>
      </c>
      <c r="F720" s="7" t="s">
        <v>859</v>
      </c>
      <c r="G720" s="7" t="s">
        <v>10</v>
      </c>
      <c r="H720" s="8">
        <v>42</v>
      </c>
      <c r="I720" s="7" t="s">
        <v>1017</v>
      </c>
      <c r="J720" s="7" t="s">
        <v>11</v>
      </c>
      <c r="K720" s="8">
        <v>1</v>
      </c>
      <c r="L720" s="7" t="s">
        <v>1023</v>
      </c>
      <c r="M720" s="10">
        <v>50</v>
      </c>
      <c r="N720" s="10">
        <v>50</v>
      </c>
    </row>
    <row r="721" spans="1:14" x14ac:dyDescent="0.2">
      <c r="A721" s="8">
        <v>720</v>
      </c>
      <c r="B721" s="5">
        <v>45192</v>
      </c>
      <c r="C721" s="7" t="s">
        <v>1047</v>
      </c>
      <c r="D721" s="8">
        <v>9</v>
      </c>
      <c r="E721" s="8">
        <v>2023</v>
      </c>
      <c r="F721" s="7" t="s">
        <v>629</v>
      </c>
      <c r="G721" s="7" t="s">
        <v>10</v>
      </c>
      <c r="H721" s="8">
        <v>41</v>
      </c>
      <c r="I721" s="7" t="s">
        <v>1017</v>
      </c>
      <c r="J721" s="7" t="s">
        <v>14</v>
      </c>
      <c r="K721" s="8">
        <v>2</v>
      </c>
      <c r="L721" s="7" t="s">
        <v>1024</v>
      </c>
      <c r="M721" s="10">
        <v>50</v>
      </c>
      <c r="N721" s="10">
        <v>100</v>
      </c>
    </row>
    <row r="722" spans="1:14" x14ac:dyDescent="0.2">
      <c r="A722" s="8">
        <v>721</v>
      </c>
      <c r="B722" s="5">
        <v>45193</v>
      </c>
      <c r="C722" s="7" t="s">
        <v>1047</v>
      </c>
      <c r="D722" s="8">
        <v>9</v>
      </c>
      <c r="E722" s="8">
        <v>2023</v>
      </c>
      <c r="F722" s="7" t="s">
        <v>536</v>
      </c>
      <c r="G722" s="7" t="s">
        <v>13</v>
      </c>
      <c r="H722" s="8">
        <v>62</v>
      </c>
      <c r="I722" s="7" t="s">
        <v>1018</v>
      </c>
      <c r="J722" s="7" t="s">
        <v>16</v>
      </c>
      <c r="K722" s="8">
        <v>1</v>
      </c>
      <c r="L722" s="7" t="s">
        <v>1023</v>
      </c>
      <c r="M722" s="10">
        <v>300</v>
      </c>
      <c r="N722" s="10">
        <v>300</v>
      </c>
    </row>
    <row r="723" spans="1:14" x14ac:dyDescent="0.2">
      <c r="A723" s="8">
        <v>722</v>
      </c>
      <c r="B723" s="5">
        <v>45193</v>
      </c>
      <c r="C723" s="7" t="s">
        <v>1047</v>
      </c>
      <c r="D723" s="8">
        <v>9</v>
      </c>
      <c r="E723" s="8">
        <v>2023</v>
      </c>
      <c r="F723" s="7" t="s">
        <v>656</v>
      </c>
      <c r="G723" s="7" t="s">
        <v>13</v>
      </c>
      <c r="H723" s="8">
        <v>28</v>
      </c>
      <c r="I723" s="7" t="s">
        <v>1021</v>
      </c>
      <c r="J723" s="7" t="s">
        <v>16</v>
      </c>
      <c r="K723" s="8">
        <v>3</v>
      </c>
      <c r="L723" s="7" t="s">
        <v>1022</v>
      </c>
      <c r="M723" s="10">
        <v>30</v>
      </c>
      <c r="N723" s="10">
        <v>90</v>
      </c>
    </row>
    <row r="724" spans="1:14" x14ac:dyDescent="0.2">
      <c r="A724" s="8">
        <v>723</v>
      </c>
      <c r="B724" s="5">
        <v>45194</v>
      </c>
      <c r="C724" s="7" t="s">
        <v>1047</v>
      </c>
      <c r="D724" s="8">
        <v>9</v>
      </c>
      <c r="E724" s="8">
        <v>2023</v>
      </c>
      <c r="F724" s="7" t="s">
        <v>364</v>
      </c>
      <c r="G724" s="7" t="s">
        <v>13</v>
      </c>
      <c r="H724" s="8">
        <v>56</v>
      </c>
      <c r="I724" s="7" t="s">
        <v>1018</v>
      </c>
      <c r="J724" s="7" t="s">
        <v>14</v>
      </c>
      <c r="K724" s="8">
        <v>3</v>
      </c>
      <c r="L724" s="7" t="s">
        <v>1022</v>
      </c>
      <c r="M724" s="10">
        <v>30</v>
      </c>
      <c r="N724" s="10">
        <v>90</v>
      </c>
    </row>
    <row r="725" spans="1:14" x14ac:dyDescent="0.2">
      <c r="A725" s="8">
        <v>724</v>
      </c>
      <c r="B725" s="5">
        <v>45194</v>
      </c>
      <c r="C725" s="7" t="s">
        <v>1047</v>
      </c>
      <c r="D725" s="8">
        <v>9</v>
      </c>
      <c r="E725" s="8">
        <v>2023</v>
      </c>
      <c r="F725" s="7" t="s">
        <v>822</v>
      </c>
      <c r="G725" s="7" t="s">
        <v>13</v>
      </c>
      <c r="H725" s="8">
        <v>62</v>
      </c>
      <c r="I725" s="7" t="s">
        <v>1018</v>
      </c>
      <c r="J725" s="7" t="s">
        <v>11</v>
      </c>
      <c r="K725" s="8">
        <v>2</v>
      </c>
      <c r="L725" s="7" t="s">
        <v>1024</v>
      </c>
      <c r="M725" s="10">
        <v>50</v>
      </c>
      <c r="N725" s="10">
        <v>100</v>
      </c>
    </row>
    <row r="726" spans="1:14" x14ac:dyDescent="0.2">
      <c r="A726" s="8">
        <v>725</v>
      </c>
      <c r="B726" s="5">
        <v>45194</v>
      </c>
      <c r="C726" s="7" t="s">
        <v>1047</v>
      </c>
      <c r="D726" s="8">
        <v>9</v>
      </c>
      <c r="E726" s="8">
        <v>2023</v>
      </c>
      <c r="F726" s="7" t="s">
        <v>967</v>
      </c>
      <c r="G726" s="7" t="s">
        <v>13</v>
      </c>
      <c r="H726" s="8">
        <v>50</v>
      </c>
      <c r="I726" s="7" t="s">
        <v>1019</v>
      </c>
      <c r="J726" s="7" t="s">
        <v>16</v>
      </c>
      <c r="K726" s="8">
        <v>3</v>
      </c>
      <c r="L726" s="7" t="s">
        <v>1022</v>
      </c>
      <c r="M726" s="10">
        <v>300</v>
      </c>
      <c r="N726" s="10">
        <v>900</v>
      </c>
    </row>
    <row r="727" spans="1:14" x14ac:dyDescent="0.2">
      <c r="A727" s="8">
        <v>726</v>
      </c>
      <c r="B727" s="5">
        <v>45195</v>
      </c>
      <c r="C727" s="7" t="s">
        <v>1047</v>
      </c>
      <c r="D727" s="8">
        <v>9</v>
      </c>
      <c r="E727" s="8">
        <v>2023</v>
      </c>
      <c r="F727" s="7" t="s">
        <v>910</v>
      </c>
      <c r="G727" s="7" t="s">
        <v>13</v>
      </c>
      <c r="H727" s="8">
        <v>64</v>
      </c>
      <c r="I727" s="7" t="s">
        <v>1018</v>
      </c>
      <c r="J727" s="7" t="s">
        <v>16</v>
      </c>
      <c r="K727" s="8">
        <v>2</v>
      </c>
      <c r="L727" s="7" t="s">
        <v>1024</v>
      </c>
      <c r="M727" s="10">
        <v>50</v>
      </c>
      <c r="N727" s="10">
        <v>100</v>
      </c>
    </row>
    <row r="728" spans="1:14" x14ac:dyDescent="0.2">
      <c r="A728" s="8">
        <v>727</v>
      </c>
      <c r="B728" s="5">
        <v>45197</v>
      </c>
      <c r="C728" s="7" t="s">
        <v>1047</v>
      </c>
      <c r="D728" s="8">
        <v>9</v>
      </c>
      <c r="E728" s="8">
        <v>2023</v>
      </c>
      <c r="F728" s="7" t="s">
        <v>160</v>
      </c>
      <c r="G728" s="7" t="s">
        <v>10</v>
      </c>
      <c r="H728" s="8">
        <v>23</v>
      </c>
      <c r="I728" s="7" t="s">
        <v>1021</v>
      </c>
      <c r="J728" s="7" t="s">
        <v>16</v>
      </c>
      <c r="K728" s="8">
        <v>1</v>
      </c>
      <c r="L728" s="7" t="s">
        <v>1023</v>
      </c>
      <c r="M728" s="10">
        <v>300</v>
      </c>
      <c r="N728" s="10">
        <v>300</v>
      </c>
    </row>
    <row r="729" spans="1:14" x14ac:dyDescent="0.2">
      <c r="A729" s="8">
        <v>728</v>
      </c>
      <c r="B729" s="5">
        <v>45197</v>
      </c>
      <c r="C729" s="7" t="s">
        <v>1047</v>
      </c>
      <c r="D729" s="8">
        <v>9</v>
      </c>
      <c r="E729" s="8">
        <v>2023</v>
      </c>
      <c r="F729" s="7" t="s">
        <v>217</v>
      </c>
      <c r="G729" s="7" t="s">
        <v>10</v>
      </c>
      <c r="H729" s="8">
        <v>39</v>
      </c>
      <c r="I729" s="7" t="s">
        <v>1017</v>
      </c>
      <c r="J729" s="7" t="s">
        <v>11</v>
      </c>
      <c r="K729" s="8">
        <v>1</v>
      </c>
      <c r="L729" s="7" t="s">
        <v>1023</v>
      </c>
      <c r="M729" s="10">
        <v>25</v>
      </c>
      <c r="N729" s="10">
        <v>25</v>
      </c>
    </row>
    <row r="730" spans="1:14" x14ac:dyDescent="0.2">
      <c r="A730" s="8">
        <v>729</v>
      </c>
      <c r="B730" s="5">
        <v>45197</v>
      </c>
      <c r="C730" s="7" t="s">
        <v>1047</v>
      </c>
      <c r="D730" s="8">
        <v>9</v>
      </c>
      <c r="E730" s="8">
        <v>2023</v>
      </c>
      <c r="F730" s="7" t="s">
        <v>403</v>
      </c>
      <c r="G730" s="7" t="s">
        <v>10</v>
      </c>
      <c r="H730" s="8">
        <v>39</v>
      </c>
      <c r="I730" s="7" t="s">
        <v>1017</v>
      </c>
      <c r="J730" s="7" t="s">
        <v>16</v>
      </c>
      <c r="K730" s="8">
        <v>2</v>
      </c>
      <c r="L730" s="7" t="s">
        <v>1024</v>
      </c>
      <c r="M730" s="10">
        <v>50</v>
      </c>
      <c r="N730" s="10">
        <v>100</v>
      </c>
    </row>
    <row r="731" spans="1:14" x14ac:dyDescent="0.2">
      <c r="A731" s="8">
        <v>730</v>
      </c>
      <c r="B731" s="5">
        <v>45198</v>
      </c>
      <c r="C731" s="7" t="s">
        <v>1047</v>
      </c>
      <c r="D731" s="8">
        <v>9</v>
      </c>
      <c r="E731" s="8">
        <v>2023</v>
      </c>
      <c r="F731" s="7" t="s">
        <v>192</v>
      </c>
      <c r="G731" s="7" t="s">
        <v>10</v>
      </c>
      <c r="H731" s="8">
        <v>31</v>
      </c>
      <c r="I731" s="7" t="s">
        <v>1021</v>
      </c>
      <c r="J731" s="7" t="s">
        <v>16</v>
      </c>
      <c r="K731" s="8">
        <v>1</v>
      </c>
      <c r="L731" s="7" t="s">
        <v>1023</v>
      </c>
      <c r="M731" s="10">
        <v>300</v>
      </c>
      <c r="N731" s="10">
        <v>300</v>
      </c>
    </row>
    <row r="732" spans="1:14" x14ac:dyDescent="0.2">
      <c r="A732" s="8">
        <v>731</v>
      </c>
      <c r="B732" s="5">
        <v>45198</v>
      </c>
      <c r="C732" s="7" t="s">
        <v>1047</v>
      </c>
      <c r="D732" s="8">
        <v>9</v>
      </c>
      <c r="E732" s="8">
        <v>2023</v>
      </c>
      <c r="F732" s="7" t="s">
        <v>340</v>
      </c>
      <c r="G732" s="7" t="s">
        <v>10</v>
      </c>
      <c r="H732" s="8">
        <v>57</v>
      </c>
      <c r="I732" s="7" t="s">
        <v>1018</v>
      </c>
      <c r="J732" s="7" t="s">
        <v>16</v>
      </c>
      <c r="K732" s="8">
        <v>3</v>
      </c>
      <c r="L732" s="7" t="s">
        <v>1022</v>
      </c>
      <c r="M732" s="10">
        <v>50</v>
      </c>
      <c r="N732" s="10">
        <v>150</v>
      </c>
    </row>
    <row r="733" spans="1:14" x14ac:dyDescent="0.2">
      <c r="A733" s="8">
        <v>732</v>
      </c>
      <c r="B733" s="5">
        <v>45198</v>
      </c>
      <c r="C733" s="7" t="s">
        <v>1047</v>
      </c>
      <c r="D733" s="8">
        <v>9</v>
      </c>
      <c r="E733" s="8">
        <v>2023</v>
      </c>
      <c r="F733" s="7" t="s">
        <v>639</v>
      </c>
      <c r="G733" s="7" t="s">
        <v>13</v>
      </c>
      <c r="H733" s="8">
        <v>26</v>
      </c>
      <c r="I733" s="7" t="s">
        <v>1021</v>
      </c>
      <c r="J733" s="7" t="s">
        <v>14</v>
      </c>
      <c r="K733" s="8">
        <v>4</v>
      </c>
      <c r="L733" s="7" t="s">
        <v>1025</v>
      </c>
      <c r="M733" s="10">
        <v>500</v>
      </c>
      <c r="N733" s="10">
        <v>2000</v>
      </c>
    </row>
    <row r="734" spans="1:14" x14ac:dyDescent="0.2">
      <c r="A734" s="8">
        <v>733</v>
      </c>
      <c r="B734" s="5">
        <v>45198</v>
      </c>
      <c r="C734" s="7" t="s">
        <v>1047</v>
      </c>
      <c r="D734" s="8">
        <v>9</v>
      </c>
      <c r="E734" s="8">
        <v>2023</v>
      </c>
      <c r="F734" s="7" t="s">
        <v>886</v>
      </c>
      <c r="G734" s="7" t="s">
        <v>13</v>
      </c>
      <c r="H734" s="8">
        <v>27</v>
      </c>
      <c r="I734" s="7" t="s">
        <v>1021</v>
      </c>
      <c r="J734" s="7" t="s">
        <v>16</v>
      </c>
      <c r="K734" s="8">
        <v>4</v>
      </c>
      <c r="L734" s="7" t="s">
        <v>1025</v>
      </c>
      <c r="M734" s="10">
        <v>25</v>
      </c>
      <c r="N734" s="10">
        <v>100</v>
      </c>
    </row>
    <row r="735" spans="1:14" x14ac:dyDescent="0.2">
      <c r="A735" s="8">
        <v>734</v>
      </c>
      <c r="B735" s="5">
        <v>45199</v>
      </c>
      <c r="C735" s="7" t="s">
        <v>1047</v>
      </c>
      <c r="D735" s="8">
        <v>9</v>
      </c>
      <c r="E735" s="8">
        <v>2023</v>
      </c>
      <c r="F735" s="7" t="s">
        <v>209</v>
      </c>
      <c r="G735" s="7" t="s">
        <v>13</v>
      </c>
      <c r="H735" s="8">
        <v>32</v>
      </c>
      <c r="I735" s="7" t="s">
        <v>1021</v>
      </c>
      <c r="J735" s="7" t="s">
        <v>14</v>
      </c>
      <c r="K735" s="8">
        <v>3</v>
      </c>
      <c r="L735" s="7" t="s">
        <v>1022</v>
      </c>
      <c r="M735" s="10">
        <v>300</v>
      </c>
      <c r="N735" s="10">
        <v>900</v>
      </c>
    </row>
    <row r="736" spans="1:14" x14ac:dyDescent="0.2">
      <c r="A736" s="8">
        <v>735</v>
      </c>
      <c r="B736" s="5">
        <v>45199</v>
      </c>
      <c r="C736" s="7" t="s">
        <v>1047</v>
      </c>
      <c r="D736" s="8">
        <v>9</v>
      </c>
      <c r="E736" s="8">
        <v>2023</v>
      </c>
      <c r="F736" s="7" t="s">
        <v>802</v>
      </c>
      <c r="G736" s="7" t="s">
        <v>13</v>
      </c>
      <c r="H736" s="8">
        <v>61</v>
      </c>
      <c r="I736" s="7" t="s">
        <v>1018</v>
      </c>
      <c r="J736" s="7" t="s">
        <v>14</v>
      </c>
      <c r="K736" s="8">
        <v>4</v>
      </c>
      <c r="L736" s="7" t="s">
        <v>1025</v>
      </c>
      <c r="M736" s="10">
        <v>500</v>
      </c>
      <c r="N736" s="10">
        <v>2000</v>
      </c>
    </row>
    <row r="737" spans="1:14" x14ac:dyDescent="0.2">
      <c r="A737" s="8">
        <v>736</v>
      </c>
      <c r="B737" s="5">
        <v>45200</v>
      </c>
      <c r="C737" s="7" t="s">
        <v>1048</v>
      </c>
      <c r="D737" s="8">
        <v>10</v>
      </c>
      <c r="E737" s="8">
        <v>2023</v>
      </c>
      <c r="F737" s="7" t="s">
        <v>102</v>
      </c>
      <c r="G737" s="7" t="s">
        <v>13</v>
      </c>
      <c r="H737" s="8">
        <v>55</v>
      </c>
      <c r="I737" s="7" t="s">
        <v>1019</v>
      </c>
      <c r="J737" s="7" t="s">
        <v>16</v>
      </c>
      <c r="K737" s="8">
        <v>4</v>
      </c>
      <c r="L737" s="7" t="s">
        <v>1025</v>
      </c>
      <c r="M737" s="10">
        <v>500</v>
      </c>
      <c r="N737" s="10">
        <v>2000</v>
      </c>
    </row>
    <row r="738" spans="1:14" x14ac:dyDescent="0.2">
      <c r="A738" s="8">
        <v>737</v>
      </c>
      <c r="B738" s="5">
        <v>45200</v>
      </c>
      <c r="C738" s="7" t="s">
        <v>1048</v>
      </c>
      <c r="D738" s="8">
        <v>10</v>
      </c>
      <c r="E738" s="8">
        <v>2023</v>
      </c>
      <c r="F738" s="7" t="s">
        <v>720</v>
      </c>
      <c r="G738" s="7" t="s">
        <v>13</v>
      </c>
      <c r="H738" s="8">
        <v>26</v>
      </c>
      <c r="I738" s="7" t="s">
        <v>1021</v>
      </c>
      <c r="J738" s="7" t="s">
        <v>14</v>
      </c>
      <c r="K738" s="8">
        <v>1</v>
      </c>
      <c r="L738" s="7" t="s">
        <v>1023</v>
      </c>
      <c r="M738" s="10">
        <v>500</v>
      </c>
      <c r="N738" s="10">
        <v>500</v>
      </c>
    </row>
    <row r="739" spans="1:14" x14ac:dyDescent="0.2">
      <c r="A739" s="8">
        <v>738</v>
      </c>
      <c r="B739" s="5">
        <v>45200</v>
      </c>
      <c r="C739" s="7" t="s">
        <v>1048</v>
      </c>
      <c r="D739" s="8">
        <v>10</v>
      </c>
      <c r="E739" s="8">
        <v>2023</v>
      </c>
      <c r="F739" s="7" t="s">
        <v>922</v>
      </c>
      <c r="G739" s="7" t="s">
        <v>10</v>
      </c>
      <c r="H739" s="8">
        <v>26</v>
      </c>
      <c r="I739" s="7" t="s">
        <v>1021</v>
      </c>
      <c r="J739" s="7" t="s">
        <v>16</v>
      </c>
      <c r="K739" s="8">
        <v>1</v>
      </c>
      <c r="L739" s="7" t="s">
        <v>1023</v>
      </c>
      <c r="M739" s="10">
        <v>300</v>
      </c>
      <c r="N739" s="10">
        <v>300</v>
      </c>
    </row>
    <row r="740" spans="1:14" x14ac:dyDescent="0.2">
      <c r="A740" s="8">
        <v>739</v>
      </c>
      <c r="B740" s="5">
        <v>45201</v>
      </c>
      <c r="C740" s="7" t="s">
        <v>1048</v>
      </c>
      <c r="D740" s="8">
        <v>10</v>
      </c>
      <c r="E740" s="8">
        <v>2023</v>
      </c>
      <c r="F740" s="7" t="s">
        <v>64</v>
      </c>
      <c r="G740" s="7" t="s">
        <v>10</v>
      </c>
      <c r="H740" s="8">
        <v>27</v>
      </c>
      <c r="I740" s="7" t="s">
        <v>1021</v>
      </c>
      <c r="J740" s="7" t="s">
        <v>11</v>
      </c>
      <c r="K740" s="8">
        <v>3</v>
      </c>
      <c r="L740" s="7" t="s">
        <v>1022</v>
      </c>
      <c r="M740" s="10">
        <v>25</v>
      </c>
      <c r="N740" s="10">
        <v>75</v>
      </c>
    </row>
    <row r="741" spans="1:14" x14ac:dyDescent="0.2">
      <c r="A741" s="8">
        <v>740</v>
      </c>
      <c r="B741" s="5">
        <v>45201</v>
      </c>
      <c r="C741" s="7" t="s">
        <v>1048</v>
      </c>
      <c r="D741" s="8">
        <v>10</v>
      </c>
      <c r="E741" s="8">
        <v>2023</v>
      </c>
      <c r="F741" s="7" t="s">
        <v>167</v>
      </c>
      <c r="G741" s="7" t="s">
        <v>10</v>
      </c>
      <c r="H741" s="8">
        <v>51</v>
      </c>
      <c r="I741" s="7" t="s">
        <v>1019</v>
      </c>
      <c r="J741" s="7" t="s">
        <v>16</v>
      </c>
      <c r="K741" s="8">
        <v>3</v>
      </c>
      <c r="L741" s="7" t="s">
        <v>1022</v>
      </c>
      <c r="M741" s="10">
        <v>300</v>
      </c>
      <c r="N741" s="10">
        <v>900</v>
      </c>
    </row>
    <row r="742" spans="1:14" x14ac:dyDescent="0.2">
      <c r="A742" s="8">
        <v>741</v>
      </c>
      <c r="B742" s="5">
        <v>45201</v>
      </c>
      <c r="C742" s="7" t="s">
        <v>1048</v>
      </c>
      <c r="D742" s="8">
        <v>10</v>
      </c>
      <c r="E742" s="8">
        <v>2023</v>
      </c>
      <c r="F742" s="7" t="s">
        <v>289</v>
      </c>
      <c r="G742" s="7" t="s">
        <v>13</v>
      </c>
      <c r="H742" s="8">
        <v>21</v>
      </c>
      <c r="I742" s="7" t="s">
        <v>1021</v>
      </c>
      <c r="J742" s="7" t="s">
        <v>11</v>
      </c>
      <c r="K742" s="8">
        <v>4</v>
      </c>
      <c r="L742" s="7" t="s">
        <v>1025</v>
      </c>
      <c r="M742" s="10">
        <v>25</v>
      </c>
      <c r="N742" s="10">
        <v>100</v>
      </c>
    </row>
    <row r="743" spans="1:14" x14ac:dyDescent="0.2">
      <c r="A743" s="8">
        <v>742</v>
      </c>
      <c r="B743" s="5">
        <v>45201</v>
      </c>
      <c r="C743" s="7" t="s">
        <v>1048</v>
      </c>
      <c r="D743" s="8">
        <v>10</v>
      </c>
      <c r="E743" s="8">
        <v>2023</v>
      </c>
      <c r="F743" s="7" t="s">
        <v>510</v>
      </c>
      <c r="G743" s="7" t="s">
        <v>10</v>
      </c>
      <c r="H743" s="8">
        <v>41</v>
      </c>
      <c r="I743" s="7" t="s">
        <v>1017</v>
      </c>
      <c r="J743" s="7" t="s">
        <v>14</v>
      </c>
      <c r="K743" s="8">
        <v>4</v>
      </c>
      <c r="L743" s="7" t="s">
        <v>1025</v>
      </c>
      <c r="M743" s="10">
        <v>30</v>
      </c>
      <c r="N743" s="10">
        <v>120</v>
      </c>
    </row>
    <row r="744" spans="1:14" x14ac:dyDescent="0.2">
      <c r="A744" s="8">
        <v>743</v>
      </c>
      <c r="B744" s="5">
        <v>45201</v>
      </c>
      <c r="C744" s="7" t="s">
        <v>1048</v>
      </c>
      <c r="D744" s="8">
        <v>10</v>
      </c>
      <c r="E744" s="8">
        <v>2023</v>
      </c>
      <c r="F744" s="7" t="s">
        <v>902</v>
      </c>
      <c r="G744" s="7" t="s">
        <v>13</v>
      </c>
      <c r="H744" s="8">
        <v>35</v>
      </c>
      <c r="I744" s="7" t="s">
        <v>1017</v>
      </c>
      <c r="J744" s="7" t="s">
        <v>16</v>
      </c>
      <c r="K744" s="8">
        <v>1</v>
      </c>
      <c r="L744" s="7" t="s">
        <v>1023</v>
      </c>
      <c r="M744" s="10">
        <v>50</v>
      </c>
      <c r="N744" s="10">
        <v>50</v>
      </c>
    </row>
    <row r="745" spans="1:14" x14ac:dyDescent="0.2">
      <c r="A745" s="8">
        <v>744</v>
      </c>
      <c r="B745" s="5">
        <v>45202</v>
      </c>
      <c r="C745" s="7" t="s">
        <v>1048</v>
      </c>
      <c r="D745" s="8">
        <v>10</v>
      </c>
      <c r="E745" s="8">
        <v>2023</v>
      </c>
      <c r="F745" s="7" t="s">
        <v>135</v>
      </c>
      <c r="G745" s="7" t="s">
        <v>10</v>
      </c>
      <c r="H745" s="8">
        <v>64</v>
      </c>
      <c r="I745" s="7" t="s">
        <v>1018</v>
      </c>
      <c r="J745" s="7" t="s">
        <v>16</v>
      </c>
      <c r="K745" s="8">
        <v>4</v>
      </c>
      <c r="L745" s="7" t="s">
        <v>1025</v>
      </c>
      <c r="M745" s="10">
        <v>30</v>
      </c>
      <c r="N745" s="10">
        <v>120</v>
      </c>
    </row>
    <row r="746" spans="1:14" x14ac:dyDescent="0.2">
      <c r="A746" s="8">
        <v>745</v>
      </c>
      <c r="B746" s="5">
        <v>45202</v>
      </c>
      <c r="C746" s="7" t="s">
        <v>1048</v>
      </c>
      <c r="D746" s="8">
        <v>10</v>
      </c>
      <c r="E746" s="8">
        <v>2023</v>
      </c>
      <c r="F746" s="7" t="s">
        <v>386</v>
      </c>
      <c r="G746" s="7" t="s">
        <v>13</v>
      </c>
      <c r="H746" s="8">
        <v>25</v>
      </c>
      <c r="I746" s="7" t="s">
        <v>1021</v>
      </c>
      <c r="J746" s="7" t="s">
        <v>11</v>
      </c>
      <c r="K746" s="8">
        <v>2</v>
      </c>
      <c r="L746" s="7" t="s">
        <v>1024</v>
      </c>
      <c r="M746" s="10">
        <v>300</v>
      </c>
      <c r="N746" s="10">
        <v>600</v>
      </c>
    </row>
    <row r="747" spans="1:14" x14ac:dyDescent="0.2">
      <c r="A747" s="8">
        <v>746</v>
      </c>
      <c r="B747" s="5">
        <v>45202</v>
      </c>
      <c r="C747" s="7" t="s">
        <v>1048</v>
      </c>
      <c r="D747" s="8">
        <v>10</v>
      </c>
      <c r="E747" s="8">
        <v>2023</v>
      </c>
      <c r="F747" s="7" t="s">
        <v>537</v>
      </c>
      <c r="G747" s="7" t="s">
        <v>10</v>
      </c>
      <c r="H747" s="8">
        <v>46</v>
      </c>
      <c r="I747" s="7" t="s">
        <v>1019</v>
      </c>
      <c r="J747" s="7" t="s">
        <v>11</v>
      </c>
      <c r="K747" s="8">
        <v>4</v>
      </c>
      <c r="L747" s="7" t="s">
        <v>1025</v>
      </c>
      <c r="M747" s="10">
        <v>300</v>
      </c>
      <c r="N747" s="10">
        <v>1200</v>
      </c>
    </row>
    <row r="748" spans="1:14" x14ac:dyDescent="0.2">
      <c r="A748" s="8">
        <v>747</v>
      </c>
      <c r="B748" s="5">
        <v>45202</v>
      </c>
      <c r="C748" s="7" t="s">
        <v>1048</v>
      </c>
      <c r="D748" s="8">
        <v>10</v>
      </c>
      <c r="E748" s="8">
        <v>2023</v>
      </c>
      <c r="F748" s="7" t="s">
        <v>701</v>
      </c>
      <c r="G748" s="7" t="s">
        <v>10</v>
      </c>
      <c r="H748" s="8">
        <v>56</v>
      </c>
      <c r="I748" s="7" t="s">
        <v>1018</v>
      </c>
      <c r="J748" s="7" t="s">
        <v>14</v>
      </c>
      <c r="K748" s="8">
        <v>4</v>
      </c>
      <c r="L748" s="7" t="s">
        <v>1025</v>
      </c>
      <c r="M748" s="10">
        <v>25</v>
      </c>
      <c r="N748" s="10">
        <v>100</v>
      </c>
    </row>
    <row r="749" spans="1:14" x14ac:dyDescent="0.2">
      <c r="A749" s="8">
        <v>748</v>
      </c>
      <c r="B749" s="5">
        <v>45202</v>
      </c>
      <c r="C749" s="7" t="s">
        <v>1048</v>
      </c>
      <c r="D749" s="8">
        <v>10</v>
      </c>
      <c r="E749" s="8">
        <v>2023</v>
      </c>
      <c r="F749" s="7" t="s">
        <v>826</v>
      </c>
      <c r="G749" s="7" t="s">
        <v>10</v>
      </c>
      <c r="H749" s="8">
        <v>52</v>
      </c>
      <c r="I749" s="7" t="s">
        <v>1019</v>
      </c>
      <c r="J749" s="7" t="s">
        <v>16</v>
      </c>
      <c r="K749" s="8">
        <v>3</v>
      </c>
      <c r="L749" s="7" t="s">
        <v>1022</v>
      </c>
      <c r="M749" s="10">
        <v>50</v>
      </c>
      <c r="N749" s="10">
        <v>150</v>
      </c>
    </row>
    <row r="750" spans="1:14" x14ac:dyDescent="0.2">
      <c r="A750" s="8">
        <v>749</v>
      </c>
      <c r="B750" s="5">
        <v>45203</v>
      </c>
      <c r="C750" s="7" t="s">
        <v>1048</v>
      </c>
      <c r="D750" s="8">
        <v>10</v>
      </c>
      <c r="E750" s="8">
        <v>2023</v>
      </c>
      <c r="F750" s="7" t="s">
        <v>191</v>
      </c>
      <c r="G750" s="7" t="s">
        <v>10</v>
      </c>
      <c r="H750" s="8">
        <v>40</v>
      </c>
      <c r="I750" s="7" t="s">
        <v>1017</v>
      </c>
      <c r="J750" s="7" t="s">
        <v>14</v>
      </c>
      <c r="K750" s="8">
        <v>2</v>
      </c>
      <c r="L750" s="7" t="s">
        <v>1024</v>
      </c>
      <c r="M750" s="10">
        <v>30</v>
      </c>
      <c r="N750" s="10">
        <v>60</v>
      </c>
    </row>
    <row r="751" spans="1:14" x14ac:dyDescent="0.2">
      <c r="A751" s="8">
        <v>750</v>
      </c>
      <c r="B751" s="5">
        <v>45203</v>
      </c>
      <c r="C751" s="7" t="s">
        <v>1048</v>
      </c>
      <c r="D751" s="8">
        <v>10</v>
      </c>
      <c r="E751" s="8">
        <v>2023</v>
      </c>
      <c r="F751" s="7" t="s">
        <v>221</v>
      </c>
      <c r="G751" s="7" t="s">
        <v>13</v>
      </c>
      <c r="H751" s="8">
        <v>34</v>
      </c>
      <c r="I751" s="7" t="s">
        <v>1021</v>
      </c>
      <c r="J751" s="7" t="s">
        <v>16</v>
      </c>
      <c r="K751" s="8">
        <v>4</v>
      </c>
      <c r="L751" s="7" t="s">
        <v>1025</v>
      </c>
      <c r="M751" s="10">
        <v>50</v>
      </c>
      <c r="N751" s="10">
        <v>200</v>
      </c>
    </row>
    <row r="752" spans="1:14" x14ac:dyDescent="0.2">
      <c r="A752" s="8">
        <v>751</v>
      </c>
      <c r="B752" s="5">
        <v>45203</v>
      </c>
      <c r="C752" s="7" t="s">
        <v>1048</v>
      </c>
      <c r="D752" s="8">
        <v>10</v>
      </c>
      <c r="E752" s="8">
        <v>2023</v>
      </c>
      <c r="F752" s="7" t="s">
        <v>260</v>
      </c>
      <c r="G752" s="7" t="s">
        <v>10</v>
      </c>
      <c r="H752" s="8">
        <v>41</v>
      </c>
      <c r="I752" s="7" t="s">
        <v>1017</v>
      </c>
      <c r="J752" s="7" t="s">
        <v>16</v>
      </c>
      <c r="K752" s="8">
        <v>2</v>
      </c>
      <c r="L752" s="7" t="s">
        <v>1024</v>
      </c>
      <c r="M752" s="10">
        <v>30</v>
      </c>
      <c r="N752" s="10">
        <v>60</v>
      </c>
    </row>
    <row r="753" spans="1:14" x14ac:dyDescent="0.2">
      <c r="A753" s="8">
        <v>752</v>
      </c>
      <c r="B753" s="5">
        <v>45203</v>
      </c>
      <c r="C753" s="7" t="s">
        <v>1048</v>
      </c>
      <c r="D753" s="8">
        <v>10</v>
      </c>
      <c r="E753" s="8">
        <v>2023</v>
      </c>
      <c r="F753" s="7" t="s">
        <v>303</v>
      </c>
      <c r="G753" s="7" t="s">
        <v>13</v>
      </c>
      <c r="H753" s="8">
        <v>30</v>
      </c>
      <c r="I753" s="7" t="s">
        <v>1021</v>
      </c>
      <c r="J753" s="7" t="s">
        <v>11</v>
      </c>
      <c r="K753" s="8">
        <v>2</v>
      </c>
      <c r="L753" s="7" t="s">
        <v>1024</v>
      </c>
      <c r="M753" s="10">
        <v>300</v>
      </c>
      <c r="N753" s="10">
        <v>600</v>
      </c>
    </row>
    <row r="754" spans="1:14" x14ac:dyDescent="0.2">
      <c r="A754" s="8">
        <v>753</v>
      </c>
      <c r="B754" s="5">
        <v>45203</v>
      </c>
      <c r="C754" s="7" t="s">
        <v>1048</v>
      </c>
      <c r="D754" s="8">
        <v>10</v>
      </c>
      <c r="E754" s="8">
        <v>2023</v>
      </c>
      <c r="F754" s="7" t="s">
        <v>669</v>
      </c>
      <c r="G754" s="7" t="s">
        <v>10</v>
      </c>
      <c r="H754" s="8">
        <v>29</v>
      </c>
      <c r="I754" s="7" t="s">
        <v>1021</v>
      </c>
      <c r="J754" s="7" t="s">
        <v>11</v>
      </c>
      <c r="K754" s="8">
        <v>3</v>
      </c>
      <c r="L754" s="7" t="s">
        <v>1022</v>
      </c>
      <c r="M754" s="10">
        <v>30</v>
      </c>
      <c r="N754" s="10">
        <v>90</v>
      </c>
    </row>
    <row r="755" spans="1:14" x14ac:dyDescent="0.2">
      <c r="A755" s="8">
        <v>754</v>
      </c>
      <c r="B755" s="5">
        <v>45203</v>
      </c>
      <c r="C755" s="7" t="s">
        <v>1048</v>
      </c>
      <c r="D755" s="8">
        <v>10</v>
      </c>
      <c r="E755" s="8">
        <v>2023</v>
      </c>
      <c r="F755" s="7" t="s">
        <v>748</v>
      </c>
      <c r="G755" s="7" t="s">
        <v>13</v>
      </c>
      <c r="H755" s="8">
        <v>64</v>
      </c>
      <c r="I755" s="7" t="s">
        <v>1018</v>
      </c>
      <c r="J755" s="7" t="s">
        <v>14</v>
      </c>
      <c r="K755" s="8">
        <v>4</v>
      </c>
      <c r="L755" s="7" t="s">
        <v>1025</v>
      </c>
      <c r="M755" s="10">
        <v>500</v>
      </c>
      <c r="N755" s="10">
        <v>2000</v>
      </c>
    </row>
    <row r="756" spans="1:14" x14ac:dyDescent="0.2">
      <c r="A756" s="8">
        <v>755</v>
      </c>
      <c r="B756" s="5">
        <v>45204</v>
      </c>
      <c r="C756" s="7" t="s">
        <v>1048</v>
      </c>
      <c r="D756" s="8">
        <v>10</v>
      </c>
      <c r="E756" s="8">
        <v>2023</v>
      </c>
      <c r="F756" s="7" t="s">
        <v>332</v>
      </c>
      <c r="G756" s="7" t="s">
        <v>10</v>
      </c>
      <c r="H756" s="8">
        <v>31</v>
      </c>
      <c r="I756" s="7" t="s">
        <v>1021</v>
      </c>
      <c r="J756" s="7" t="s">
        <v>14</v>
      </c>
      <c r="K756" s="8">
        <v>1</v>
      </c>
      <c r="L756" s="7" t="s">
        <v>1023</v>
      </c>
      <c r="M756" s="10">
        <v>500</v>
      </c>
      <c r="N756" s="10">
        <v>500</v>
      </c>
    </row>
    <row r="757" spans="1:14" x14ac:dyDescent="0.2">
      <c r="A757" s="8">
        <v>756</v>
      </c>
      <c r="B757" s="5">
        <v>45204</v>
      </c>
      <c r="C757" s="7" t="s">
        <v>1048</v>
      </c>
      <c r="D757" s="8">
        <v>10</v>
      </c>
      <c r="E757" s="8">
        <v>2023</v>
      </c>
      <c r="F757" s="7" t="s">
        <v>683</v>
      </c>
      <c r="G757" s="7" t="s">
        <v>10</v>
      </c>
      <c r="H757" s="8">
        <v>27</v>
      </c>
      <c r="I757" s="7" t="s">
        <v>1021</v>
      </c>
      <c r="J757" s="7" t="s">
        <v>11</v>
      </c>
      <c r="K757" s="8">
        <v>1</v>
      </c>
      <c r="L757" s="7" t="s">
        <v>1023</v>
      </c>
      <c r="M757" s="10">
        <v>30</v>
      </c>
      <c r="N757" s="10">
        <v>30</v>
      </c>
    </row>
    <row r="758" spans="1:14" x14ac:dyDescent="0.2">
      <c r="A758" s="8">
        <v>757</v>
      </c>
      <c r="B758" s="5">
        <v>45205</v>
      </c>
      <c r="C758" s="7" t="s">
        <v>1048</v>
      </c>
      <c r="D758" s="8">
        <v>10</v>
      </c>
      <c r="E758" s="8">
        <v>2023</v>
      </c>
      <c r="F758" s="7" t="s">
        <v>398</v>
      </c>
      <c r="G758" s="7" t="s">
        <v>10</v>
      </c>
      <c r="H758" s="8">
        <v>50</v>
      </c>
      <c r="I758" s="7" t="s">
        <v>1019</v>
      </c>
      <c r="J758" s="7" t="s">
        <v>16</v>
      </c>
      <c r="K758" s="8">
        <v>3</v>
      </c>
      <c r="L758" s="7" t="s">
        <v>1022</v>
      </c>
      <c r="M758" s="10">
        <v>500</v>
      </c>
      <c r="N758" s="10">
        <v>1500</v>
      </c>
    </row>
    <row r="759" spans="1:14" x14ac:dyDescent="0.2">
      <c r="A759" s="8">
        <v>758</v>
      </c>
      <c r="B759" s="5">
        <v>45206</v>
      </c>
      <c r="C759" s="7" t="s">
        <v>1048</v>
      </c>
      <c r="D759" s="8">
        <v>10</v>
      </c>
      <c r="E759" s="8">
        <v>2023</v>
      </c>
      <c r="F759" s="7" t="s">
        <v>23</v>
      </c>
      <c r="G759" s="7" t="s">
        <v>13</v>
      </c>
      <c r="H759" s="8">
        <v>52</v>
      </c>
      <c r="I759" s="7" t="s">
        <v>1019</v>
      </c>
      <c r="J759" s="7" t="s">
        <v>14</v>
      </c>
      <c r="K759" s="8">
        <v>4</v>
      </c>
      <c r="L759" s="7" t="s">
        <v>1025</v>
      </c>
      <c r="M759" s="10">
        <v>50</v>
      </c>
      <c r="N759" s="10">
        <v>200</v>
      </c>
    </row>
    <row r="760" spans="1:14" x14ac:dyDescent="0.2">
      <c r="A760" s="8">
        <v>759</v>
      </c>
      <c r="B760" s="5">
        <v>45206</v>
      </c>
      <c r="C760" s="7" t="s">
        <v>1048</v>
      </c>
      <c r="D760" s="8">
        <v>10</v>
      </c>
      <c r="E760" s="8">
        <v>2023</v>
      </c>
      <c r="F760" s="7" t="s">
        <v>39</v>
      </c>
      <c r="G760" s="7" t="s">
        <v>13</v>
      </c>
      <c r="H760" s="8">
        <v>28</v>
      </c>
      <c r="I760" s="7" t="s">
        <v>1021</v>
      </c>
      <c r="J760" s="7" t="s">
        <v>16</v>
      </c>
      <c r="K760" s="8">
        <v>2</v>
      </c>
      <c r="L760" s="7" t="s">
        <v>1024</v>
      </c>
      <c r="M760" s="10">
        <v>500</v>
      </c>
      <c r="N760" s="10">
        <v>1000</v>
      </c>
    </row>
    <row r="761" spans="1:14" x14ac:dyDescent="0.2">
      <c r="A761" s="8">
        <v>760</v>
      </c>
      <c r="B761" s="5">
        <v>45206</v>
      </c>
      <c r="C761" s="7" t="s">
        <v>1048</v>
      </c>
      <c r="D761" s="8">
        <v>10</v>
      </c>
      <c r="E761" s="8">
        <v>2023</v>
      </c>
      <c r="F761" s="7" t="s">
        <v>450</v>
      </c>
      <c r="G761" s="7" t="s">
        <v>13</v>
      </c>
      <c r="H761" s="8">
        <v>35</v>
      </c>
      <c r="I761" s="7" t="s">
        <v>1017</v>
      </c>
      <c r="J761" s="7" t="s">
        <v>16</v>
      </c>
      <c r="K761" s="8">
        <v>4</v>
      </c>
      <c r="L761" s="7" t="s">
        <v>1025</v>
      </c>
      <c r="M761" s="10">
        <v>300</v>
      </c>
      <c r="N761" s="10">
        <v>1200</v>
      </c>
    </row>
    <row r="762" spans="1:14" x14ac:dyDescent="0.2">
      <c r="A762" s="8">
        <v>761</v>
      </c>
      <c r="B762" s="5">
        <v>45206</v>
      </c>
      <c r="C762" s="7" t="s">
        <v>1048</v>
      </c>
      <c r="D762" s="8">
        <v>10</v>
      </c>
      <c r="E762" s="8">
        <v>2023</v>
      </c>
      <c r="F762" s="7" t="s">
        <v>702</v>
      </c>
      <c r="G762" s="7" t="s">
        <v>10</v>
      </c>
      <c r="H762" s="8">
        <v>57</v>
      </c>
      <c r="I762" s="7" t="s">
        <v>1018</v>
      </c>
      <c r="J762" s="7" t="s">
        <v>16</v>
      </c>
      <c r="K762" s="8">
        <v>2</v>
      </c>
      <c r="L762" s="7" t="s">
        <v>1024</v>
      </c>
      <c r="M762" s="10">
        <v>50</v>
      </c>
      <c r="N762" s="10">
        <v>100</v>
      </c>
    </row>
    <row r="763" spans="1:14" x14ac:dyDescent="0.2">
      <c r="A763" s="8">
        <v>762</v>
      </c>
      <c r="B763" s="5">
        <v>45207</v>
      </c>
      <c r="C763" s="7" t="s">
        <v>1048</v>
      </c>
      <c r="D763" s="8">
        <v>10</v>
      </c>
      <c r="E763" s="8">
        <v>2023</v>
      </c>
      <c r="F763" s="7" t="s">
        <v>571</v>
      </c>
      <c r="G763" s="7" t="s">
        <v>13</v>
      </c>
      <c r="H763" s="8">
        <v>41</v>
      </c>
      <c r="I763" s="7" t="s">
        <v>1017</v>
      </c>
      <c r="J763" s="7" t="s">
        <v>14</v>
      </c>
      <c r="K763" s="8">
        <v>1</v>
      </c>
      <c r="L763" s="7" t="s">
        <v>1023</v>
      </c>
      <c r="M763" s="10">
        <v>25</v>
      </c>
      <c r="N763" s="10">
        <v>25</v>
      </c>
    </row>
    <row r="764" spans="1:14" x14ac:dyDescent="0.2">
      <c r="A764" s="8">
        <v>763</v>
      </c>
      <c r="B764" s="5">
        <v>45207</v>
      </c>
      <c r="C764" s="7" t="s">
        <v>1048</v>
      </c>
      <c r="D764" s="8">
        <v>10</v>
      </c>
      <c r="E764" s="8">
        <v>2023</v>
      </c>
      <c r="F764" s="7" t="s">
        <v>647</v>
      </c>
      <c r="G764" s="7" t="s">
        <v>10</v>
      </c>
      <c r="H764" s="8">
        <v>60</v>
      </c>
      <c r="I764" s="7" t="s">
        <v>1018</v>
      </c>
      <c r="J764" s="7" t="s">
        <v>16</v>
      </c>
      <c r="K764" s="8">
        <v>4</v>
      </c>
      <c r="L764" s="7" t="s">
        <v>1025</v>
      </c>
      <c r="M764" s="10">
        <v>500</v>
      </c>
      <c r="N764" s="10">
        <v>2000</v>
      </c>
    </row>
    <row r="765" spans="1:14" x14ac:dyDescent="0.2">
      <c r="A765" s="8">
        <v>764</v>
      </c>
      <c r="B765" s="5">
        <v>45208</v>
      </c>
      <c r="C765" s="7" t="s">
        <v>1048</v>
      </c>
      <c r="D765" s="8">
        <v>10</v>
      </c>
      <c r="E765" s="8">
        <v>2023</v>
      </c>
      <c r="F765" s="7" t="s">
        <v>214</v>
      </c>
      <c r="G765" s="7" t="s">
        <v>10</v>
      </c>
      <c r="H765" s="8">
        <v>56</v>
      </c>
      <c r="I765" s="7" t="s">
        <v>1018</v>
      </c>
      <c r="J765" s="7" t="s">
        <v>16</v>
      </c>
      <c r="K765" s="8">
        <v>1</v>
      </c>
      <c r="L765" s="7" t="s">
        <v>1023</v>
      </c>
      <c r="M765" s="10">
        <v>25</v>
      </c>
      <c r="N765" s="10">
        <v>25</v>
      </c>
    </row>
    <row r="766" spans="1:14" x14ac:dyDescent="0.2">
      <c r="A766" s="8">
        <v>765</v>
      </c>
      <c r="B766" s="5">
        <v>45208</v>
      </c>
      <c r="C766" s="7" t="s">
        <v>1048</v>
      </c>
      <c r="D766" s="8">
        <v>10</v>
      </c>
      <c r="E766" s="8">
        <v>2023</v>
      </c>
      <c r="F766" s="7" t="s">
        <v>299</v>
      </c>
      <c r="G766" s="7" t="s">
        <v>10</v>
      </c>
      <c r="H766" s="8">
        <v>55</v>
      </c>
      <c r="I766" s="7" t="s">
        <v>1019</v>
      </c>
      <c r="J766" s="7" t="s">
        <v>16</v>
      </c>
      <c r="K766" s="8">
        <v>2</v>
      </c>
      <c r="L766" s="7" t="s">
        <v>1024</v>
      </c>
      <c r="M766" s="10">
        <v>25</v>
      </c>
      <c r="N766" s="10">
        <v>50</v>
      </c>
    </row>
    <row r="767" spans="1:14" x14ac:dyDescent="0.2">
      <c r="A767" s="8">
        <v>766</v>
      </c>
      <c r="B767" s="5">
        <v>45208</v>
      </c>
      <c r="C767" s="7" t="s">
        <v>1048</v>
      </c>
      <c r="D767" s="8">
        <v>10</v>
      </c>
      <c r="E767" s="8">
        <v>2023</v>
      </c>
      <c r="F767" s="7" t="s">
        <v>889</v>
      </c>
      <c r="G767" s="7" t="s">
        <v>10</v>
      </c>
      <c r="H767" s="8">
        <v>43</v>
      </c>
      <c r="I767" s="7" t="s">
        <v>1017</v>
      </c>
      <c r="J767" s="7" t="s">
        <v>14</v>
      </c>
      <c r="K767" s="8">
        <v>4</v>
      </c>
      <c r="L767" s="7" t="s">
        <v>1025</v>
      </c>
      <c r="M767" s="10">
        <v>30</v>
      </c>
      <c r="N767" s="10">
        <v>120</v>
      </c>
    </row>
    <row r="768" spans="1:14" x14ac:dyDescent="0.2">
      <c r="A768" s="8">
        <v>767</v>
      </c>
      <c r="B768" s="5">
        <v>45209</v>
      </c>
      <c r="C768" s="7" t="s">
        <v>1048</v>
      </c>
      <c r="D768" s="8">
        <v>10</v>
      </c>
      <c r="E768" s="8">
        <v>2023</v>
      </c>
      <c r="F768" s="7" t="s">
        <v>68</v>
      </c>
      <c r="G768" s="7" t="s">
        <v>10</v>
      </c>
      <c r="H768" s="8">
        <v>31</v>
      </c>
      <c r="I768" s="7" t="s">
        <v>1021</v>
      </c>
      <c r="J768" s="7" t="s">
        <v>11</v>
      </c>
      <c r="K768" s="8">
        <v>4</v>
      </c>
      <c r="L768" s="7" t="s">
        <v>1025</v>
      </c>
      <c r="M768" s="10">
        <v>30</v>
      </c>
      <c r="N768" s="10">
        <v>120</v>
      </c>
    </row>
    <row r="769" spans="1:14" x14ac:dyDescent="0.2">
      <c r="A769" s="8">
        <v>768</v>
      </c>
      <c r="B769" s="5">
        <v>45209</v>
      </c>
      <c r="C769" s="7" t="s">
        <v>1048</v>
      </c>
      <c r="D769" s="8">
        <v>10</v>
      </c>
      <c r="E769" s="8">
        <v>2023</v>
      </c>
      <c r="F769" s="7" t="s">
        <v>441</v>
      </c>
      <c r="G769" s="7" t="s">
        <v>13</v>
      </c>
      <c r="H769" s="8">
        <v>40</v>
      </c>
      <c r="I769" s="7" t="s">
        <v>1017</v>
      </c>
      <c r="J769" s="7" t="s">
        <v>16</v>
      </c>
      <c r="K769" s="8">
        <v>4</v>
      </c>
      <c r="L769" s="7" t="s">
        <v>1025</v>
      </c>
      <c r="M769" s="10">
        <v>50</v>
      </c>
      <c r="N769" s="10">
        <v>200</v>
      </c>
    </row>
    <row r="770" spans="1:14" x14ac:dyDescent="0.2">
      <c r="A770" s="8">
        <v>769</v>
      </c>
      <c r="B770" s="5">
        <v>45209</v>
      </c>
      <c r="C770" s="7" t="s">
        <v>1048</v>
      </c>
      <c r="D770" s="8">
        <v>10</v>
      </c>
      <c r="E770" s="8">
        <v>2023</v>
      </c>
      <c r="F770" s="7" t="s">
        <v>454</v>
      </c>
      <c r="G770" s="7" t="s">
        <v>10</v>
      </c>
      <c r="H770" s="8">
        <v>57</v>
      </c>
      <c r="I770" s="7" t="s">
        <v>1018</v>
      </c>
      <c r="J770" s="7" t="s">
        <v>11</v>
      </c>
      <c r="K770" s="8">
        <v>4</v>
      </c>
      <c r="L770" s="7" t="s">
        <v>1025</v>
      </c>
      <c r="M770" s="10">
        <v>300</v>
      </c>
      <c r="N770" s="10">
        <v>1200</v>
      </c>
    </row>
    <row r="771" spans="1:14" x14ac:dyDescent="0.2">
      <c r="A771" s="8">
        <v>770</v>
      </c>
      <c r="B771" s="5">
        <v>45209</v>
      </c>
      <c r="C771" s="7" t="s">
        <v>1048</v>
      </c>
      <c r="D771" s="8">
        <v>10</v>
      </c>
      <c r="E771" s="8">
        <v>2023</v>
      </c>
      <c r="F771" s="7" t="s">
        <v>989</v>
      </c>
      <c r="G771" s="7" t="s">
        <v>13</v>
      </c>
      <c r="H771" s="8">
        <v>48</v>
      </c>
      <c r="I771" s="7" t="s">
        <v>1019</v>
      </c>
      <c r="J771" s="7" t="s">
        <v>11</v>
      </c>
      <c r="K771" s="8">
        <v>2</v>
      </c>
      <c r="L771" s="7" t="s">
        <v>1024</v>
      </c>
      <c r="M771" s="10">
        <v>300</v>
      </c>
      <c r="N771" s="10">
        <v>600</v>
      </c>
    </row>
    <row r="772" spans="1:14" x14ac:dyDescent="0.2">
      <c r="A772" s="8">
        <v>771</v>
      </c>
      <c r="B772" s="5">
        <v>45210</v>
      </c>
      <c r="C772" s="7" t="s">
        <v>1048</v>
      </c>
      <c r="D772" s="8">
        <v>10</v>
      </c>
      <c r="E772" s="8">
        <v>2023</v>
      </c>
      <c r="F772" s="7" t="s">
        <v>162</v>
      </c>
      <c r="G772" s="7" t="s">
        <v>10</v>
      </c>
      <c r="H772" s="8">
        <v>22</v>
      </c>
      <c r="I772" s="7" t="s">
        <v>1021</v>
      </c>
      <c r="J772" s="7" t="s">
        <v>14</v>
      </c>
      <c r="K772" s="8">
        <v>3</v>
      </c>
      <c r="L772" s="7" t="s">
        <v>1022</v>
      </c>
      <c r="M772" s="10">
        <v>25</v>
      </c>
      <c r="N772" s="10">
        <v>75</v>
      </c>
    </row>
    <row r="773" spans="1:14" x14ac:dyDescent="0.2">
      <c r="A773" s="8">
        <v>772</v>
      </c>
      <c r="B773" s="5">
        <v>45210</v>
      </c>
      <c r="C773" s="7" t="s">
        <v>1048</v>
      </c>
      <c r="D773" s="8">
        <v>10</v>
      </c>
      <c r="E773" s="8">
        <v>2023</v>
      </c>
      <c r="F773" s="7" t="s">
        <v>240</v>
      </c>
      <c r="G773" s="7" t="s">
        <v>10</v>
      </c>
      <c r="H773" s="8">
        <v>36</v>
      </c>
      <c r="I773" s="7" t="s">
        <v>1017</v>
      </c>
      <c r="J773" s="7" t="s">
        <v>16</v>
      </c>
      <c r="K773" s="8">
        <v>2</v>
      </c>
      <c r="L773" s="7" t="s">
        <v>1024</v>
      </c>
      <c r="M773" s="10">
        <v>50</v>
      </c>
      <c r="N773" s="10">
        <v>100</v>
      </c>
    </row>
    <row r="774" spans="1:14" x14ac:dyDescent="0.2">
      <c r="A774" s="8">
        <v>773</v>
      </c>
      <c r="B774" s="5">
        <v>45210</v>
      </c>
      <c r="C774" s="7" t="s">
        <v>1048</v>
      </c>
      <c r="D774" s="8">
        <v>10</v>
      </c>
      <c r="E774" s="8">
        <v>2023</v>
      </c>
      <c r="F774" s="7" t="s">
        <v>406</v>
      </c>
      <c r="G774" s="7" t="s">
        <v>13</v>
      </c>
      <c r="H774" s="8">
        <v>22</v>
      </c>
      <c r="I774" s="7" t="s">
        <v>1021</v>
      </c>
      <c r="J774" s="7" t="s">
        <v>11</v>
      </c>
      <c r="K774" s="8">
        <v>2</v>
      </c>
      <c r="L774" s="7" t="s">
        <v>1024</v>
      </c>
      <c r="M774" s="10">
        <v>500</v>
      </c>
      <c r="N774" s="10">
        <v>1000</v>
      </c>
    </row>
    <row r="775" spans="1:14" x14ac:dyDescent="0.2">
      <c r="A775" s="8">
        <v>774</v>
      </c>
      <c r="B775" s="5">
        <v>45210</v>
      </c>
      <c r="C775" s="7" t="s">
        <v>1048</v>
      </c>
      <c r="D775" s="8">
        <v>10</v>
      </c>
      <c r="E775" s="8">
        <v>2023</v>
      </c>
      <c r="F775" s="7" t="s">
        <v>414</v>
      </c>
      <c r="G775" s="7" t="s">
        <v>13</v>
      </c>
      <c r="H775" s="8">
        <v>62</v>
      </c>
      <c r="I775" s="7" t="s">
        <v>1018</v>
      </c>
      <c r="J775" s="7" t="s">
        <v>14</v>
      </c>
      <c r="K775" s="8">
        <v>1</v>
      </c>
      <c r="L775" s="7" t="s">
        <v>1023</v>
      </c>
      <c r="M775" s="10">
        <v>300</v>
      </c>
      <c r="N775" s="10">
        <v>300</v>
      </c>
    </row>
    <row r="776" spans="1:14" x14ac:dyDescent="0.2">
      <c r="A776" s="8">
        <v>775</v>
      </c>
      <c r="B776" s="5">
        <v>45210</v>
      </c>
      <c r="C776" s="7" t="s">
        <v>1048</v>
      </c>
      <c r="D776" s="8">
        <v>10</v>
      </c>
      <c r="E776" s="8">
        <v>2023</v>
      </c>
      <c r="F776" s="7" t="s">
        <v>559</v>
      </c>
      <c r="G776" s="7" t="s">
        <v>13</v>
      </c>
      <c r="H776" s="8">
        <v>36</v>
      </c>
      <c r="I776" s="7" t="s">
        <v>1017</v>
      </c>
      <c r="J776" s="7" t="s">
        <v>16</v>
      </c>
      <c r="K776" s="8">
        <v>4</v>
      </c>
      <c r="L776" s="7" t="s">
        <v>1025</v>
      </c>
      <c r="M776" s="10">
        <v>50</v>
      </c>
      <c r="N776" s="10">
        <v>200</v>
      </c>
    </row>
    <row r="777" spans="1:14" x14ac:dyDescent="0.2">
      <c r="A777" s="8">
        <v>776</v>
      </c>
      <c r="B777" s="5">
        <v>45210</v>
      </c>
      <c r="C777" s="7" t="s">
        <v>1048</v>
      </c>
      <c r="D777" s="8">
        <v>10</v>
      </c>
      <c r="E777" s="8">
        <v>2023</v>
      </c>
      <c r="F777" s="7" t="s">
        <v>885</v>
      </c>
      <c r="G777" s="7" t="s">
        <v>13</v>
      </c>
      <c r="H777" s="8">
        <v>63</v>
      </c>
      <c r="I777" s="7" t="s">
        <v>1018</v>
      </c>
      <c r="J777" s="7" t="s">
        <v>11</v>
      </c>
      <c r="K777" s="8">
        <v>3</v>
      </c>
      <c r="L777" s="7" t="s">
        <v>1022</v>
      </c>
      <c r="M777" s="10">
        <v>25</v>
      </c>
      <c r="N777" s="10">
        <v>75</v>
      </c>
    </row>
    <row r="778" spans="1:14" x14ac:dyDescent="0.2">
      <c r="A778" s="8">
        <v>777</v>
      </c>
      <c r="B778" s="5">
        <v>45210</v>
      </c>
      <c r="C778" s="7" t="s">
        <v>1048</v>
      </c>
      <c r="D778" s="8">
        <v>10</v>
      </c>
      <c r="E778" s="8">
        <v>2023</v>
      </c>
      <c r="F778" s="7" t="s">
        <v>927</v>
      </c>
      <c r="G778" s="7" t="s">
        <v>13</v>
      </c>
      <c r="H778" s="8">
        <v>59</v>
      </c>
      <c r="I778" s="7" t="s">
        <v>1018</v>
      </c>
      <c r="J778" s="7" t="s">
        <v>16</v>
      </c>
      <c r="K778" s="8">
        <v>1</v>
      </c>
      <c r="L778" s="7" t="s">
        <v>1023</v>
      </c>
      <c r="M778" s="10">
        <v>500</v>
      </c>
      <c r="N778" s="10">
        <v>500</v>
      </c>
    </row>
    <row r="779" spans="1:14" x14ac:dyDescent="0.2">
      <c r="A779" s="8">
        <v>778</v>
      </c>
      <c r="B779" s="5">
        <v>45211</v>
      </c>
      <c r="C779" s="7" t="s">
        <v>1048</v>
      </c>
      <c r="D779" s="8">
        <v>10</v>
      </c>
      <c r="E779" s="8">
        <v>2023</v>
      </c>
      <c r="F779" s="7" t="s">
        <v>323</v>
      </c>
      <c r="G779" s="7" t="s">
        <v>13</v>
      </c>
      <c r="H779" s="8">
        <v>28</v>
      </c>
      <c r="I779" s="7" t="s">
        <v>1021</v>
      </c>
      <c r="J779" s="7" t="s">
        <v>11</v>
      </c>
      <c r="K779" s="8">
        <v>1</v>
      </c>
      <c r="L779" s="7" t="s">
        <v>1023</v>
      </c>
      <c r="M779" s="10">
        <v>25</v>
      </c>
      <c r="N779" s="10">
        <v>25</v>
      </c>
    </row>
    <row r="780" spans="1:14" x14ac:dyDescent="0.2">
      <c r="A780" s="8">
        <v>779</v>
      </c>
      <c r="B780" s="5">
        <v>45211</v>
      </c>
      <c r="C780" s="7" t="s">
        <v>1048</v>
      </c>
      <c r="D780" s="8">
        <v>10</v>
      </c>
      <c r="E780" s="8">
        <v>2023</v>
      </c>
      <c r="F780" s="7" t="s">
        <v>857</v>
      </c>
      <c r="G780" s="7" t="s">
        <v>10</v>
      </c>
      <c r="H780" s="8">
        <v>35</v>
      </c>
      <c r="I780" s="7" t="s">
        <v>1017</v>
      </c>
      <c r="J780" s="7" t="s">
        <v>14</v>
      </c>
      <c r="K780" s="8">
        <v>3</v>
      </c>
      <c r="L780" s="7" t="s">
        <v>1022</v>
      </c>
      <c r="M780" s="10">
        <v>50</v>
      </c>
      <c r="N780" s="10">
        <v>150</v>
      </c>
    </row>
    <row r="781" spans="1:14" x14ac:dyDescent="0.2">
      <c r="A781" s="8">
        <v>780</v>
      </c>
      <c r="B781" s="5">
        <v>45211</v>
      </c>
      <c r="C781" s="7" t="s">
        <v>1048</v>
      </c>
      <c r="D781" s="8">
        <v>10</v>
      </c>
      <c r="E781" s="8">
        <v>2023</v>
      </c>
      <c r="F781" s="7" t="s">
        <v>865</v>
      </c>
      <c r="G781" s="7" t="s">
        <v>13</v>
      </c>
      <c r="H781" s="8">
        <v>41</v>
      </c>
      <c r="I781" s="7" t="s">
        <v>1017</v>
      </c>
      <c r="J781" s="7" t="s">
        <v>14</v>
      </c>
      <c r="K781" s="8">
        <v>1</v>
      </c>
      <c r="L781" s="7" t="s">
        <v>1023</v>
      </c>
      <c r="M781" s="10">
        <v>300</v>
      </c>
      <c r="N781" s="10">
        <v>300</v>
      </c>
    </row>
    <row r="782" spans="1:14" x14ac:dyDescent="0.2">
      <c r="A782" s="8">
        <v>781</v>
      </c>
      <c r="B782" s="5">
        <v>45212</v>
      </c>
      <c r="C782" s="7" t="s">
        <v>1048</v>
      </c>
      <c r="D782" s="8">
        <v>10</v>
      </c>
      <c r="E782" s="8">
        <v>2023</v>
      </c>
      <c r="F782" s="7" t="s">
        <v>110</v>
      </c>
      <c r="G782" s="7" t="s">
        <v>13</v>
      </c>
      <c r="H782" s="8">
        <v>51</v>
      </c>
      <c r="I782" s="7" t="s">
        <v>1019</v>
      </c>
      <c r="J782" s="7" t="s">
        <v>11</v>
      </c>
      <c r="K782" s="8">
        <v>2</v>
      </c>
      <c r="L782" s="7" t="s">
        <v>1024</v>
      </c>
      <c r="M782" s="10">
        <v>500</v>
      </c>
      <c r="N782" s="10">
        <v>1000</v>
      </c>
    </row>
    <row r="783" spans="1:14" x14ac:dyDescent="0.2">
      <c r="A783" s="8">
        <v>782</v>
      </c>
      <c r="B783" s="5">
        <v>45212</v>
      </c>
      <c r="C783" s="7" t="s">
        <v>1048</v>
      </c>
      <c r="D783" s="8">
        <v>10</v>
      </c>
      <c r="E783" s="8">
        <v>2023</v>
      </c>
      <c r="F783" s="7" t="s">
        <v>632</v>
      </c>
      <c r="G783" s="7" t="s">
        <v>10</v>
      </c>
      <c r="H783" s="8">
        <v>47</v>
      </c>
      <c r="I783" s="7" t="s">
        <v>1019</v>
      </c>
      <c r="J783" s="7" t="s">
        <v>16</v>
      </c>
      <c r="K783" s="8">
        <v>4</v>
      </c>
      <c r="L783" s="7" t="s">
        <v>1025</v>
      </c>
      <c r="M783" s="10">
        <v>25</v>
      </c>
      <c r="N783" s="10">
        <v>100</v>
      </c>
    </row>
    <row r="784" spans="1:14" x14ac:dyDescent="0.2">
      <c r="A784" s="8">
        <v>783</v>
      </c>
      <c r="B784" s="5">
        <v>45212</v>
      </c>
      <c r="C784" s="7" t="s">
        <v>1048</v>
      </c>
      <c r="D784" s="8">
        <v>10</v>
      </c>
      <c r="E784" s="8">
        <v>2023</v>
      </c>
      <c r="F784" s="7" t="s">
        <v>961</v>
      </c>
      <c r="G784" s="7" t="s">
        <v>13</v>
      </c>
      <c r="H784" s="8">
        <v>23</v>
      </c>
      <c r="I784" s="7" t="s">
        <v>1021</v>
      </c>
      <c r="J784" s="7" t="s">
        <v>16</v>
      </c>
      <c r="K784" s="8">
        <v>3</v>
      </c>
      <c r="L784" s="7" t="s">
        <v>1022</v>
      </c>
      <c r="M784" s="10">
        <v>25</v>
      </c>
      <c r="N784" s="10">
        <v>75</v>
      </c>
    </row>
    <row r="785" spans="1:14" x14ac:dyDescent="0.2">
      <c r="A785" s="8">
        <v>784</v>
      </c>
      <c r="B785" s="5">
        <v>45213</v>
      </c>
      <c r="C785" s="7" t="s">
        <v>1048</v>
      </c>
      <c r="D785" s="8">
        <v>10</v>
      </c>
      <c r="E785" s="8">
        <v>2023</v>
      </c>
      <c r="F785" s="7" t="s">
        <v>469</v>
      </c>
      <c r="G785" s="7" t="s">
        <v>10</v>
      </c>
      <c r="H785" s="8">
        <v>57</v>
      </c>
      <c r="I785" s="7" t="s">
        <v>1018</v>
      </c>
      <c r="J785" s="7" t="s">
        <v>16</v>
      </c>
      <c r="K785" s="8">
        <v>2</v>
      </c>
      <c r="L785" s="7" t="s">
        <v>1024</v>
      </c>
      <c r="M785" s="10">
        <v>30</v>
      </c>
      <c r="N785" s="10">
        <v>60</v>
      </c>
    </row>
    <row r="786" spans="1:14" x14ac:dyDescent="0.2">
      <c r="A786" s="8">
        <v>785</v>
      </c>
      <c r="B786" s="5">
        <v>45213</v>
      </c>
      <c r="C786" s="7" t="s">
        <v>1048</v>
      </c>
      <c r="D786" s="8">
        <v>10</v>
      </c>
      <c r="E786" s="8">
        <v>2023</v>
      </c>
      <c r="F786" s="7" t="s">
        <v>640</v>
      </c>
      <c r="G786" s="7" t="s">
        <v>10</v>
      </c>
      <c r="H786" s="8">
        <v>57</v>
      </c>
      <c r="I786" s="7" t="s">
        <v>1018</v>
      </c>
      <c r="J786" s="7" t="s">
        <v>14</v>
      </c>
      <c r="K786" s="8">
        <v>1</v>
      </c>
      <c r="L786" s="7" t="s">
        <v>1023</v>
      </c>
      <c r="M786" s="10">
        <v>50</v>
      </c>
      <c r="N786" s="10">
        <v>50</v>
      </c>
    </row>
    <row r="787" spans="1:14" x14ac:dyDescent="0.2">
      <c r="A787" s="8">
        <v>786</v>
      </c>
      <c r="B787" s="5">
        <v>45214</v>
      </c>
      <c r="C787" s="7" t="s">
        <v>1048</v>
      </c>
      <c r="D787" s="8">
        <v>10</v>
      </c>
      <c r="E787" s="8">
        <v>2023</v>
      </c>
      <c r="F787" s="7" t="s">
        <v>35</v>
      </c>
      <c r="G787" s="7" t="s">
        <v>10</v>
      </c>
      <c r="H787" s="8">
        <v>18</v>
      </c>
      <c r="I787" s="7" t="s">
        <v>1020</v>
      </c>
      <c r="J787" s="7" t="s">
        <v>14</v>
      </c>
      <c r="K787" s="8">
        <v>2</v>
      </c>
      <c r="L787" s="7" t="s">
        <v>1024</v>
      </c>
      <c r="M787" s="10">
        <v>50</v>
      </c>
      <c r="N787" s="10">
        <v>100</v>
      </c>
    </row>
    <row r="788" spans="1:14" x14ac:dyDescent="0.2">
      <c r="A788" s="8">
        <v>787</v>
      </c>
      <c r="B788" s="5">
        <v>45214</v>
      </c>
      <c r="C788" s="7" t="s">
        <v>1048</v>
      </c>
      <c r="D788" s="8">
        <v>10</v>
      </c>
      <c r="E788" s="8">
        <v>2023</v>
      </c>
      <c r="F788" s="7" t="s">
        <v>134</v>
      </c>
      <c r="G788" s="7" t="s">
        <v>13</v>
      </c>
      <c r="H788" s="8">
        <v>28</v>
      </c>
      <c r="I788" s="7" t="s">
        <v>1021</v>
      </c>
      <c r="J788" s="7" t="s">
        <v>16</v>
      </c>
      <c r="K788" s="8">
        <v>4</v>
      </c>
      <c r="L788" s="7" t="s">
        <v>1025</v>
      </c>
      <c r="M788" s="10">
        <v>50</v>
      </c>
      <c r="N788" s="10">
        <v>200</v>
      </c>
    </row>
    <row r="789" spans="1:14" x14ac:dyDescent="0.2">
      <c r="A789" s="8">
        <v>788</v>
      </c>
      <c r="B789" s="5">
        <v>45214</v>
      </c>
      <c r="C789" s="7" t="s">
        <v>1048</v>
      </c>
      <c r="D789" s="8">
        <v>10</v>
      </c>
      <c r="E789" s="8">
        <v>2023</v>
      </c>
      <c r="F789" s="7" t="s">
        <v>444</v>
      </c>
      <c r="G789" s="7" t="s">
        <v>10</v>
      </c>
      <c r="H789" s="8">
        <v>63</v>
      </c>
      <c r="I789" s="7" t="s">
        <v>1018</v>
      </c>
      <c r="J789" s="7" t="s">
        <v>16</v>
      </c>
      <c r="K789" s="8">
        <v>4</v>
      </c>
      <c r="L789" s="7" t="s">
        <v>1025</v>
      </c>
      <c r="M789" s="10">
        <v>300</v>
      </c>
      <c r="N789" s="10">
        <v>1200</v>
      </c>
    </row>
    <row r="790" spans="1:14" x14ac:dyDescent="0.2">
      <c r="A790" s="8">
        <v>789</v>
      </c>
      <c r="B790" s="5">
        <v>45215</v>
      </c>
      <c r="C790" s="7" t="s">
        <v>1048</v>
      </c>
      <c r="D790" s="8">
        <v>10</v>
      </c>
      <c r="E790" s="8">
        <v>2023</v>
      </c>
      <c r="F790" s="7" t="s">
        <v>383</v>
      </c>
      <c r="G790" s="7" t="s">
        <v>10</v>
      </c>
      <c r="H790" s="8">
        <v>23</v>
      </c>
      <c r="I790" s="7" t="s">
        <v>1021</v>
      </c>
      <c r="J790" s="7" t="s">
        <v>16</v>
      </c>
      <c r="K790" s="8">
        <v>2</v>
      </c>
      <c r="L790" s="7" t="s">
        <v>1024</v>
      </c>
      <c r="M790" s="10">
        <v>30</v>
      </c>
      <c r="N790" s="10">
        <v>60</v>
      </c>
    </row>
    <row r="791" spans="1:14" x14ac:dyDescent="0.2">
      <c r="A791" s="8">
        <v>790</v>
      </c>
      <c r="B791" s="5">
        <v>45215</v>
      </c>
      <c r="C791" s="7" t="s">
        <v>1048</v>
      </c>
      <c r="D791" s="8">
        <v>10</v>
      </c>
      <c r="E791" s="8">
        <v>2023</v>
      </c>
      <c r="F791" s="7" t="s">
        <v>724</v>
      </c>
      <c r="G791" s="7" t="s">
        <v>10</v>
      </c>
      <c r="H791" s="8">
        <v>26</v>
      </c>
      <c r="I791" s="7" t="s">
        <v>1021</v>
      </c>
      <c r="J791" s="7" t="s">
        <v>16</v>
      </c>
      <c r="K791" s="8">
        <v>3</v>
      </c>
      <c r="L791" s="7" t="s">
        <v>1022</v>
      </c>
      <c r="M791" s="10">
        <v>500</v>
      </c>
      <c r="N791" s="10">
        <v>1500</v>
      </c>
    </row>
    <row r="792" spans="1:14" x14ac:dyDescent="0.2">
      <c r="A792" s="8">
        <v>791</v>
      </c>
      <c r="B792" s="5">
        <v>45215</v>
      </c>
      <c r="C792" s="7" t="s">
        <v>1048</v>
      </c>
      <c r="D792" s="8">
        <v>10</v>
      </c>
      <c r="E792" s="8">
        <v>2023</v>
      </c>
      <c r="F792" s="7" t="s">
        <v>767</v>
      </c>
      <c r="G792" s="7" t="s">
        <v>13</v>
      </c>
      <c r="H792" s="8">
        <v>43</v>
      </c>
      <c r="I792" s="7" t="s">
        <v>1017</v>
      </c>
      <c r="J792" s="7" t="s">
        <v>16</v>
      </c>
      <c r="K792" s="8">
        <v>4</v>
      </c>
      <c r="L792" s="7" t="s">
        <v>1025</v>
      </c>
      <c r="M792" s="10">
        <v>25</v>
      </c>
      <c r="N792" s="10">
        <v>100</v>
      </c>
    </row>
    <row r="793" spans="1:14" x14ac:dyDescent="0.2">
      <c r="A793" s="8">
        <v>792</v>
      </c>
      <c r="B793" s="5">
        <v>45215</v>
      </c>
      <c r="C793" s="7" t="s">
        <v>1048</v>
      </c>
      <c r="D793" s="8">
        <v>10</v>
      </c>
      <c r="E793" s="8">
        <v>2023</v>
      </c>
      <c r="F793" s="7" t="s">
        <v>956</v>
      </c>
      <c r="G793" s="7" t="s">
        <v>13</v>
      </c>
      <c r="H793" s="8">
        <v>57</v>
      </c>
      <c r="I793" s="7" t="s">
        <v>1018</v>
      </c>
      <c r="J793" s="7" t="s">
        <v>14</v>
      </c>
      <c r="K793" s="8">
        <v>4</v>
      </c>
      <c r="L793" s="7" t="s">
        <v>1025</v>
      </c>
      <c r="M793" s="10">
        <v>300</v>
      </c>
      <c r="N793" s="10">
        <v>1200</v>
      </c>
    </row>
    <row r="794" spans="1:14" x14ac:dyDescent="0.2">
      <c r="A794" s="8">
        <v>793</v>
      </c>
      <c r="B794" s="5">
        <v>45216</v>
      </c>
      <c r="C794" s="7" t="s">
        <v>1048</v>
      </c>
      <c r="D794" s="8">
        <v>10</v>
      </c>
      <c r="E794" s="8">
        <v>2023</v>
      </c>
      <c r="F794" s="7" t="s">
        <v>363</v>
      </c>
      <c r="G794" s="7" t="s">
        <v>10</v>
      </c>
      <c r="H794" s="8">
        <v>25</v>
      </c>
      <c r="I794" s="7" t="s">
        <v>1021</v>
      </c>
      <c r="J794" s="7" t="s">
        <v>11</v>
      </c>
      <c r="K794" s="8">
        <v>3</v>
      </c>
      <c r="L794" s="7" t="s">
        <v>1022</v>
      </c>
      <c r="M794" s="10">
        <v>25</v>
      </c>
      <c r="N794" s="10">
        <v>75</v>
      </c>
    </row>
    <row r="795" spans="1:14" x14ac:dyDescent="0.2">
      <c r="A795" s="8">
        <v>794</v>
      </c>
      <c r="B795" s="5">
        <v>45216</v>
      </c>
      <c r="C795" s="7" t="s">
        <v>1048</v>
      </c>
      <c r="D795" s="8">
        <v>10</v>
      </c>
      <c r="E795" s="8">
        <v>2023</v>
      </c>
      <c r="F795" s="7" t="s">
        <v>799</v>
      </c>
      <c r="G795" s="7" t="s">
        <v>10</v>
      </c>
      <c r="H795" s="8">
        <v>48</v>
      </c>
      <c r="I795" s="7" t="s">
        <v>1019</v>
      </c>
      <c r="J795" s="7" t="s">
        <v>14</v>
      </c>
      <c r="K795" s="8">
        <v>4</v>
      </c>
      <c r="L795" s="7" t="s">
        <v>1025</v>
      </c>
      <c r="M795" s="10">
        <v>25</v>
      </c>
      <c r="N795" s="10">
        <v>100</v>
      </c>
    </row>
    <row r="796" spans="1:14" x14ac:dyDescent="0.2">
      <c r="A796" s="8">
        <v>795</v>
      </c>
      <c r="B796" s="5">
        <v>45217</v>
      </c>
      <c r="C796" s="7" t="s">
        <v>1048</v>
      </c>
      <c r="D796" s="8">
        <v>10</v>
      </c>
      <c r="E796" s="8">
        <v>2023</v>
      </c>
      <c r="F796" s="7" t="s">
        <v>122</v>
      </c>
      <c r="G796" s="7" t="s">
        <v>13</v>
      </c>
      <c r="H796" s="8">
        <v>34</v>
      </c>
      <c r="I796" s="7" t="s">
        <v>1021</v>
      </c>
      <c r="J796" s="7" t="s">
        <v>16</v>
      </c>
      <c r="K796" s="8">
        <v>4</v>
      </c>
      <c r="L796" s="7" t="s">
        <v>1025</v>
      </c>
      <c r="M796" s="10">
        <v>500</v>
      </c>
      <c r="N796" s="10">
        <v>2000</v>
      </c>
    </row>
    <row r="797" spans="1:14" x14ac:dyDescent="0.2">
      <c r="A797" s="8">
        <v>796</v>
      </c>
      <c r="B797" s="5">
        <v>45217</v>
      </c>
      <c r="C797" s="7" t="s">
        <v>1048</v>
      </c>
      <c r="D797" s="8">
        <v>10</v>
      </c>
      <c r="E797" s="8">
        <v>2023</v>
      </c>
      <c r="F797" s="7" t="s">
        <v>204</v>
      </c>
      <c r="G797" s="7" t="s">
        <v>10</v>
      </c>
      <c r="H797" s="8">
        <v>64</v>
      </c>
      <c r="I797" s="7" t="s">
        <v>1018</v>
      </c>
      <c r="J797" s="7" t="s">
        <v>11</v>
      </c>
      <c r="K797" s="8">
        <v>1</v>
      </c>
      <c r="L797" s="7" t="s">
        <v>1023</v>
      </c>
      <c r="M797" s="10">
        <v>25</v>
      </c>
      <c r="N797" s="10">
        <v>25</v>
      </c>
    </row>
    <row r="798" spans="1:14" x14ac:dyDescent="0.2">
      <c r="A798" s="8">
        <v>797</v>
      </c>
      <c r="B798" s="5">
        <v>45218</v>
      </c>
      <c r="C798" s="7" t="s">
        <v>1048</v>
      </c>
      <c r="D798" s="8">
        <v>10</v>
      </c>
      <c r="E798" s="8">
        <v>2023</v>
      </c>
      <c r="F798" s="7" t="s">
        <v>353</v>
      </c>
      <c r="G798" s="7" t="s">
        <v>13</v>
      </c>
      <c r="H798" s="8">
        <v>36</v>
      </c>
      <c r="I798" s="7" t="s">
        <v>1017</v>
      </c>
      <c r="J798" s="7" t="s">
        <v>14</v>
      </c>
      <c r="K798" s="8">
        <v>4</v>
      </c>
      <c r="L798" s="7" t="s">
        <v>1025</v>
      </c>
      <c r="M798" s="10">
        <v>300</v>
      </c>
      <c r="N798" s="10">
        <v>1200</v>
      </c>
    </row>
    <row r="799" spans="1:14" x14ac:dyDescent="0.2">
      <c r="A799" s="8">
        <v>798</v>
      </c>
      <c r="B799" s="5">
        <v>45218</v>
      </c>
      <c r="C799" s="7" t="s">
        <v>1048</v>
      </c>
      <c r="D799" s="8">
        <v>10</v>
      </c>
      <c r="E799" s="8">
        <v>2023</v>
      </c>
      <c r="F799" s="7" t="s">
        <v>568</v>
      </c>
      <c r="G799" s="7" t="s">
        <v>10</v>
      </c>
      <c r="H799" s="8">
        <v>25</v>
      </c>
      <c r="I799" s="7" t="s">
        <v>1021</v>
      </c>
      <c r="J799" s="7" t="s">
        <v>11</v>
      </c>
      <c r="K799" s="8">
        <v>1</v>
      </c>
      <c r="L799" s="7" t="s">
        <v>1023</v>
      </c>
      <c r="M799" s="10">
        <v>300</v>
      </c>
      <c r="N799" s="10">
        <v>300</v>
      </c>
    </row>
    <row r="800" spans="1:14" x14ac:dyDescent="0.2">
      <c r="A800" s="8">
        <v>799</v>
      </c>
      <c r="B800" s="5">
        <v>45218</v>
      </c>
      <c r="C800" s="7" t="s">
        <v>1048</v>
      </c>
      <c r="D800" s="8">
        <v>10</v>
      </c>
      <c r="E800" s="8">
        <v>2023</v>
      </c>
      <c r="F800" s="7" t="s">
        <v>839</v>
      </c>
      <c r="G800" s="7" t="s">
        <v>13</v>
      </c>
      <c r="H800" s="8">
        <v>46</v>
      </c>
      <c r="I800" s="7" t="s">
        <v>1019</v>
      </c>
      <c r="J800" s="7" t="s">
        <v>14</v>
      </c>
      <c r="K800" s="8">
        <v>1</v>
      </c>
      <c r="L800" s="7" t="s">
        <v>1023</v>
      </c>
      <c r="M800" s="10">
        <v>300</v>
      </c>
      <c r="N800" s="10">
        <v>300</v>
      </c>
    </row>
    <row r="801" spans="1:14" x14ac:dyDescent="0.2">
      <c r="A801" s="8">
        <v>800</v>
      </c>
      <c r="B801" s="5">
        <v>45218</v>
      </c>
      <c r="C801" s="7" t="s">
        <v>1048</v>
      </c>
      <c r="D801" s="8">
        <v>10</v>
      </c>
      <c r="E801" s="8">
        <v>2023</v>
      </c>
      <c r="F801" s="7" t="s">
        <v>975</v>
      </c>
      <c r="G801" s="7" t="s">
        <v>10</v>
      </c>
      <c r="H801" s="8">
        <v>44</v>
      </c>
      <c r="I801" s="7" t="s">
        <v>1017</v>
      </c>
      <c r="J801" s="7" t="s">
        <v>14</v>
      </c>
      <c r="K801" s="8">
        <v>2</v>
      </c>
      <c r="L801" s="7" t="s">
        <v>1024</v>
      </c>
      <c r="M801" s="10">
        <v>30</v>
      </c>
      <c r="N801" s="10">
        <v>60</v>
      </c>
    </row>
    <row r="802" spans="1:14" x14ac:dyDescent="0.2">
      <c r="A802" s="8">
        <v>801</v>
      </c>
      <c r="B802" s="5">
        <v>45219</v>
      </c>
      <c r="C802" s="7" t="s">
        <v>1048</v>
      </c>
      <c r="D802" s="8">
        <v>10</v>
      </c>
      <c r="E802" s="8">
        <v>2023</v>
      </c>
      <c r="F802" s="7" t="s">
        <v>262</v>
      </c>
      <c r="G802" s="7" t="s">
        <v>10</v>
      </c>
      <c r="H802" s="8">
        <v>20</v>
      </c>
      <c r="I802" s="7" t="s">
        <v>1021</v>
      </c>
      <c r="J802" s="7" t="s">
        <v>14</v>
      </c>
      <c r="K802" s="8">
        <v>1</v>
      </c>
      <c r="L802" s="7" t="s">
        <v>1023</v>
      </c>
      <c r="M802" s="10">
        <v>50</v>
      </c>
      <c r="N802" s="10">
        <v>50</v>
      </c>
    </row>
    <row r="803" spans="1:14" x14ac:dyDescent="0.2">
      <c r="A803" s="8">
        <v>802</v>
      </c>
      <c r="B803" s="5">
        <v>45220</v>
      </c>
      <c r="C803" s="7" t="s">
        <v>1048</v>
      </c>
      <c r="D803" s="8">
        <v>10</v>
      </c>
      <c r="E803" s="8">
        <v>2023</v>
      </c>
      <c r="F803" s="7" t="s">
        <v>935</v>
      </c>
      <c r="G803" s="7" t="s">
        <v>10</v>
      </c>
      <c r="H803" s="8">
        <v>41</v>
      </c>
      <c r="I803" s="7" t="s">
        <v>1017</v>
      </c>
      <c r="J803" s="7" t="s">
        <v>16</v>
      </c>
      <c r="K803" s="8">
        <v>1</v>
      </c>
      <c r="L803" s="7" t="s">
        <v>1023</v>
      </c>
      <c r="M803" s="10">
        <v>50</v>
      </c>
      <c r="N803" s="10">
        <v>50</v>
      </c>
    </row>
    <row r="804" spans="1:14" x14ac:dyDescent="0.2">
      <c r="A804" s="8">
        <v>803</v>
      </c>
      <c r="B804" s="5">
        <v>45221</v>
      </c>
      <c r="C804" s="7" t="s">
        <v>1048</v>
      </c>
      <c r="D804" s="8">
        <v>10</v>
      </c>
      <c r="E804" s="8">
        <v>2023</v>
      </c>
      <c r="F804" s="7" t="s">
        <v>613</v>
      </c>
      <c r="G804" s="7" t="s">
        <v>13</v>
      </c>
      <c r="H804" s="8">
        <v>59</v>
      </c>
      <c r="I804" s="7" t="s">
        <v>1018</v>
      </c>
      <c r="J804" s="7" t="s">
        <v>11</v>
      </c>
      <c r="K804" s="8">
        <v>2</v>
      </c>
      <c r="L804" s="7" t="s">
        <v>1024</v>
      </c>
      <c r="M804" s="10">
        <v>500</v>
      </c>
      <c r="N804" s="10">
        <v>1000</v>
      </c>
    </row>
    <row r="805" spans="1:14" x14ac:dyDescent="0.2">
      <c r="A805" s="8">
        <v>804</v>
      </c>
      <c r="B805" s="5">
        <v>45221</v>
      </c>
      <c r="C805" s="7" t="s">
        <v>1048</v>
      </c>
      <c r="D805" s="8">
        <v>10</v>
      </c>
      <c r="E805" s="8">
        <v>2023</v>
      </c>
      <c r="F805" s="7" t="s">
        <v>693</v>
      </c>
      <c r="G805" s="7" t="s">
        <v>13</v>
      </c>
      <c r="H805" s="8">
        <v>53</v>
      </c>
      <c r="I805" s="7" t="s">
        <v>1019</v>
      </c>
      <c r="J805" s="7" t="s">
        <v>14</v>
      </c>
      <c r="K805" s="8">
        <v>3</v>
      </c>
      <c r="L805" s="7" t="s">
        <v>1022</v>
      </c>
      <c r="M805" s="10">
        <v>300</v>
      </c>
      <c r="N805" s="10">
        <v>900</v>
      </c>
    </row>
    <row r="806" spans="1:14" x14ac:dyDescent="0.2">
      <c r="A806" s="8">
        <v>805</v>
      </c>
      <c r="B806" s="5">
        <v>45221</v>
      </c>
      <c r="C806" s="7" t="s">
        <v>1048</v>
      </c>
      <c r="D806" s="8">
        <v>10</v>
      </c>
      <c r="E806" s="8">
        <v>2023</v>
      </c>
      <c r="F806" s="7" t="s">
        <v>783</v>
      </c>
      <c r="G806" s="7" t="s">
        <v>10</v>
      </c>
      <c r="H806" s="8">
        <v>32</v>
      </c>
      <c r="I806" s="7" t="s">
        <v>1021</v>
      </c>
      <c r="J806" s="7" t="s">
        <v>14</v>
      </c>
      <c r="K806" s="8">
        <v>1</v>
      </c>
      <c r="L806" s="7" t="s">
        <v>1023</v>
      </c>
      <c r="M806" s="10">
        <v>50</v>
      </c>
      <c r="N806" s="10">
        <v>50</v>
      </c>
    </row>
    <row r="807" spans="1:14" x14ac:dyDescent="0.2">
      <c r="A807" s="8">
        <v>806</v>
      </c>
      <c r="B807" s="5">
        <v>45222</v>
      </c>
      <c r="C807" s="7" t="s">
        <v>1048</v>
      </c>
      <c r="D807" s="8">
        <v>10</v>
      </c>
      <c r="E807" s="8">
        <v>2023</v>
      </c>
      <c r="F807" s="7" t="s">
        <v>73</v>
      </c>
      <c r="G807" s="7" t="s">
        <v>10</v>
      </c>
      <c r="H807" s="8">
        <v>30</v>
      </c>
      <c r="I807" s="7" t="s">
        <v>1021</v>
      </c>
      <c r="J807" s="7" t="s">
        <v>11</v>
      </c>
      <c r="K807" s="8">
        <v>3</v>
      </c>
      <c r="L807" s="7" t="s">
        <v>1022</v>
      </c>
      <c r="M807" s="10">
        <v>50</v>
      </c>
      <c r="N807" s="10">
        <v>150</v>
      </c>
    </row>
    <row r="808" spans="1:14" x14ac:dyDescent="0.2">
      <c r="A808" s="8">
        <v>807</v>
      </c>
      <c r="B808" s="5">
        <v>45222</v>
      </c>
      <c r="C808" s="7" t="s">
        <v>1048</v>
      </c>
      <c r="D808" s="8">
        <v>10</v>
      </c>
      <c r="E808" s="8">
        <v>2023</v>
      </c>
      <c r="F808" s="7" t="s">
        <v>263</v>
      </c>
      <c r="G808" s="7" t="s">
        <v>10</v>
      </c>
      <c r="H808" s="8">
        <v>48</v>
      </c>
      <c r="I808" s="7" t="s">
        <v>1019</v>
      </c>
      <c r="J808" s="7" t="s">
        <v>16</v>
      </c>
      <c r="K808" s="8">
        <v>1</v>
      </c>
      <c r="L808" s="7" t="s">
        <v>1023</v>
      </c>
      <c r="M808" s="10">
        <v>50</v>
      </c>
      <c r="N808" s="10">
        <v>50</v>
      </c>
    </row>
    <row r="809" spans="1:14" x14ac:dyDescent="0.2">
      <c r="A809" s="8">
        <v>808</v>
      </c>
      <c r="B809" s="5">
        <v>45222</v>
      </c>
      <c r="C809" s="7" t="s">
        <v>1048</v>
      </c>
      <c r="D809" s="8">
        <v>10</v>
      </c>
      <c r="E809" s="8">
        <v>2023</v>
      </c>
      <c r="F809" s="7" t="s">
        <v>529</v>
      </c>
      <c r="G809" s="7" t="s">
        <v>10</v>
      </c>
      <c r="H809" s="8">
        <v>30</v>
      </c>
      <c r="I809" s="7" t="s">
        <v>1021</v>
      </c>
      <c r="J809" s="7" t="s">
        <v>11</v>
      </c>
      <c r="K809" s="8">
        <v>4</v>
      </c>
      <c r="L809" s="7" t="s">
        <v>1025</v>
      </c>
      <c r="M809" s="10">
        <v>25</v>
      </c>
      <c r="N809" s="10">
        <v>100</v>
      </c>
    </row>
    <row r="810" spans="1:14" x14ac:dyDescent="0.2">
      <c r="A810" s="8">
        <v>809</v>
      </c>
      <c r="B810" s="5">
        <v>45222</v>
      </c>
      <c r="C810" s="7" t="s">
        <v>1048</v>
      </c>
      <c r="D810" s="8">
        <v>10</v>
      </c>
      <c r="E810" s="8">
        <v>2023</v>
      </c>
      <c r="F810" s="7" t="s">
        <v>950</v>
      </c>
      <c r="G810" s="7" t="s">
        <v>13</v>
      </c>
      <c r="H810" s="8">
        <v>62</v>
      </c>
      <c r="I810" s="7" t="s">
        <v>1018</v>
      </c>
      <c r="J810" s="7" t="s">
        <v>11</v>
      </c>
      <c r="K810" s="8">
        <v>1</v>
      </c>
      <c r="L810" s="7" t="s">
        <v>1023</v>
      </c>
      <c r="M810" s="10">
        <v>500</v>
      </c>
      <c r="N810" s="10">
        <v>500</v>
      </c>
    </row>
    <row r="811" spans="1:14" x14ac:dyDescent="0.2">
      <c r="A811" s="8">
        <v>810</v>
      </c>
      <c r="B811" s="5">
        <v>45223</v>
      </c>
      <c r="C811" s="7" t="s">
        <v>1048</v>
      </c>
      <c r="D811" s="8">
        <v>10</v>
      </c>
      <c r="E811" s="8">
        <v>2023</v>
      </c>
      <c r="F811" s="7" t="s">
        <v>331</v>
      </c>
      <c r="G811" s="7" t="s">
        <v>10</v>
      </c>
      <c r="H811" s="8">
        <v>61</v>
      </c>
      <c r="I811" s="7" t="s">
        <v>1018</v>
      </c>
      <c r="J811" s="7" t="s">
        <v>14</v>
      </c>
      <c r="K811" s="8">
        <v>1</v>
      </c>
      <c r="L811" s="7" t="s">
        <v>1023</v>
      </c>
      <c r="M811" s="10">
        <v>25</v>
      </c>
      <c r="N811" s="10">
        <v>25</v>
      </c>
    </row>
    <row r="812" spans="1:14" x14ac:dyDescent="0.2">
      <c r="A812" s="8">
        <v>811</v>
      </c>
      <c r="B812" s="5">
        <v>45223</v>
      </c>
      <c r="C812" s="7" t="s">
        <v>1048</v>
      </c>
      <c r="D812" s="8">
        <v>10</v>
      </c>
      <c r="E812" s="8">
        <v>2023</v>
      </c>
      <c r="F812" s="7" t="s">
        <v>355</v>
      </c>
      <c r="G812" s="7" t="s">
        <v>13</v>
      </c>
      <c r="H812" s="8">
        <v>43</v>
      </c>
      <c r="I812" s="7" t="s">
        <v>1017</v>
      </c>
      <c r="J812" s="7" t="s">
        <v>14</v>
      </c>
      <c r="K812" s="8">
        <v>4</v>
      </c>
      <c r="L812" s="7" t="s">
        <v>1025</v>
      </c>
      <c r="M812" s="10">
        <v>500</v>
      </c>
      <c r="N812" s="10">
        <v>2000</v>
      </c>
    </row>
    <row r="813" spans="1:14" x14ac:dyDescent="0.2">
      <c r="A813" s="8">
        <v>812</v>
      </c>
      <c r="B813" s="5">
        <v>45223</v>
      </c>
      <c r="C813" s="7" t="s">
        <v>1048</v>
      </c>
      <c r="D813" s="8">
        <v>10</v>
      </c>
      <c r="E813" s="8">
        <v>2023</v>
      </c>
      <c r="F813" s="7" t="s">
        <v>577</v>
      </c>
      <c r="G813" s="7" t="s">
        <v>10</v>
      </c>
      <c r="H813" s="8">
        <v>50</v>
      </c>
      <c r="I813" s="7" t="s">
        <v>1019</v>
      </c>
      <c r="J813" s="7" t="s">
        <v>16</v>
      </c>
      <c r="K813" s="8">
        <v>2</v>
      </c>
      <c r="L813" s="7" t="s">
        <v>1024</v>
      </c>
      <c r="M813" s="10">
        <v>50</v>
      </c>
      <c r="N813" s="10">
        <v>100</v>
      </c>
    </row>
    <row r="814" spans="1:14" x14ac:dyDescent="0.2">
      <c r="A814" s="8">
        <v>813</v>
      </c>
      <c r="B814" s="5">
        <v>45223</v>
      </c>
      <c r="C814" s="7" t="s">
        <v>1048</v>
      </c>
      <c r="D814" s="8">
        <v>10</v>
      </c>
      <c r="E814" s="8">
        <v>2023</v>
      </c>
      <c r="F814" s="7" t="s">
        <v>780</v>
      </c>
      <c r="G814" s="7" t="s">
        <v>10</v>
      </c>
      <c r="H814" s="8">
        <v>39</v>
      </c>
      <c r="I814" s="7" t="s">
        <v>1017</v>
      </c>
      <c r="J814" s="7" t="s">
        <v>11</v>
      </c>
      <c r="K814" s="8">
        <v>3</v>
      </c>
      <c r="L814" s="7" t="s">
        <v>1022</v>
      </c>
      <c r="M814" s="10">
        <v>25</v>
      </c>
      <c r="N814" s="10">
        <v>75</v>
      </c>
    </row>
    <row r="815" spans="1:14" x14ac:dyDescent="0.2">
      <c r="A815" s="8">
        <v>814</v>
      </c>
      <c r="B815" s="5">
        <v>45224</v>
      </c>
      <c r="C815" s="7" t="s">
        <v>1048</v>
      </c>
      <c r="D815" s="8">
        <v>10</v>
      </c>
      <c r="E815" s="8">
        <v>2023</v>
      </c>
      <c r="F815" s="7" t="s">
        <v>516</v>
      </c>
      <c r="G815" s="7" t="s">
        <v>10</v>
      </c>
      <c r="H815" s="8">
        <v>45</v>
      </c>
      <c r="I815" s="7" t="s">
        <v>1017</v>
      </c>
      <c r="J815" s="7" t="s">
        <v>11</v>
      </c>
      <c r="K815" s="8">
        <v>4</v>
      </c>
      <c r="L815" s="7" t="s">
        <v>1025</v>
      </c>
      <c r="M815" s="10">
        <v>500</v>
      </c>
      <c r="N815" s="10">
        <v>2000</v>
      </c>
    </row>
    <row r="816" spans="1:14" x14ac:dyDescent="0.2">
      <c r="A816" s="8">
        <v>815</v>
      </c>
      <c r="B816" s="5">
        <v>45224</v>
      </c>
      <c r="C816" s="7" t="s">
        <v>1048</v>
      </c>
      <c r="D816" s="8">
        <v>10</v>
      </c>
      <c r="E816" s="8">
        <v>2023</v>
      </c>
      <c r="F816" s="7" t="s">
        <v>882</v>
      </c>
      <c r="G816" s="7" t="s">
        <v>10</v>
      </c>
      <c r="H816" s="8">
        <v>37</v>
      </c>
      <c r="I816" s="7" t="s">
        <v>1017</v>
      </c>
      <c r="J816" s="7" t="s">
        <v>11</v>
      </c>
      <c r="K816" s="8">
        <v>3</v>
      </c>
      <c r="L816" s="7" t="s">
        <v>1022</v>
      </c>
      <c r="M816" s="10">
        <v>500</v>
      </c>
      <c r="N816" s="10">
        <v>1500</v>
      </c>
    </row>
    <row r="817" spans="1:14" x14ac:dyDescent="0.2">
      <c r="A817" s="8">
        <v>816</v>
      </c>
      <c r="B817" s="5">
        <v>45225</v>
      </c>
      <c r="C817" s="7" t="s">
        <v>1048</v>
      </c>
      <c r="D817" s="8">
        <v>10</v>
      </c>
      <c r="E817" s="8">
        <v>2023</v>
      </c>
      <c r="F817" s="7" t="s">
        <v>139</v>
      </c>
      <c r="G817" s="7" t="s">
        <v>13</v>
      </c>
      <c r="H817" s="8">
        <v>28</v>
      </c>
      <c r="I817" s="7" t="s">
        <v>1021</v>
      </c>
      <c r="J817" s="7" t="s">
        <v>14</v>
      </c>
      <c r="K817" s="8">
        <v>3</v>
      </c>
      <c r="L817" s="7" t="s">
        <v>1022</v>
      </c>
      <c r="M817" s="10">
        <v>30</v>
      </c>
      <c r="N817" s="10">
        <v>90</v>
      </c>
    </row>
    <row r="818" spans="1:14" x14ac:dyDescent="0.2">
      <c r="A818" s="8">
        <v>817</v>
      </c>
      <c r="B818" s="5">
        <v>45225</v>
      </c>
      <c r="C818" s="7" t="s">
        <v>1048</v>
      </c>
      <c r="D818" s="8">
        <v>10</v>
      </c>
      <c r="E818" s="8">
        <v>2023</v>
      </c>
      <c r="F818" s="7" t="s">
        <v>362</v>
      </c>
      <c r="G818" s="7" t="s">
        <v>13</v>
      </c>
      <c r="H818" s="8">
        <v>57</v>
      </c>
      <c r="I818" s="7" t="s">
        <v>1018</v>
      </c>
      <c r="J818" s="7" t="s">
        <v>11</v>
      </c>
      <c r="K818" s="8">
        <v>1</v>
      </c>
      <c r="L818" s="7" t="s">
        <v>1023</v>
      </c>
      <c r="M818" s="10">
        <v>50</v>
      </c>
      <c r="N818" s="10">
        <v>50</v>
      </c>
    </row>
    <row r="819" spans="1:14" x14ac:dyDescent="0.2">
      <c r="A819" s="8">
        <v>818</v>
      </c>
      <c r="B819" s="5">
        <v>45225</v>
      </c>
      <c r="C819" s="7" t="s">
        <v>1048</v>
      </c>
      <c r="D819" s="8">
        <v>10</v>
      </c>
      <c r="E819" s="8">
        <v>2023</v>
      </c>
      <c r="F819" s="7" t="s">
        <v>453</v>
      </c>
      <c r="G819" s="7" t="s">
        <v>10</v>
      </c>
      <c r="H819" s="8">
        <v>64</v>
      </c>
      <c r="I819" s="7" t="s">
        <v>1018</v>
      </c>
      <c r="J819" s="7" t="s">
        <v>14</v>
      </c>
      <c r="K819" s="8">
        <v>2</v>
      </c>
      <c r="L819" s="7" t="s">
        <v>1024</v>
      </c>
      <c r="M819" s="10">
        <v>300</v>
      </c>
      <c r="N819" s="10">
        <v>600</v>
      </c>
    </row>
    <row r="820" spans="1:14" x14ac:dyDescent="0.2">
      <c r="A820" s="8">
        <v>819</v>
      </c>
      <c r="B820" s="5">
        <v>45226</v>
      </c>
      <c r="C820" s="7" t="s">
        <v>1048</v>
      </c>
      <c r="D820" s="8">
        <v>10</v>
      </c>
      <c r="E820" s="8">
        <v>2023</v>
      </c>
      <c r="F820" s="7" t="s">
        <v>137</v>
      </c>
      <c r="G820" s="7" t="s">
        <v>10</v>
      </c>
      <c r="H820" s="8">
        <v>33</v>
      </c>
      <c r="I820" s="7" t="s">
        <v>1021</v>
      </c>
      <c r="J820" s="7" t="s">
        <v>14</v>
      </c>
      <c r="K820" s="8">
        <v>4</v>
      </c>
      <c r="L820" s="7" t="s">
        <v>1025</v>
      </c>
      <c r="M820" s="10">
        <v>500</v>
      </c>
      <c r="N820" s="10">
        <v>2000</v>
      </c>
    </row>
    <row r="821" spans="1:14" x14ac:dyDescent="0.2">
      <c r="A821" s="8">
        <v>820</v>
      </c>
      <c r="B821" s="5">
        <v>45226</v>
      </c>
      <c r="C821" s="7" t="s">
        <v>1048</v>
      </c>
      <c r="D821" s="8">
        <v>10</v>
      </c>
      <c r="E821" s="8">
        <v>2023</v>
      </c>
      <c r="F821" s="7" t="s">
        <v>337</v>
      </c>
      <c r="G821" s="7" t="s">
        <v>13</v>
      </c>
      <c r="H821" s="8">
        <v>52</v>
      </c>
      <c r="I821" s="7" t="s">
        <v>1019</v>
      </c>
      <c r="J821" s="7" t="s">
        <v>16</v>
      </c>
      <c r="K821" s="8">
        <v>3</v>
      </c>
      <c r="L821" s="7" t="s">
        <v>1022</v>
      </c>
      <c r="M821" s="10">
        <v>50</v>
      </c>
      <c r="N821" s="10">
        <v>150</v>
      </c>
    </row>
    <row r="822" spans="1:14" x14ac:dyDescent="0.2">
      <c r="A822" s="8">
        <v>821</v>
      </c>
      <c r="B822" s="5">
        <v>45226</v>
      </c>
      <c r="C822" s="7" t="s">
        <v>1048</v>
      </c>
      <c r="D822" s="8">
        <v>10</v>
      </c>
      <c r="E822" s="8">
        <v>2023</v>
      </c>
      <c r="F822" s="7" t="s">
        <v>690</v>
      </c>
      <c r="G822" s="7" t="s">
        <v>13</v>
      </c>
      <c r="H822" s="8">
        <v>19</v>
      </c>
      <c r="I822" s="7" t="s">
        <v>1021</v>
      </c>
      <c r="J822" s="7" t="s">
        <v>11</v>
      </c>
      <c r="K822" s="8">
        <v>3</v>
      </c>
      <c r="L822" s="7" t="s">
        <v>1022</v>
      </c>
      <c r="M822" s="10">
        <v>500</v>
      </c>
      <c r="N822" s="10">
        <v>1500</v>
      </c>
    </row>
    <row r="823" spans="1:14" x14ac:dyDescent="0.2">
      <c r="A823" s="8">
        <v>822</v>
      </c>
      <c r="B823" s="5">
        <v>45228</v>
      </c>
      <c r="C823" s="7" t="s">
        <v>1048</v>
      </c>
      <c r="D823" s="8">
        <v>10</v>
      </c>
      <c r="E823" s="8">
        <v>2023</v>
      </c>
      <c r="F823" s="7" t="s">
        <v>43</v>
      </c>
      <c r="G823" s="7" t="s">
        <v>13</v>
      </c>
      <c r="H823" s="8">
        <v>39</v>
      </c>
      <c r="I823" s="7" t="s">
        <v>1017</v>
      </c>
      <c r="J823" s="7" t="s">
        <v>11</v>
      </c>
      <c r="K823" s="8">
        <v>3</v>
      </c>
      <c r="L823" s="7" t="s">
        <v>1022</v>
      </c>
      <c r="M823" s="10">
        <v>300</v>
      </c>
      <c r="N823" s="10">
        <v>900</v>
      </c>
    </row>
    <row r="824" spans="1:14" x14ac:dyDescent="0.2">
      <c r="A824" s="8">
        <v>823</v>
      </c>
      <c r="B824" s="5">
        <v>45228</v>
      </c>
      <c r="C824" s="7" t="s">
        <v>1048</v>
      </c>
      <c r="D824" s="8">
        <v>10</v>
      </c>
      <c r="E824" s="8">
        <v>2023</v>
      </c>
      <c r="F824" s="7" t="s">
        <v>239</v>
      </c>
      <c r="G824" s="7" t="s">
        <v>13</v>
      </c>
      <c r="H824" s="8">
        <v>61</v>
      </c>
      <c r="I824" s="7" t="s">
        <v>1018</v>
      </c>
      <c r="J824" s="7" t="s">
        <v>14</v>
      </c>
      <c r="K824" s="8">
        <v>1</v>
      </c>
      <c r="L824" s="7" t="s">
        <v>1023</v>
      </c>
      <c r="M824" s="10">
        <v>50</v>
      </c>
      <c r="N824" s="10">
        <v>50</v>
      </c>
    </row>
    <row r="825" spans="1:14" x14ac:dyDescent="0.2">
      <c r="A825" s="8">
        <v>824</v>
      </c>
      <c r="B825" s="5">
        <v>45228</v>
      </c>
      <c r="C825" s="7" t="s">
        <v>1048</v>
      </c>
      <c r="D825" s="8">
        <v>10</v>
      </c>
      <c r="E825" s="8">
        <v>2023</v>
      </c>
      <c r="F825" s="7" t="s">
        <v>242</v>
      </c>
      <c r="G825" s="7" t="s">
        <v>10</v>
      </c>
      <c r="H825" s="8">
        <v>58</v>
      </c>
      <c r="I825" s="7" t="s">
        <v>1018</v>
      </c>
      <c r="J825" s="7" t="s">
        <v>11</v>
      </c>
      <c r="K825" s="8">
        <v>3</v>
      </c>
      <c r="L825" s="7" t="s">
        <v>1022</v>
      </c>
      <c r="M825" s="10">
        <v>30</v>
      </c>
      <c r="N825" s="10">
        <v>90</v>
      </c>
    </row>
    <row r="826" spans="1:14" x14ac:dyDescent="0.2">
      <c r="A826" s="8">
        <v>825</v>
      </c>
      <c r="B826" s="5">
        <v>45228</v>
      </c>
      <c r="C826" s="7" t="s">
        <v>1048</v>
      </c>
      <c r="D826" s="8">
        <v>10</v>
      </c>
      <c r="E826" s="8">
        <v>2023</v>
      </c>
      <c r="F826" s="7" t="s">
        <v>909</v>
      </c>
      <c r="G826" s="7" t="s">
        <v>13</v>
      </c>
      <c r="H826" s="8">
        <v>30</v>
      </c>
      <c r="I826" s="7" t="s">
        <v>1021</v>
      </c>
      <c r="J826" s="7" t="s">
        <v>16</v>
      </c>
      <c r="K826" s="8">
        <v>2</v>
      </c>
      <c r="L826" s="7" t="s">
        <v>1024</v>
      </c>
      <c r="M826" s="10">
        <v>25</v>
      </c>
      <c r="N826" s="10">
        <v>50</v>
      </c>
    </row>
    <row r="827" spans="1:14" x14ac:dyDescent="0.2">
      <c r="A827" s="8">
        <v>826</v>
      </c>
      <c r="B827" s="5">
        <v>45228</v>
      </c>
      <c r="C827" s="7" t="s">
        <v>1048</v>
      </c>
      <c r="D827" s="8">
        <v>10</v>
      </c>
      <c r="E827" s="8">
        <v>2023</v>
      </c>
      <c r="F827" s="7" t="s">
        <v>972</v>
      </c>
      <c r="G827" s="7" t="s">
        <v>13</v>
      </c>
      <c r="H827" s="8">
        <v>42</v>
      </c>
      <c r="I827" s="7" t="s">
        <v>1017</v>
      </c>
      <c r="J827" s="7" t="s">
        <v>16</v>
      </c>
      <c r="K827" s="8">
        <v>2</v>
      </c>
      <c r="L827" s="7" t="s">
        <v>1024</v>
      </c>
      <c r="M827" s="10">
        <v>30</v>
      </c>
      <c r="N827" s="10">
        <v>60</v>
      </c>
    </row>
    <row r="828" spans="1:14" x14ac:dyDescent="0.2">
      <c r="A828" s="8">
        <v>827</v>
      </c>
      <c r="B828" s="5">
        <v>45228</v>
      </c>
      <c r="C828" s="7" t="s">
        <v>1048</v>
      </c>
      <c r="D828" s="8">
        <v>10</v>
      </c>
      <c r="E828" s="8">
        <v>2023</v>
      </c>
      <c r="F828" s="7" t="s">
        <v>1011</v>
      </c>
      <c r="G828" s="7" t="s">
        <v>13</v>
      </c>
      <c r="H828" s="8">
        <v>23</v>
      </c>
      <c r="I828" s="7" t="s">
        <v>1021</v>
      </c>
      <c r="J828" s="7" t="s">
        <v>11</v>
      </c>
      <c r="K828" s="8">
        <v>4</v>
      </c>
      <c r="L828" s="7" t="s">
        <v>1025</v>
      </c>
      <c r="M828" s="10">
        <v>25</v>
      </c>
      <c r="N828" s="10">
        <v>100</v>
      </c>
    </row>
    <row r="829" spans="1:14" x14ac:dyDescent="0.2">
      <c r="A829" s="8">
        <v>828</v>
      </c>
      <c r="B829" s="5">
        <v>45229</v>
      </c>
      <c r="C829" s="7" t="s">
        <v>1048</v>
      </c>
      <c r="D829" s="8">
        <v>10</v>
      </c>
      <c r="E829" s="8">
        <v>2023</v>
      </c>
      <c r="F829" s="7" t="s">
        <v>25</v>
      </c>
      <c r="G829" s="7" t="s">
        <v>10</v>
      </c>
      <c r="H829" s="8">
        <v>35</v>
      </c>
      <c r="I829" s="7" t="s">
        <v>1017</v>
      </c>
      <c r="J829" s="7" t="s">
        <v>11</v>
      </c>
      <c r="K829" s="8">
        <v>3</v>
      </c>
      <c r="L829" s="7" t="s">
        <v>1022</v>
      </c>
      <c r="M829" s="10">
        <v>25</v>
      </c>
      <c r="N829" s="10">
        <v>75</v>
      </c>
    </row>
    <row r="830" spans="1:14" x14ac:dyDescent="0.2">
      <c r="A830" s="8">
        <v>829</v>
      </c>
      <c r="B830" s="5">
        <v>45230</v>
      </c>
      <c r="C830" s="7" t="s">
        <v>1048</v>
      </c>
      <c r="D830" s="8">
        <v>10</v>
      </c>
      <c r="E830" s="8">
        <v>2023</v>
      </c>
      <c r="F830" s="7" t="s">
        <v>723</v>
      </c>
      <c r="G830" s="7" t="s">
        <v>13</v>
      </c>
      <c r="H830" s="8">
        <v>26</v>
      </c>
      <c r="I830" s="7" t="s">
        <v>1021</v>
      </c>
      <c r="J830" s="7" t="s">
        <v>16</v>
      </c>
      <c r="K830" s="8">
        <v>3</v>
      </c>
      <c r="L830" s="7" t="s">
        <v>1022</v>
      </c>
      <c r="M830" s="10">
        <v>500</v>
      </c>
      <c r="N830" s="10">
        <v>1500</v>
      </c>
    </row>
    <row r="831" spans="1:14" x14ac:dyDescent="0.2">
      <c r="A831" s="8">
        <v>830</v>
      </c>
      <c r="B831" s="5">
        <v>45230</v>
      </c>
      <c r="C831" s="7" t="s">
        <v>1048</v>
      </c>
      <c r="D831" s="8">
        <v>10</v>
      </c>
      <c r="E831" s="8">
        <v>2023</v>
      </c>
      <c r="F831" s="7" t="s">
        <v>789</v>
      </c>
      <c r="G831" s="7" t="s">
        <v>10</v>
      </c>
      <c r="H831" s="8">
        <v>35</v>
      </c>
      <c r="I831" s="7" t="s">
        <v>1017</v>
      </c>
      <c r="J831" s="7" t="s">
        <v>14</v>
      </c>
      <c r="K831" s="8">
        <v>3</v>
      </c>
      <c r="L831" s="7" t="s">
        <v>1022</v>
      </c>
      <c r="M831" s="10">
        <v>30</v>
      </c>
      <c r="N831" s="10">
        <v>90</v>
      </c>
    </row>
    <row r="832" spans="1:14" x14ac:dyDescent="0.2">
      <c r="A832" s="8">
        <v>831</v>
      </c>
      <c r="B832" s="5">
        <v>45230</v>
      </c>
      <c r="C832" s="7" t="s">
        <v>1048</v>
      </c>
      <c r="D832" s="8">
        <v>10</v>
      </c>
      <c r="E832" s="8">
        <v>2023</v>
      </c>
      <c r="F832" s="7" t="s">
        <v>830</v>
      </c>
      <c r="G832" s="7" t="s">
        <v>10</v>
      </c>
      <c r="H832" s="8">
        <v>30</v>
      </c>
      <c r="I832" s="7" t="s">
        <v>1021</v>
      </c>
      <c r="J832" s="7" t="s">
        <v>11</v>
      </c>
      <c r="K832" s="8">
        <v>4</v>
      </c>
      <c r="L832" s="7" t="s">
        <v>1025</v>
      </c>
      <c r="M832" s="10">
        <v>50</v>
      </c>
      <c r="N832" s="10">
        <v>200</v>
      </c>
    </row>
    <row r="833" spans="1:14" x14ac:dyDescent="0.2">
      <c r="A833" s="8">
        <v>832</v>
      </c>
      <c r="B833" s="5">
        <v>45231</v>
      </c>
      <c r="C833" s="7" t="s">
        <v>1049</v>
      </c>
      <c r="D833" s="8">
        <v>11</v>
      </c>
      <c r="E833" s="8">
        <v>2023</v>
      </c>
      <c r="F833" s="7" t="s">
        <v>347</v>
      </c>
      <c r="G833" s="7" t="s">
        <v>10</v>
      </c>
      <c r="H833" s="8">
        <v>31</v>
      </c>
      <c r="I833" s="7" t="s">
        <v>1021</v>
      </c>
      <c r="J833" s="7" t="s">
        <v>16</v>
      </c>
      <c r="K833" s="8">
        <v>3</v>
      </c>
      <c r="L833" s="7" t="s">
        <v>1022</v>
      </c>
      <c r="M833" s="10">
        <v>300</v>
      </c>
      <c r="N833" s="10">
        <v>900</v>
      </c>
    </row>
    <row r="834" spans="1:14" x14ac:dyDescent="0.2">
      <c r="A834" s="8">
        <v>833</v>
      </c>
      <c r="B834" s="5">
        <v>45231</v>
      </c>
      <c r="C834" s="7" t="s">
        <v>1049</v>
      </c>
      <c r="D834" s="8">
        <v>11</v>
      </c>
      <c r="E834" s="8">
        <v>2023</v>
      </c>
      <c r="F834" s="7" t="s">
        <v>356</v>
      </c>
      <c r="G834" s="7" t="s">
        <v>10</v>
      </c>
      <c r="H834" s="8">
        <v>21</v>
      </c>
      <c r="I834" s="7" t="s">
        <v>1021</v>
      </c>
      <c r="J834" s="7" t="s">
        <v>16</v>
      </c>
      <c r="K834" s="8">
        <v>2</v>
      </c>
      <c r="L834" s="7" t="s">
        <v>1024</v>
      </c>
      <c r="M834" s="10">
        <v>25</v>
      </c>
      <c r="N834" s="10">
        <v>50</v>
      </c>
    </row>
    <row r="835" spans="1:14" x14ac:dyDescent="0.2">
      <c r="A835" s="8">
        <v>834</v>
      </c>
      <c r="B835" s="5">
        <v>45231</v>
      </c>
      <c r="C835" s="7" t="s">
        <v>1049</v>
      </c>
      <c r="D835" s="8">
        <v>11</v>
      </c>
      <c r="E835" s="8">
        <v>2023</v>
      </c>
      <c r="F835" s="7" t="s">
        <v>641</v>
      </c>
      <c r="G835" s="7" t="s">
        <v>13</v>
      </c>
      <c r="H835" s="8">
        <v>19</v>
      </c>
      <c r="I835" s="7" t="s">
        <v>1021</v>
      </c>
      <c r="J835" s="7" t="s">
        <v>11</v>
      </c>
      <c r="K835" s="8">
        <v>4</v>
      </c>
      <c r="L835" s="7" t="s">
        <v>1025</v>
      </c>
      <c r="M835" s="10">
        <v>50</v>
      </c>
      <c r="N835" s="10">
        <v>200</v>
      </c>
    </row>
    <row r="836" spans="1:14" x14ac:dyDescent="0.2">
      <c r="A836" s="8">
        <v>835</v>
      </c>
      <c r="B836" s="5">
        <v>45231</v>
      </c>
      <c r="C836" s="7" t="s">
        <v>1049</v>
      </c>
      <c r="D836" s="8">
        <v>11</v>
      </c>
      <c r="E836" s="8">
        <v>2023</v>
      </c>
      <c r="F836" s="7" t="s">
        <v>996</v>
      </c>
      <c r="G836" s="7" t="s">
        <v>13</v>
      </c>
      <c r="H836" s="8">
        <v>29</v>
      </c>
      <c r="I836" s="7" t="s">
        <v>1021</v>
      </c>
      <c r="J836" s="7" t="s">
        <v>14</v>
      </c>
      <c r="K836" s="8">
        <v>1</v>
      </c>
      <c r="L836" s="7" t="s">
        <v>1023</v>
      </c>
      <c r="M836" s="10">
        <v>300</v>
      </c>
      <c r="N836" s="10">
        <v>300</v>
      </c>
    </row>
    <row r="837" spans="1:14" x14ac:dyDescent="0.2">
      <c r="A837" s="8">
        <v>836</v>
      </c>
      <c r="B837" s="5">
        <v>45232</v>
      </c>
      <c r="C837" s="7" t="s">
        <v>1049</v>
      </c>
      <c r="D837" s="8">
        <v>11</v>
      </c>
      <c r="E837" s="8">
        <v>2023</v>
      </c>
      <c r="F837" s="7" t="s">
        <v>154</v>
      </c>
      <c r="G837" s="7" t="s">
        <v>13</v>
      </c>
      <c r="H837" s="8">
        <v>22</v>
      </c>
      <c r="I837" s="7" t="s">
        <v>1021</v>
      </c>
      <c r="J837" s="7" t="s">
        <v>16</v>
      </c>
      <c r="K837" s="8">
        <v>1</v>
      </c>
      <c r="L837" s="7" t="s">
        <v>1023</v>
      </c>
      <c r="M837" s="10">
        <v>50</v>
      </c>
      <c r="N837" s="10">
        <v>50</v>
      </c>
    </row>
    <row r="838" spans="1:14" x14ac:dyDescent="0.2">
      <c r="A838" s="8">
        <v>837</v>
      </c>
      <c r="B838" s="5">
        <v>45232</v>
      </c>
      <c r="C838" s="7" t="s">
        <v>1049</v>
      </c>
      <c r="D838" s="8">
        <v>11</v>
      </c>
      <c r="E838" s="8">
        <v>2023</v>
      </c>
      <c r="F838" s="7" t="s">
        <v>158</v>
      </c>
      <c r="G838" s="7" t="s">
        <v>13</v>
      </c>
      <c r="H838" s="8">
        <v>39</v>
      </c>
      <c r="I838" s="7" t="s">
        <v>1017</v>
      </c>
      <c r="J838" s="7" t="s">
        <v>14</v>
      </c>
      <c r="K838" s="8">
        <v>3</v>
      </c>
      <c r="L838" s="7" t="s">
        <v>1022</v>
      </c>
      <c r="M838" s="10">
        <v>25</v>
      </c>
      <c r="N838" s="10">
        <v>75</v>
      </c>
    </row>
    <row r="839" spans="1:14" x14ac:dyDescent="0.2">
      <c r="A839" s="8">
        <v>838</v>
      </c>
      <c r="B839" s="5">
        <v>45232</v>
      </c>
      <c r="C839" s="7" t="s">
        <v>1049</v>
      </c>
      <c r="D839" s="8">
        <v>11</v>
      </c>
      <c r="E839" s="8">
        <v>2023</v>
      </c>
      <c r="F839" s="7" t="s">
        <v>520</v>
      </c>
      <c r="G839" s="7" t="s">
        <v>13</v>
      </c>
      <c r="H839" s="8">
        <v>37</v>
      </c>
      <c r="I839" s="7" t="s">
        <v>1017</v>
      </c>
      <c r="J839" s="7" t="s">
        <v>16</v>
      </c>
      <c r="K839" s="8">
        <v>3</v>
      </c>
      <c r="L839" s="7" t="s">
        <v>1022</v>
      </c>
      <c r="M839" s="10">
        <v>500</v>
      </c>
      <c r="N839" s="10">
        <v>1500</v>
      </c>
    </row>
    <row r="840" spans="1:14" x14ac:dyDescent="0.2">
      <c r="A840" s="8">
        <v>839</v>
      </c>
      <c r="B840" s="5">
        <v>45232</v>
      </c>
      <c r="C840" s="7" t="s">
        <v>1049</v>
      </c>
      <c r="D840" s="8">
        <v>11</v>
      </c>
      <c r="E840" s="8">
        <v>2023</v>
      </c>
      <c r="F840" s="7" t="s">
        <v>854</v>
      </c>
      <c r="G840" s="7" t="s">
        <v>10</v>
      </c>
      <c r="H840" s="8">
        <v>31</v>
      </c>
      <c r="I840" s="7" t="s">
        <v>1021</v>
      </c>
      <c r="J840" s="7" t="s">
        <v>16</v>
      </c>
      <c r="K840" s="8">
        <v>4</v>
      </c>
      <c r="L840" s="7" t="s">
        <v>1025</v>
      </c>
      <c r="M840" s="10">
        <v>25</v>
      </c>
      <c r="N840" s="10">
        <v>100</v>
      </c>
    </row>
    <row r="841" spans="1:14" x14ac:dyDescent="0.2">
      <c r="A841" s="8">
        <v>840</v>
      </c>
      <c r="B841" s="5">
        <v>45232</v>
      </c>
      <c r="C841" s="7" t="s">
        <v>1049</v>
      </c>
      <c r="D841" s="8">
        <v>11</v>
      </c>
      <c r="E841" s="8">
        <v>2023</v>
      </c>
      <c r="F841" s="7" t="s">
        <v>911</v>
      </c>
      <c r="G841" s="7" t="s">
        <v>13</v>
      </c>
      <c r="H841" s="8">
        <v>42</v>
      </c>
      <c r="I841" s="7" t="s">
        <v>1017</v>
      </c>
      <c r="J841" s="7" t="s">
        <v>14</v>
      </c>
      <c r="K841" s="8">
        <v>3</v>
      </c>
      <c r="L841" s="7" t="s">
        <v>1022</v>
      </c>
      <c r="M841" s="10">
        <v>30</v>
      </c>
      <c r="N841" s="10">
        <v>90</v>
      </c>
    </row>
    <row r="842" spans="1:14" x14ac:dyDescent="0.2">
      <c r="A842" s="8">
        <v>841</v>
      </c>
      <c r="B842" s="5">
        <v>45232</v>
      </c>
      <c r="C842" s="7" t="s">
        <v>1049</v>
      </c>
      <c r="D842" s="8">
        <v>11</v>
      </c>
      <c r="E842" s="8">
        <v>2023</v>
      </c>
      <c r="F842" s="7" t="s">
        <v>964</v>
      </c>
      <c r="G842" s="7" t="s">
        <v>10</v>
      </c>
      <c r="H842" s="8">
        <v>33</v>
      </c>
      <c r="I842" s="7" t="s">
        <v>1021</v>
      </c>
      <c r="J842" s="7" t="s">
        <v>11</v>
      </c>
      <c r="K842" s="8">
        <v>2</v>
      </c>
      <c r="L842" s="7" t="s">
        <v>1024</v>
      </c>
      <c r="M842" s="10">
        <v>50</v>
      </c>
      <c r="N842" s="10">
        <v>100</v>
      </c>
    </row>
    <row r="843" spans="1:14" x14ac:dyDescent="0.2">
      <c r="A843" s="8">
        <v>842</v>
      </c>
      <c r="B843" s="5">
        <v>45233</v>
      </c>
      <c r="C843" s="7" t="s">
        <v>1049</v>
      </c>
      <c r="D843" s="8">
        <v>11</v>
      </c>
      <c r="E843" s="8">
        <v>2023</v>
      </c>
      <c r="F843" s="7" t="s">
        <v>194</v>
      </c>
      <c r="G843" s="7" t="s">
        <v>10</v>
      </c>
      <c r="H843" s="8">
        <v>19</v>
      </c>
      <c r="I843" s="7" t="s">
        <v>1021</v>
      </c>
      <c r="J843" s="7" t="s">
        <v>16</v>
      </c>
      <c r="K843" s="8">
        <v>4</v>
      </c>
      <c r="L843" s="7" t="s">
        <v>1025</v>
      </c>
      <c r="M843" s="10">
        <v>300</v>
      </c>
      <c r="N843" s="10">
        <v>1200</v>
      </c>
    </row>
    <row r="844" spans="1:14" x14ac:dyDescent="0.2">
      <c r="A844" s="8">
        <v>843</v>
      </c>
      <c r="B844" s="5">
        <v>45234</v>
      </c>
      <c r="C844" s="7" t="s">
        <v>1049</v>
      </c>
      <c r="D844" s="8">
        <v>11</v>
      </c>
      <c r="E844" s="8">
        <v>2023</v>
      </c>
      <c r="F844" s="7" t="s">
        <v>797</v>
      </c>
      <c r="G844" s="7" t="s">
        <v>13</v>
      </c>
      <c r="H844" s="8">
        <v>34</v>
      </c>
      <c r="I844" s="7" t="s">
        <v>1021</v>
      </c>
      <c r="J844" s="7" t="s">
        <v>16</v>
      </c>
      <c r="K844" s="8">
        <v>1</v>
      </c>
      <c r="L844" s="7" t="s">
        <v>1023</v>
      </c>
      <c r="M844" s="10">
        <v>500</v>
      </c>
      <c r="N844" s="10">
        <v>500</v>
      </c>
    </row>
    <row r="845" spans="1:14" x14ac:dyDescent="0.2">
      <c r="A845" s="8">
        <v>844</v>
      </c>
      <c r="B845" s="5">
        <v>45235</v>
      </c>
      <c r="C845" s="7" t="s">
        <v>1049</v>
      </c>
      <c r="D845" s="8">
        <v>11</v>
      </c>
      <c r="E845" s="8">
        <v>2023</v>
      </c>
      <c r="F845" s="7" t="s">
        <v>33</v>
      </c>
      <c r="G845" s="7" t="s">
        <v>10</v>
      </c>
      <c r="H845" s="8">
        <v>22</v>
      </c>
      <c r="I845" s="7" t="s">
        <v>1021</v>
      </c>
      <c r="J845" s="7" t="s">
        <v>14</v>
      </c>
      <c r="K845" s="8">
        <v>3</v>
      </c>
      <c r="L845" s="7" t="s">
        <v>1022</v>
      </c>
      <c r="M845" s="10">
        <v>300</v>
      </c>
      <c r="N845" s="10">
        <v>900</v>
      </c>
    </row>
    <row r="846" spans="1:14" x14ac:dyDescent="0.2">
      <c r="A846" s="8">
        <v>845</v>
      </c>
      <c r="B846" s="5">
        <v>45235</v>
      </c>
      <c r="C846" s="7" t="s">
        <v>1049</v>
      </c>
      <c r="D846" s="8">
        <v>11</v>
      </c>
      <c r="E846" s="8">
        <v>2023</v>
      </c>
      <c r="F846" s="7" t="s">
        <v>703</v>
      </c>
      <c r="G846" s="7" t="s">
        <v>13</v>
      </c>
      <c r="H846" s="8">
        <v>52</v>
      </c>
      <c r="I846" s="7" t="s">
        <v>1019</v>
      </c>
      <c r="J846" s="7" t="s">
        <v>14</v>
      </c>
      <c r="K846" s="8">
        <v>3</v>
      </c>
      <c r="L846" s="7" t="s">
        <v>1022</v>
      </c>
      <c r="M846" s="10">
        <v>300</v>
      </c>
      <c r="N846" s="10">
        <v>900</v>
      </c>
    </row>
    <row r="847" spans="1:14" x14ac:dyDescent="0.2">
      <c r="A847" s="8">
        <v>846</v>
      </c>
      <c r="B847" s="5">
        <v>45236</v>
      </c>
      <c r="C847" s="7" t="s">
        <v>1049</v>
      </c>
      <c r="D847" s="8">
        <v>11</v>
      </c>
      <c r="E847" s="8">
        <v>2023</v>
      </c>
      <c r="F847" s="7" t="s">
        <v>60</v>
      </c>
      <c r="G847" s="7" t="s">
        <v>13</v>
      </c>
      <c r="H847" s="8">
        <v>40</v>
      </c>
      <c r="I847" s="7" t="s">
        <v>1017</v>
      </c>
      <c r="J847" s="7" t="s">
        <v>11</v>
      </c>
      <c r="K847" s="8">
        <v>3</v>
      </c>
      <c r="L847" s="7" t="s">
        <v>1022</v>
      </c>
      <c r="M847" s="10">
        <v>500</v>
      </c>
      <c r="N847" s="10">
        <v>1500</v>
      </c>
    </row>
    <row r="848" spans="1:14" x14ac:dyDescent="0.2">
      <c r="A848" s="8">
        <v>847</v>
      </c>
      <c r="B848" s="5">
        <v>45236</v>
      </c>
      <c r="C848" s="7" t="s">
        <v>1049</v>
      </c>
      <c r="D848" s="8">
        <v>11</v>
      </c>
      <c r="E848" s="8">
        <v>2023</v>
      </c>
      <c r="F848" s="7" t="s">
        <v>418</v>
      </c>
      <c r="G848" s="7" t="s">
        <v>13</v>
      </c>
      <c r="H848" s="8">
        <v>25</v>
      </c>
      <c r="I848" s="7" t="s">
        <v>1021</v>
      </c>
      <c r="J848" s="7" t="s">
        <v>14</v>
      </c>
      <c r="K848" s="8">
        <v>4</v>
      </c>
      <c r="L848" s="7" t="s">
        <v>1025</v>
      </c>
      <c r="M848" s="10">
        <v>300</v>
      </c>
      <c r="N848" s="10">
        <v>1200</v>
      </c>
    </row>
    <row r="849" spans="1:14" x14ac:dyDescent="0.2">
      <c r="A849" s="8">
        <v>848</v>
      </c>
      <c r="B849" s="5">
        <v>45237</v>
      </c>
      <c r="C849" s="7" t="s">
        <v>1049</v>
      </c>
      <c r="D849" s="8">
        <v>11</v>
      </c>
      <c r="E849" s="8">
        <v>2023</v>
      </c>
      <c r="F849" s="7" t="s">
        <v>218</v>
      </c>
      <c r="G849" s="7" t="s">
        <v>13</v>
      </c>
      <c r="H849" s="8">
        <v>43</v>
      </c>
      <c r="I849" s="7" t="s">
        <v>1017</v>
      </c>
      <c r="J849" s="7" t="s">
        <v>14</v>
      </c>
      <c r="K849" s="8">
        <v>1</v>
      </c>
      <c r="L849" s="7" t="s">
        <v>1023</v>
      </c>
      <c r="M849" s="10">
        <v>25</v>
      </c>
      <c r="N849" s="10">
        <v>25</v>
      </c>
    </row>
    <row r="850" spans="1:14" x14ac:dyDescent="0.2">
      <c r="A850" s="8">
        <v>849</v>
      </c>
      <c r="B850" s="5">
        <v>45237</v>
      </c>
      <c r="C850" s="7" t="s">
        <v>1049</v>
      </c>
      <c r="D850" s="8">
        <v>11</v>
      </c>
      <c r="E850" s="8">
        <v>2023</v>
      </c>
      <c r="F850" s="7" t="s">
        <v>525</v>
      </c>
      <c r="G850" s="7" t="s">
        <v>13</v>
      </c>
      <c r="H850" s="8">
        <v>57</v>
      </c>
      <c r="I850" s="7" t="s">
        <v>1018</v>
      </c>
      <c r="J850" s="7" t="s">
        <v>11</v>
      </c>
      <c r="K850" s="8">
        <v>1</v>
      </c>
      <c r="L850" s="7" t="s">
        <v>1023</v>
      </c>
      <c r="M850" s="10">
        <v>25</v>
      </c>
      <c r="N850" s="10">
        <v>25</v>
      </c>
    </row>
    <row r="851" spans="1:14" x14ac:dyDescent="0.2">
      <c r="A851" s="8">
        <v>850</v>
      </c>
      <c r="B851" s="5">
        <v>45237</v>
      </c>
      <c r="C851" s="7" t="s">
        <v>1049</v>
      </c>
      <c r="D851" s="8">
        <v>11</v>
      </c>
      <c r="E851" s="8">
        <v>2023</v>
      </c>
      <c r="F851" s="7" t="s">
        <v>578</v>
      </c>
      <c r="G851" s="7" t="s">
        <v>13</v>
      </c>
      <c r="H851" s="8">
        <v>45</v>
      </c>
      <c r="I851" s="7" t="s">
        <v>1017</v>
      </c>
      <c r="J851" s="7" t="s">
        <v>11</v>
      </c>
      <c r="K851" s="8">
        <v>2</v>
      </c>
      <c r="L851" s="7" t="s">
        <v>1024</v>
      </c>
      <c r="M851" s="10">
        <v>30</v>
      </c>
      <c r="N851" s="10">
        <v>60</v>
      </c>
    </row>
    <row r="852" spans="1:14" x14ac:dyDescent="0.2">
      <c r="A852" s="8">
        <v>851</v>
      </c>
      <c r="B852" s="5">
        <v>45237</v>
      </c>
      <c r="C852" s="7" t="s">
        <v>1049</v>
      </c>
      <c r="D852" s="8">
        <v>11</v>
      </c>
      <c r="E852" s="8">
        <v>2023</v>
      </c>
      <c r="F852" s="7" t="s">
        <v>774</v>
      </c>
      <c r="G852" s="7" t="s">
        <v>13</v>
      </c>
      <c r="H852" s="8">
        <v>33</v>
      </c>
      <c r="I852" s="7" t="s">
        <v>1021</v>
      </c>
      <c r="J852" s="7" t="s">
        <v>14</v>
      </c>
      <c r="K852" s="8">
        <v>1</v>
      </c>
      <c r="L852" s="7" t="s">
        <v>1023</v>
      </c>
      <c r="M852" s="10">
        <v>500</v>
      </c>
      <c r="N852" s="10">
        <v>500</v>
      </c>
    </row>
    <row r="853" spans="1:14" x14ac:dyDescent="0.2">
      <c r="A853" s="8">
        <v>852</v>
      </c>
      <c r="B853" s="5">
        <v>45237</v>
      </c>
      <c r="C853" s="7" t="s">
        <v>1049</v>
      </c>
      <c r="D853" s="8">
        <v>11</v>
      </c>
      <c r="E853" s="8">
        <v>2023</v>
      </c>
      <c r="F853" s="7" t="s">
        <v>775</v>
      </c>
      <c r="G853" s="7" t="s">
        <v>13</v>
      </c>
      <c r="H853" s="8">
        <v>24</v>
      </c>
      <c r="I853" s="7" t="s">
        <v>1021</v>
      </c>
      <c r="J853" s="7" t="s">
        <v>16</v>
      </c>
      <c r="K853" s="8">
        <v>2</v>
      </c>
      <c r="L853" s="7" t="s">
        <v>1024</v>
      </c>
      <c r="M853" s="10">
        <v>25</v>
      </c>
      <c r="N853" s="10">
        <v>50</v>
      </c>
    </row>
    <row r="854" spans="1:14" x14ac:dyDescent="0.2">
      <c r="A854" s="8">
        <v>853</v>
      </c>
      <c r="B854" s="5">
        <v>45237</v>
      </c>
      <c r="C854" s="7" t="s">
        <v>1049</v>
      </c>
      <c r="D854" s="8">
        <v>11</v>
      </c>
      <c r="E854" s="8">
        <v>2023</v>
      </c>
      <c r="F854" s="7" t="s">
        <v>963</v>
      </c>
      <c r="G854" s="7" t="s">
        <v>10</v>
      </c>
      <c r="H854" s="8">
        <v>36</v>
      </c>
      <c r="I854" s="7" t="s">
        <v>1017</v>
      </c>
      <c r="J854" s="7" t="s">
        <v>14</v>
      </c>
      <c r="K854" s="8">
        <v>3</v>
      </c>
      <c r="L854" s="7" t="s">
        <v>1022</v>
      </c>
      <c r="M854" s="10">
        <v>300</v>
      </c>
      <c r="N854" s="10">
        <v>900</v>
      </c>
    </row>
    <row r="855" spans="1:14" x14ac:dyDescent="0.2">
      <c r="A855" s="8">
        <v>854</v>
      </c>
      <c r="B855" s="5">
        <v>45238</v>
      </c>
      <c r="C855" s="7" t="s">
        <v>1049</v>
      </c>
      <c r="D855" s="8">
        <v>11</v>
      </c>
      <c r="E855" s="8">
        <v>2023</v>
      </c>
      <c r="F855" s="7" t="s">
        <v>99</v>
      </c>
      <c r="G855" s="7" t="s">
        <v>10</v>
      </c>
      <c r="H855" s="8">
        <v>19</v>
      </c>
      <c r="I855" s="7" t="s">
        <v>1021</v>
      </c>
      <c r="J855" s="7" t="s">
        <v>11</v>
      </c>
      <c r="K855" s="8">
        <v>3</v>
      </c>
      <c r="L855" s="7" t="s">
        <v>1022</v>
      </c>
      <c r="M855" s="10">
        <v>30</v>
      </c>
      <c r="N855" s="10">
        <v>90</v>
      </c>
    </row>
    <row r="856" spans="1:14" x14ac:dyDescent="0.2">
      <c r="A856" s="8">
        <v>855</v>
      </c>
      <c r="B856" s="5">
        <v>45238</v>
      </c>
      <c r="C856" s="7" t="s">
        <v>1049</v>
      </c>
      <c r="D856" s="8">
        <v>11</v>
      </c>
      <c r="E856" s="8">
        <v>2023</v>
      </c>
      <c r="F856" s="7" t="s">
        <v>186</v>
      </c>
      <c r="G856" s="7" t="s">
        <v>10</v>
      </c>
      <c r="H856" s="8">
        <v>64</v>
      </c>
      <c r="I856" s="7" t="s">
        <v>1018</v>
      </c>
      <c r="J856" s="7" t="s">
        <v>16</v>
      </c>
      <c r="K856" s="8">
        <v>4</v>
      </c>
      <c r="L856" s="7" t="s">
        <v>1025</v>
      </c>
      <c r="M856" s="10">
        <v>30</v>
      </c>
      <c r="N856" s="10">
        <v>120</v>
      </c>
    </row>
    <row r="857" spans="1:14" x14ac:dyDescent="0.2">
      <c r="A857" s="8">
        <v>856</v>
      </c>
      <c r="B857" s="5">
        <v>45239</v>
      </c>
      <c r="C857" s="7" t="s">
        <v>1049</v>
      </c>
      <c r="D857" s="8">
        <v>11</v>
      </c>
      <c r="E857" s="8">
        <v>2023</v>
      </c>
      <c r="F857" s="7" t="s">
        <v>608</v>
      </c>
      <c r="G857" s="7" t="s">
        <v>13</v>
      </c>
      <c r="H857" s="8">
        <v>18</v>
      </c>
      <c r="I857" s="7" t="s">
        <v>1020</v>
      </c>
      <c r="J857" s="7" t="s">
        <v>14</v>
      </c>
      <c r="K857" s="8">
        <v>4</v>
      </c>
      <c r="L857" s="7" t="s">
        <v>1025</v>
      </c>
      <c r="M857" s="10">
        <v>500</v>
      </c>
      <c r="N857" s="10">
        <v>2000</v>
      </c>
    </row>
    <row r="858" spans="1:14" x14ac:dyDescent="0.2">
      <c r="A858" s="8">
        <v>857</v>
      </c>
      <c r="B858" s="5">
        <v>45239</v>
      </c>
      <c r="C858" s="7" t="s">
        <v>1049</v>
      </c>
      <c r="D858" s="8">
        <v>11</v>
      </c>
      <c r="E858" s="8">
        <v>2023</v>
      </c>
      <c r="F858" s="7" t="s">
        <v>840</v>
      </c>
      <c r="G858" s="7" t="s">
        <v>10</v>
      </c>
      <c r="H858" s="8">
        <v>61</v>
      </c>
      <c r="I858" s="7" t="s">
        <v>1018</v>
      </c>
      <c r="J858" s="7" t="s">
        <v>11</v>
      </c>
      <c r="K858" s="8">
        <v>3</v>
      </c>
      <c r="L858" s="7" t="s">
        <v>1022</v>
      </c>
      <c r="M858" s="10">
        <v>300</v>
      </c>
      <c r="N858" s="10">
        <v>900</v>
      </c>
    </row>
    <row r="859" spans="1:14" x14ac:dyDescent="0.2">
      <c r="A859" s="8">
        <v>858</v>
      </c>
      <c r="B859" s="5">
        <v>45239</v>
      </c>
      <c r="C859" s="7" t="s">
        <v>1049</v>
      </c>
      <c r="D859" s="8">
        <v>11</v>
      </c>
      <c r="E859" s="8">
        <v>2023</v>
      </c>
      <c r="F859" s="7" t="s">
        <v>978</v>
      </c>
      <c r="G859" s="7" t="s">
        <v>10</v>
      </c>
      <c r="H859" s="8">
        <v>22</v>
      </c>
      <c r="I859" s="7" t="s">
        <v>1021</v>
      </c>
      <c r="J859" s="7" t="s">
        <v>14</v>
      </c>
      <c r="K859" s="8">
        <v>4</v>
      </c>
      <c r="L859" s="7" t="s">
        <v>1025</v>
      </c>
      <c r="M859" s="10">
        <v>50</v>
      </c>
      <c r="N859" s="10">
        <v>200</v>
      </c>
    </row>
    <row r="860" spans="1:14" x14ac:dyDescent="0.2">
      <c r="A860" s="8">
        <v>859</v>
      </c>
      <c r="B860" s="5">
        <v>45240</v>
      </c>
      <c r="C860" s="7" t="s">
        <v>1049</v>
      </c>
      <c r="D860" s="8">
        <v>11</v>
      </c>
      <c r="E860" s="8">
        <v>2023</v>
      </c>
      <c r="F860" s="7" t="s">
        <v>401</v>
      </c>
      <c r="G860" s="7" t="s">
        <v>10</v>
      </c>
      <c r="H860" s="8">
        <v>50</v>
      </c>
      <c r="I860" s="7" t="s">
        <v>1019</v>
      </c>
      <c r="J860" s="7" t="s">
        <v>16</v>
      </c>
      <c r="K860" s="8">
        <v>1</v>
      </c>
      <c r="L860" s="7" t="s">
        <v>1023</v>
      </c>
      <c r="M860" s="10">
        <v>25</v>
      </c>
      <c r="N860" s="10">
        <v>25</v>
      </c>
    </row>
    <row r="861" spans="1:14" x14ac:dyDescent="0.2">
      <c r="A861" s="8">
        <v>860</v>
      </c>
      <c r="B861" s="5">
        <v>45240</v>
      </c>
      <c r="C861" s="7" t="s">
        <v>1049</v>
      </c>
      <c r="D861" s="8">
        <v>11</v>
      </c>
      <c r="E861" s="8">
        <v>2023</v>
      </c>
      <c r="F861" s="7" t="s">
        <v>644</v>
      </c>
      <c r="G861" s="7" t="s">
        <v>10</v>
      </c>
      <c r="H861" s="8">
        <v>56</v>
      </c>
      <c r="I861" s="7" t="s">
        <v>1018</v>
      </c>
      <c r="J861" s="7" t="s">
        <v>16</v>
      </c>
      <c r="K861" s="8">
        <v>3</v>
      </c>
      <c r="L861" s="7" t="s">
        <v>1022</v>
      </c>
      <c r="M861" s="10">
        <v>30</v>
      </c>
      <c r="N861" s="10">
        <v>90</v>
      </c>
    </row>
    <row r="862" spans="1:14" x14ac:dyDescent="0.2">
      <c r="A862" s="8">
        <v>861</v>
      </c>
      <c r="B862" s="5">
        <v>45242</v>
      </c>
      <c r="C862" s="7" t="s">
        <v>1049</v>
      </c>
      <c r="D862" s="8">
        <v>11</v>
      </c>
      <c r="E862" s="8">
        <v>2023</v>
      </c>
      <c r="F862" s="7" t="s">
        <v>567</v>
      </c>
      <c r="G862" s="7" t="s">
        <v>13</v>
      </c>
      <c r="H862" s="8">
        <v>46</v>
      </c>
      <c r="I862" s="7" t="s">
        <v>1019</v>
      </c>
      <c r="J862" s="7" t="s">
        <v>11</v>
      </c>
      <c r="K862" s="8">
        <v>3</v>
      </c>
      <c r="L862" s="7" t="s">
        <v>1022</v>
      </c>
      <c r="M862" s="10">
        <v>50</v>
      </c>
      <c r="N862" s="10">
        <v>150</v>
      </c>
    </row>
    <row r="863" spans="1:14" x14ac:dyDescent="0.2">
      <c r="A863" s="8">
        <v>862</v>
      </c>
      <c r="B863" s="5">
        <v>45242</v>
      </c>
      <c r="C863" s="7" t="s">
        <v>1049</v>
      </c>
      <c r="D863" s="8">
        <v>11</v>
      </c>
      <c r="E863" s="8">
        <v>2023</v>
      </c>
      <c r="F863" s="7" t="s">
        <v>825</v>
      </c>
      <c r="G863" s="7" t="s">
        <v>10</v>
      </c>
      <c r="H863" s="8">
        <v>19</v>
      </c>
      <c r="I863" s="7" t="s">
        <v>1021</v>
      </c>
      <c r="J863" s="7" t="s">
        <v>16</v>
      </c>
      <c r="K863" s="8">
        <v>3</v>
      </c>
      <c r="L863" s="7" t="s">
        <v>1022</v>
      </c>
      <c r="M863" s="10">
        <v>25</v>
      </c>
      <c r="N863" s="10">
        <v>75</v>
      </c>
    </row>
    <row r="864" spans="1:14" x14ac:dyDescent="0.2">
      <c r="A864" s="8">
        <v>863</v>
      </c>
      <c r="B864" s="5">
        <v>45243</v>
      </c>
      <c r="C864" s="7" t="s">
        <v>1049</v>
      </c>
      <c r="D864" s="8">
        <v>11</v>
      </c>
      <c r="E864" s="8">
        <v>2023</v>
      </c>
      <c r="F864" s="7" t="s">
        <v>71</v>
      </c>
      <c r="G864" s="7" t="s">
        <v>10</v>
      </c>
      <c r="H864" s="8">
        <v>18</v>
      </c>
      <c r="I864" s="7" t="s">
        <v>1020</v>
      </c>
      <c r="J864" s="7" t="s">
        <v>14</v>
      </c>
      <c r="K864" s="8">
        <v>4</v>
      </c>
      <c r="L864" s="7" t="s">
        <v>1025</v>
      </c>
      <c r="M864" s="10">
        <v>300</v>
      </c>
      <c r="N864" s="10">
        <v>1200</v>
      </c>
    </row>
    <row r="865" spans="1:14" x14ac:dyDescent="0.2">
      <c r="A865" s="8">
        <v>864</v>
      </c>
      <c r="B865" s="5">
        <v>45243</v>
      </c>
      <c r="C865" s="7" t="s">
        <v>1049</v>
      </c>
      <c r="D865" s="8">
        <v>11</v>
      </c>
      <c r="E865" s="8">
        <v>2023</v>
      </c>
      <c r="F865" s="7" t="s">
        <v>965</v>
      </c>
      <c r="G865" s="7" t="s">
        <v>13</v>
      </c>
      <c r="H865" s="8">
        <v>57</v>
      </c>
      <c r="I865" s="7" t="s">
        <v>1018</v>
      </c>
      <c r="J865" s="7" t="s">
        <v>14</v>
      </c>
      <c r="K865" s="8">
        <v>1</v>
      </c>
      <c r="L865" s="7" t="s">
        <v>1023</v>
      </c>
      <c r="M865" s="10">
        <v>25</v>
      </c>
      <c r="N865" s="10">
        <v>25</v>
      </c>
    </row>
    <row r="866" spans="1:14" x14ac:dyDescent="0.2">
      <c r="A866" s="8">
        <v>865</v>
      </c>
      <c r="B866" s="5">
        <v>45244</v>
      </c>
      <c r="C866" s="7" t="s">
        <v>1049</v>
      </c>
      <c r="D866" s="8">
        <v>11</v>
      </c>
      <c r="E866" s="8">
        <v>2023</v>
      </c>
      <c r="F866" s="7" t="s">
        <v>358</v>
      </c>
      <c r="G866" s="7" t="s">
        <v>10</v>
      </c>
      <c r="H866" s="8">
        <v>62</v>
      </c>
      <c r="I866" s="7" t="s">
        <v>1018</v>
      </c>
      <c r="J866" s="7" t="s">
        <v>16</v>
      </c>
      <c r="K866" s="8">
        <v>1</v>
      </c>
      <c r="L866" s="7" t="s">
        <v>1023</v>
      </c>
      <c r="M866" s="10">
        <v>30</v>
      </c>
      <c r="N866" s="10">
        <v>30</v>
      </c>
    </row>
    <row r="867" spans="1:14" x14ac:dyDescent="0.2">
      <c r="A867" s="8">
        <v>866</v>
      </c>
      <c r="B867" s="5">
        <v>45244</v>
      </c>
      <c r="C867" s="7" t="s">
        <v>1049</v>
      </c>
      <c r="D867" s="8">
        <v>11</v>
      </c>
      <c r="E867" s="8">
        <v>2023</v>
      </c>
      <c r="F867" s="7" t="s">
        <v>471</v>
      </c>
      <c r="G867" s="7" t="s">
        <v>13</v>
      </c>
      <c r="H867" s="8">
        <v>39</v>
      </c>
      <c r="I867" s="7" t="s">
        <v>1017</v>
      </c>
      <c r="J867" s="7" t="s">
        <v>16</v>
      </c>
      <c r="K867" s="8">
        <v>4</v>
      </c>
      <c r="L867" s="7" t="s">
        <v>1025</v>
      </c>
      <c r="M867" s="10">
        <v>25</v>
      </c>
      <c r="N867" s="10">
        <v>100</v>
      </c>
    </row>
    <row r="868" spans="1:14" x14ac:dyDescent="0.2">
      <c r="A868" s="8">
        <v>867</v>
      </c>
      <c r="B868" s="5">
        <v>45244</v>
      </c>
      <c r="C868" s="7" t="s">
        <v>1049</v>
      </c>
      <c r="D868" s="8">
        <v>11</v>
      </c>
      <c r="E868" s="8">
        <v>2023</v>
      </c>
      <c r="F868" s="7" t="s">
        <v>595</v>
      </c>
      <c r="G868" s="7" t="s">
        <v>10</v>
      </c>
      <c r="H868" s="8">
        <v>35</v>
      </c>
      <c r="I868" s="7" t="s">
        <v>1017</v>
      </c>
      <c r="J868" s="7" t="s">
        <v>14</v>
      </c>
      <c r="K868" s="8">
        <v>3</v>
      </c>
      <c r="L868" s="7" t="s">
        <v>1022</v>
      </c>
      <c r="M868" s="10">
        <v>300</v>
      </c>
      <c r="N868" s="10">
        <v>900</v>
      </c>
    </row>
    <row r="869" spans="1:14" x14ac:dyDescent="0.2">
      <c r="A869" s="8">
        <v>868</v>
      </c>
      <c r="B869" s="5">
        <v>45244</v>
      </c>
      <c r="C869" s="7" t="s">
        <v>1049</v>
      </c>
      <c r="D869" s="8">
        <v>11</v>
      </c>
      <c r="E869" s="8">
        <v>2023</v>
      </c>
      <c r="F869" s="7" t="s">
        <v>976</v>
      </c>
      <c r="G869" s="7" t="s">
        <v>13</v>
      </c>
      <c r="H869" s="8">
        <v>55</v>
      </c>
      <c r="I869" s="7" t="s">
        <v>1019</v>
      </c>
      <c r="J869" s="7" t="s">
        <v>11</v>
      </c>
      <c r="K869" s="8">
        <v>1</v>
      </c>
      <c r="L869" s="7" t="s">
        <v>1023</v>
      </c>
      <c r="M869" s="10">
        <v>50</v>
      </c>
      <c r="N869" s="10">
        <v>50</v>
      </c>
    </row>
    <row r="870" spans="1:14" x14ac:dyDescent="0.2">
      <c r="A870" s="8">
        <v>869</v>
      </c>
      <c r="B870" s="5">
        <v>45245</v>
      </c>
      <c r="C870" s="7" t="s">
        <v>1049</v>
      </c>
      <c r="D870" s="8">
        <v>11</v>
      </c>
      <c r="E870" s="8">
        <v>2023</v>
      </c>
      <c r="F870" s="7" t="s">
        <v>382</v>
      </c>
      <c r="G870" s="7" t="s">
        <v>10</v>
      </c>
      <c r="H870" s="8">
        <v>23</v>
      </c>
      <c r="I870" s="7" t="s">
        <v>1021</v>
      </c>
      <c r="J870" s="7" t="s">
        <v>16</v>
      </c>
      <c r="K870" s="8">
        <v>3</v>
      </c>
      <c r="L870" s="7" t="s">
        <v>1022</v>
      </c>
      <c r="M870" s="10">
        <v>500</v>
      </c>
      <c r="N870" s="10">
        <v>1500</v>
      </c>
    </row>
    <row r="871" spans="1:14" x14ac:dyDescent="0.2">
      <c r="A871" s="8">
        <v>870</v>
      </c>
      <c r="B871" s="5">
        <v>45245</v>
      </c>
      <c r="C871" s="7" t="s">
        <v>1049</v>
      </c>
      <c r="D871" s="8">
        <v>11</v>
      </c>
      <c r="E871" s="8">
        <v>2023</v>
      </c>
      <c r="F871" s="7" t="s">
        <v>719</v>
      </c>
      <c r="G871" s="7" t="s">
        <v>10</v>
      </c>
      <c r="H871" s="8">
        <v>51</v>
      </c>
      <c r="I871" s="7" t="s">
        <v>1019</v>
      </c>
      <c r="J871" s="7" t="s">
        <v>16</v>
      </c>
      <c r="K871" s="8">
        <v>4</v>
      </c>
      <c r="L871" s="7" t="s">
        <v>1025</v>
      </c>
      <c r="M871" s="10">
        <v>25</v>
      </c>
      <c r="N871" s="10">
        <v>100</v>
      </c>
    </row>
    <row r="872" spans="1:14" x14ac:dyDescent="0.2">
      <c r="A872" s="8">
        <v>871</v>
      </c>
      <c r="B872" s="5">
        <v>45245</v>
      </c>
      <c r="C872" s="7" t="s">
        <v>1049</v>
      </c>
      <c r="D872" s="8">
        <v>11</v>
      </c>
      <c r="E872" s="8">
        <v>2023</v>
      </c>
      <c r="F872" s="7" t="s">
        <v>760</v>
      </c>
      <c r="G872" s="7" t="s">
        <v>10</v>
      </c>
      <c r="H872" s="8">
        <v>23</v>
      </c>
      <c r="I872" s="7" t="s">
        <v>1021</v>
      </c>
      <c r="J872" s="7" t="s">
        <v>11</v>
      </c>
      <c r="K872" s="8">
        <v>1</v>
      </c>
      <c r="L872" s="7" t="s">
        <v>1023</v>
      </c>
      <c r="M872" s="10">
        <v>30</v>
      </c>
      <c r="N872" s="10">
        <v>30</v>
      </c>
    </row>
    <row r="873" spans="1:14" x14ac:dyDescent="0.2">
      <c r="A873" s="8">
        <v>872</v>
      </c>
      <c r="B873" s="5">
        <v>45246</v>
      </c>
      <c r="C873" s="7" t="s">
        <v>1049</v>
      </c>
      <c r="D873" s="8">
        <v>11</v>
      </c>
      <c r="E873" s="8">
        <v>2023</v>
      </c>
      <c r="F873" s="7" t="s">
        <v>546</v>
      </c>
      <c r="G873" s="7" t="s">
        <v>10</v>
      </c>
      <c r="H873" s="8">
        <v>19</v>
      </c>
      <c r="I873" s="7" t="s">
        <v>1021</v>
      </c>
      <c r="J873" s="7" t="s">
        <v>16</v>
      </c>
      <c r="K873" s="8">
        <v>3</v>
      </c>
      <c r="L873" s="7" t="s">
        <v>1022</v>
      </c>
      <c r="M873" s="10">
        <v>500</v>
      </c>
      <c r="N873" s="10">
        <v>1500</v>
      </c>
    </row>
    <row r="874" spans="1:14" x14ac:dyDescent="0.2">
      <c r="A874" s="8">
        <v>873</v>
      </c>
      <c r="B874" s="5">
        <v>45247</v>
      </c>
      <c r="C874" s="7" t="s">
        <v>1049</v>
      </c>
      <c r="D874" s="8">
        <v>11</v>
      </c>
      <c r="E874" s="8">
        <v>2023</v>
      </c>
      <c r="F874" s="7" t="s">
        <v>182</v>
      </c>
      <c r="G874" s="7" t="s">
        <v>10</v>
      </c>
      <c r="H874" s="8">
        <v>18</v>
      </c>
      <c r="I874" s="7" t="s">
        <v>1020</v>
      </c>
      <c r="J874" s="7" t="s">
        <v>11</v>
      </c>
      <c r="K874" s="8">
        <v>3</v>
      </c>
      <c r="L874" s="7" t="s">
        <v>1022</v>
      </c>
      <c r="M874" s="10">
        <v>500</v>
      </c>
      <c r="N874" s="10">
        <v>1500</v>
      </c>
    </row>
    <row r="875" spans="1:14" x14ac:dyDescent="0.2">
      <c r="A875" s="8">
        <v>874</v>
      </c>
      <c r="B875" s="5">
        <v>45247</v>
      </c>
      <c r="C875" s="7" t="s">
        <v>1049</v>
      </c>
      <c r="D875" s="8">
        <v>11</v>
      </c>
      <c r="E875" s="8">
        <v>2023</v>
      </c>
      <c r="F875" s="7" t="s">
        <v>658</v>
      </c>
      <c r="G875" s="7" t="s">
        <v>13</v>
      </c>
      <c r="H875" s="8">
        <v>35</v>
      </c>
      <c r="I875" s="7" t="s">
        <v>1017</v>
      </c>
      <c r="J875" s="7" t="s">
        <v>16</v>
      </c>
      <c r="K875" s="8">
        <v>4</v>
      </c>
      <c r="L875" s="7" t="s">
        <v>1025</v>
      </c>
      <c r="M875" s="10">
        <v>30</v>
      </c>
      <c r="N875" s="10">
        <v>120</v>
      </c>
    </row>
    <row r="876" spans="1:14" x14ac:dyDescent="0.2">
      <c r="A876" s="8">
        <v>875</v>
      </c>
      <c r="B876" s="5">
        <v>45247</v>
      </c>
      <c r="C876" s="7" t="s">
        <v>1049</v>
      </c>
      <c r="D876" s="8">
        <v>11</v>
      </c>
      <c r="E876" s="8">
        <v>2023</v>
      </c>
      <c r="F876" s="7" t="s">
        <v>981</v>
      </c>
      <c r="G876" s="7" t="s">
        <v>13</v>
      </c>
      <c r="H876" s="8">
        <v>48</v>
      </c>
      <c r="I876" s="7" t="s">
        <v>1019</v>
      </c>
      <c r="J876" s="7" t="s">
        <v>14</v>
      </c>
      <c r="K876" s="8">
        <v>3</v>
      </c>
      <c r="L876" s="7" t="s">
        <v>1022</v>
      </c>
      <c r="M876" s="10">
        <v>300</v>
      </c>
      <c r="N876" s="10">
        <v>900</v>
      </c>
    </row>
    <row r="877" spans="1:14" x14ac:dyDescent="0.2">
      <c r="A877" s="8">
        <v>876</v>
      </c>
      <c r="B877" s="5">
        <v>45247</v>
      </c>
      <c r="C877" s="7" t="s">
        <v>1049</v>
      </c>
      <c r="D877" s="8">
        <v>11</v>
      </c>
      <c r="E877" s="8">
        <v>2023</v>
      </c>
      <c r="F877" s="7" t="s">
        <v>1010</v>
      </c>
      <c r="G877" s="7" t="s">
        <v>10</v>
      </c>
      <c r="H877" s="8">
        <v>52</v>
      </c>
      <c r="I877" s="7" t="s">
        <v>1019</v>
      </c>
      <c r="J877" s="7" t="s">
        <v>11</v>
      </c>
      <c r="K877" s="8">
        <v>3</v>
      </c>
      <c r="L877" s="7" t="s">
        <v>1022</v>
      </c>
      <c r="M877" s="10">
        <v>30</v>
      </c>
      <c r="N877" s="10">
        <v>90</v>
      </c>
    </row>
    <row r="878" spans="1:14" x14ac:dyDescent="0.2">
      <c r="A878" s="8">
        <v>877</v>
      </c>
      <c r="B878" s="5">
        <v>45248</v>
      </c>
      <c r="C878" s="7" t="s">
        <v>1049</v>
      </c>
      <c r="D878" s="8">
        <v>11</v>
      </c>
      <c r="E878" s="8">
        <v>2023</v>
      </c>
      <c r="F878" s="7" t="s">
        <v>70</v>
      </c>
      <c r="G878" s="7" t="s">
        <v>13</v>
      </c>
      <c r="H878" s="8">
        <v>63</v>
      </c>
      <c r="I878" s="7" t="s">
        <v>1018</v>
      </c>
      <c r="J878" s="7" t="s">
        <v>11</v>
      </c>
      <c r="K878" s="8">
        <v>1</v>
      </c>
      <c r="L878" s="7" t="s">
        <v>1023</v>
      </c>
      <c r="M878" s="10">
        <v>30</v>
      </c>
      <c r="N878" s="10">
        <v>30</v>
      </c>
    </row>
    <row r="879" spans="1:14" x14ac:dyDescent="0.2">
      <c r="A879" s="8">
        <v>878</v>
      </c>
      <c r="B879" s="5">
        <v>45248</v>
      </c>
      <c r="C879" s="7" t="s">
        <v>1049</v>
      </c>
      <c r="D879" s="8">
        <v>11</v>
      </c>
      <c r="E879" s="8">
        <v>2023</v>
      </c>
      <c r="F879" s="7" t="s">
        <v>150</v>
      </c>
      <c r="G879" s="7" t="s">
        <v>10</v>
      </c>
      <c r="H879" s="8">
        <v>46</v>
      </c>
      <c r="I879" s="7" t="s">
        <v>1019</v>
      </c>
      <c r="J879" s="7" t="s">
        <v>11</v>
      </c>
      <c r="K879" s="8">
        <v>2</v>
      </c>
      <c r="L879" s="7" t="s">
        <v>1024</v>
      </c>
      <c r="M879" s="10">
        <v>500</v>
      </c>
      <c r="N879" s="10">
        <v>1000</v>
      </c>
    </row>
    <row r="880" spans="1:14" x14ac:dyDescent="0.2">
      <c r="A880" s="8">
        <v>879</v>
      </c>
      <c r="B880" s="5">
        <v>45248</v>
      </c>
      <c r="C880" s="7" t="s">
        <v>1049</v>
      </c>
      <c r="D880" s="8">
        <v>11</v>
      </c>
      <c r="E880" s="8">
        <v>2023</v>
      </c>
      <c r="F880" s="7" t="s">
        <v>791</v>
      </c>
      <c r="G880" s="7" t="s">
        <v>13</v>
      </c>
      <c r="H880" s="8">
        <v>47</v>
      </c>
      <c r="I880" s="7" t="s">
        <v>1019</v>
      </c>
      <c r="J880" s="7" t="s">
        <v>11</v>
      </c>
      <c r="K880" s="8">
        <v>4</v>
      </c>
      <c r="L880" s="7" t="s">
        <v>1025</v>
      </c>
      <c r="M880" s="10">
        <v>25</v>
      </c>
      <c r="N880" s="10">
        <v>100</v>
      </c>
    </row>
    <row r="881" spans="1:14" x14ac:dyDescent="0.2">
      <c r="A881" s="8">
        <v>880</v>
      </c>
      <c r="B881" s="5">
        <v>45249</v>
      </c>
      <c r="C881" s="7" t="s">
        <v>1049</v>
      </c>
      <c r="D881" s="8">
        <v>11</v>
      </c>
      <c r="E881" s="8">
        <v>2023</v>
      </c>
      <c r="F881" s="7" t="s">
        <v>612</v>
      </c>
      <c r="G881" s="7" t="s">
        <v>13</v>
      </c>
      <c r="H881" s="8">
        <v>28</v>
      </c>
      <c r="I881" s="7" t="s">
        <v>1021</v>
      </c>
      <c r="J881" s="7" t="s">
        <v>11</v>
      </c>
      <c r="K881" s="8">
        <v>2</v>
      </c>
      <c r="L881" s="7" t="s">
        <v>1024</v>
      </c>
      <c r="M881" s="10">
        <v>50</v>
      </c>
      <c r="N881" s="10">
        <v>100</v>
      </c>
    </row>
    <row r="882" spans="1:14" x14ac:dyDescent="0.2">
      <c r="A882" s="8">
        <v>881</v>
      </c>
      <c r="B882" s="5">
        <v>45249</v>
      </c>
      <c r="C882" s="7" t="s">
        <v>1049</v>
      </c>
      <c r="D882" s="8">
        <v>11</v>
      </c>
      <c r="E882" s="8">
        <v>2023</v>
      </c>
      <c r="F882" s="7" t="s">
        <v>951</v>
      </c>
      <c r="G882" s="7" t="s">
        <v>10</v>
      </c>
      <c r="H882" s="8">
        <v>49</v>
      </c>
      <c r="I882" s="7" t="s">
        <v>1019</v>
      </c>
      <c r="J882" s="7" t="s">
        <v>14</v>
      </c>
      <c r="K882" s="8">
        <v>4</v>
      </c>
      <c r="L882" s="7" t="s">
        <v>1025</v>
      </c>
      <c r="M882" s="10">
        <v>50</v>
      </c>
      <c r="N882" s="10">
        <v>200</v>
      </c>
    </row>
    <row r="883" spans="1:14" x14ac:dyDescent="0.2">
      <c r="A883" s="8">
        <v>882</v>
      </c>
      <c r="B883" s="5">
        <v>45250</v>
      </c>
      <c r="C883" s="7" t="s">
        <v>1049</v>
      </c>
      <c r="D883" s="8">
        <v>11</v>
      </c>
      <c r="E883" s="8">
        <v>2023</v>
      </c>
      <c r="F883" s="7" t="s">
        <v>247</v>
      </c>
      <c r="G883" s="7" t="s">
        <v>13</v>
      </c>
      <c r="H883" s="8">
        <v>62</v>
      </c>
      <c r="I883" s="7" t="s">
        <v>1018</v>
      </c>
      <c r="J883" s="7" t="s">
        <v>16</v>
      </c>
      <c r="K883" s="8">
        <v>2</v>
      </c>
      <c r="L883" s="7" t="s">
        <v>1024</v>
      </c>
      <c r="M883" s="10">
        <v>25</v>
      </c>
      <c r="N883" s="10">
        <v>50</v>
      </c>
    </row>
    <row r="884" spans="1:14" x14ac:dyDescent="0.2">
      <c r="A884" s="8">
        <v>883</v>
      </c>
      <c r="B884" s="5">
        <v>45251</v>
      </c>
      <c r="C884" s="7" t="s">
        <v>1049</v>
      </c>
      <c r="D884" s="8">
        <v>11</v>
      </c>
      <c r="E884" s="8">
        <v>2023</v>
      </c>
      <c r="F884" s="7" t="s">
        <v>423</v>
      </c>
      <c r="G884" s="7" t="s">
        <v>13</v>
      </c>
      <c r="H884" s="8">
        <v>29</v>
      </c>
      <c r="I884" s="7" t="s">
        <v>1021</v>
      </c>
      <c r="J884" s="7" t="s">
        <v>14</v>
      </c>
      <c r="K884" s="8">
        <v>2</v>
      </c>
      <c r="L884" s="7" t="s">
        <v>1024</v>
      </c>
      <c r="M884" s="10">
        <v>50</v>
      </c>
      <c r="N884" s="10">
        <v>100</v>
      </c>
    </row>
    <row r="885" spans="1:14" x14ac:dyDescent="0.2">
      <c r="A885" s="8">
        <v>884</v>
      </c>
      <c r="B885" s="5">
        <v>45251</v>
      </c>
      <c r="C885" s="7" t="s">
        <v>1049</v>
      </c>
      <c r="D885" s="8">
        <v>11</v>
      </c>
      <c r="E885" s="8">
        <v>2023</v>
      </c>
      <c r="F885" s="7" t="s">
        <v>430</v>
      </c>
      <c r="G885" s="7" t="s">
        <v>10</v>
      </c>
      <c r="H885" s="8">
        <v>43</v>
      </c>
      <c r="I885" s="7" t="s">
        <v>1017</v>
      </c>
      <c r="J885" s="7" t="s">
        <v>16</v>
      </c>
      <c r="K885" s="8">
        <v>3</v>
      </c>
      <c r="L885" s="7" t="s">
        <v>1022</v>
      </c>
      <c r="M885" s="10">
        <v>300</v>
      </c>
      <c r="N885" s="10">
        <v>900</v>
      </c>
    </row>
    <row r="886" spans="1:14" x14ac:dyDescent="0.2">
      <c r="A886" s="8">
        <v>885</v>
      </c>
      <c r="B886" s="5">
        <v>45251</v>
      </c>
      <c r="C886" s="7" t="s">
        <v>1049</v>
      </c>
      <c r="D886" s="8">
        <v>11</v>
      </c>
      <c r="E886" s="8">
        <v>2023</v>
      </c>
      <c r="F886" s="7" t="s">
        <v>594</v>
      </c>
      <c r="G886" s="7" t="s">
        <v>13</v>
      </c>
      <c r="H886" s="8">
        <v>48</v>
      </c>
      <c r="I886" s="7" t="s">
        <v>1019</v>
      </c>
      <c r="J886" s="7" t="s">
        <v>11</v>
      </c>
      <c r="K886" s="8">
        <v>2</v>
      </c>
      <c r="L886" s="7" t="s">
        <v>1024</v>
      </c>
      <c r="M886" s="10">
        <v>30</v>
      </c>
      <c r="N886" s="10">
        <v>60</v>
      </c>
    </row>
    <row r="887" spans="1:14" x14ac:dyDescent="0.2">
      <c r="A887" s="8">
        <v>886</v>
      </c>
      <c r="B887" s="5">
        <v>45252</v>
      </c>
      <c r="C887" s="7" t="s">
        <v>1049</v>
      </c>
      <c r="D887" s="8">
        <v>11</v>
      </c>
      <c r="E887" s="8">
        <v>2023</v>
      </c>
      <c r="F887" s="7" t="s">
        <v>87</v>
      </c>
      <c r="G887" s="7" t="s">
        <v>13</v>
      </c>
      <c r="H887" s="8">
        <v>18</v>
      </c>
      <c r="I887" s="7" t="s">
        <v>1020</v>
      </c>
      <c r="J887" s="7" t="s">
        <v>11</v>
      </c>
      <c r="K887" s="8">
        <v>4</v>
      </c>
      <c r="L887" s="7" t="s">
        <v>1025</v>
      </c>
      <c r="M887" s="10">
        <v>500</v>
      </c>
      <c r="N887" s="10">
        <v>2000</v>
      </c>
    </row>
    <row r="888" spans="1:14" x14ac:dyDescent="0.2">
      <c r="A888" s="8">
        <v>887</v>
      </c>
      <c r="B888" s="5">
        <v>45252</v>
      </c>
      <c r="C888" s="7" t="s">
        <v>1049</v>
      </c>
      <c r="D888" s="8">
        <v>11</v>
      </c>
      <c r="E888" s="8">
        <v>2023</v>
      </c>
      <c r="F888" s="7" t="s">
        <v>100</v>
      </c>
      <c r="G888" s="7" t="s">
        <v>13</v>
      </c>
      <c r="H888" s="8">
        <v>28</v>
      </c>
      <c r="I888" s="7" t="s">
        <v>1021</v>
      </c>
      <c r="J888" s="7" t="s">
        <v>11</v>
      </c>
      <c r="K888" s="8">
        <v>2</v>
      </c>
      <c r="L888" s="7" t="s">
        <v>1024</v>
      </c>
      <c r="M888" s="10">
        <v>50</v>
      </c>
      <c r="N888" s="10">
        <v>100</v>
      </c>
    </row>
    <row r="889" spans="1:14" x14ac:dyDescent="0.2">
      <c r="A889" s="8">
        <v>888</v>
      </c>
      <c r="B889" s="5">
        <v>45252</v>
      </c>
      <c r="C889" s="7" t="s">
        <v>1049</v>
      </c>
      <c r="D889" s="8">
        <v>11</v>
      </c>
      <c r="E889" s="8">
        <v>2023</v>
      </c>
      <c r="F889" s="7" t="s">
        <v>816</v>
      </c>
      <c r="G889" s="7" t="s">
        <v>10</v>
      </c>
      <c r="H889" s="8">
        <v>39</v>
      </c>
      <c r="I889" s="7" t="s">
        <v>1017</v>
      </c>
      <c r="J889" s="7" t="s">
        <v>14</v>
      </c>
      <c r="K889" s="8">
        <v>4</v>
      </c>
      <c r="L889" s="7" t="s">
        <v>1025</v>
      </c>
      <c r="M889" s="10">
        <v>25</v>
      </c>
      <c r="N889" s="10">
        <v>100</v>
      </c>
    </row>
    <row r="890" spans="1:14" x14ac:dyDescent="0.2">
      <c r="A890" s="8">
        <v>889</v>
      </c>
      <c r="B890" s="5">
        <v>45253</v>
      </c>
      <c r="C890" s="7" t="s">
        <v>1049</v>
      </c>
      <c r="D890" s="8">
        <v>11</v>
      </c>
      <c r="E890" s="8">
        <v>2023</v>
      </c>
      <c r="F890" s="7" t="s">
        <v>437</v>
      </c>
      <c r="G890" s="7" t="s">
        <v>10</v>
      </c>
      <c r="H890" s="8">
        <v>57</v>
      </c>
      <c r="I890" s="7" t="s">
        <v>1018</v>
      </c>
      <c r="J890" s="7" t="s">
        <v>11</v>
      </c>
      <c r="K890" s="8">
        <v>4</v>
      </c>
      <c r="L890" s="7" t="s">
        <v>1025</v>
      </c>
      <c r="M890" s="10">
        <v>300</v>
      </c>
      <c r="N890" s="10">
        <v>1200</v>
      </c>
    </row>
    <row r="891" spans="1:14" x14ac:dyDescent="0.2">
      <c r="A891" s="8">
        <v>890</v>
      </c>
      <c r="B891" s="5">
        <v>45253</v>
      </c>
      <c r="C891" s="7" t="s">
        <v>1049</v>
      </c>
      <c r="D891" s="8">
        <v>11</v>
      </c>
      <c r="E891" s="8">
        <v>2023</v>
      </c>
      <c r="F891" s="7" t="s">
        <v>654</v>
      </c>
      <c r="G891" s="7" t="s">
        <v>13</v>
      </c>
      <c r="H891" s="8">
        <v>40</v>
      </c>
      <c r="I891" s="7" t="s">
        <v>1017</v>
      </c>
      <c r="J891" s="7" t="s">
        <v>16</v>
      </c>
      <c r="K891" s="8">
        <v>1</v>
      </c>
      <c r="L891" s="7" t="s">
        <v>1023</v>
      </c>
      <c r="M891" s="10">
        <v>300</v>
      </c>
      <c r="N891" s="10">
        <v>300</v>
      </c>
    </row>
    <row r="892" spans="1:14" x14ac:dyDescent="0.2">
      <c r="A892" s="8">
        <v>891</v>
      </c>
      <c r="B892" s="5">
        <v>45253</v>
      </c>
      <c r="C892" s="7" t="s">
        <v>1049</v>
      </c>
      <c r="D892" s="8">
        <v>11</v>
      </c>
      <c r="E892" s="8">
        <v>2023</v>
      </c>
      <c r="F892" s="7" t="s">
        <v>931</v>
      </c>
      <c r="G892" s="7" t="s">
        <v>13</v>
      </c>
      <c r="H892" s="8">
        <v>42</v>
      </c>
      <c r="I892" s="7" t="s">
        <v>1017</v>
      </c>
      <c r="J892" s="7" t="s">
        <v>16</v>
      </c>
      <c r="K892" s="8">
        <v>3</v>
      </c>
      <c r="L892" s="7" t="s">
        <v>1022</v>
      </c>
      <c r="M892" s="10">
        <v>30</v>
      </c>
      <c r="N892" s="10">
        <v>90</v>
      </c>
    </row>
    <row r="893" spans="1:14" x14ac:dyDescent="0.2">
      <c r="A893" s="8">
        <v>892</v>
      </c>
      <c r="B893" s="5">
        <v>45254</v>
      </c>
      <c r="C893" s="7" t="s">
        <v>1049</v>
      </c>
      <c r="D893" s="8">
        <v>11</v>
      </c>
      <c r="E893" s="8">
        <v>2023</v>
      </c>
      <c r="F893" s="7" t="s">
        <v>9</v>
      </c>
      <c r="G893" s="7" t="s">
        <v>10</v>
      </c>
      <c r="H893" s="8">
        <v>34</v>
      </c>
      <c r="I893" s="7" t="s">
        <v>1021</v>
      </c>
      <c r="J893" s="7" t="s">
        <v>11</v>
      </c>
      <c r="K893" s="8">
        <v>3</v>
      </c>
      <c r="L893" s="7" t="s">
        <v>1022</v>
      </c>
      <c r="M893" s="10">
        <v>50</v>
      </c>
      <c r="N893" s="10">
        <v>150</v>
      </c>
    </row>
    <row r="894" spans="1:14" x14ac:dyDescent="0.2">
      <c r="A894" s="8">
        <v>893</v>
      </c>
      <c r="B894" s="5">
        <v>45254</v>
      </c>
      <c r="C894" s="7" t="s">
        <v>1049</v>
      </c>
      <c r="D894" s="8">
        <v>11</v>
      </c>
      <c r="E894" s="8">
        <v>2023</v>
      </c>
      <c r="F894" s="7" t="s">
        <v>108</v>
      </c>
      <c r="G894" s="7" t="s">
        <v>13</v>
      </c>
      <c r="H894" s="8">
        <v>32</v>
      </c>
      <c r="I894" s="7" t="s">
        <v>1021</v>
      </c>
      <c r="J894" s="7" t="s">
        <v>14</v>
      </c>
      <c r="K894" s="8">
        <v>2</v>
      </c>
      <c r="L894" s="7" t="s">
        <v>1024</v>
      </c>
      <c r="M894" s="10">
        <v>30</v>
      </c>
      <c r="N894" s="10">
        <v>60</v>
      </c>
    </row>
    <row r="895" spans="1:14" x14ac:dyDescent="0.2">
      <c r="A895" s="8">
        <v>894</v>
      </c>
      <c r="B895" s="5">
        <v>45254</v>
      </c>
      <c r="C895" s="7" t="s">
        <v>1049</v>
      </c>
      <c r="D895" s="8">
        <v>11</v>
      </c>
      <c r="E895" s="8">
        <v>2023</v>
      </c>
      <c r="F895" s="7" t="s">
        <v>184</v>
      </c>
      <c r="G895" s="7" t="s">
        <v>13</v>
      </c>
      <c r="H895" s="8">
        <v>52</v>
      </c>
      <c r="I895" s="7" t="s">
        <v>1019</v>
      </c>
      <c r="J895" s="7" t="s">
        <v>14</v>
      </c>
      <c r="K895" s="8">
        <v>3</v>
      </c>
      <c r="L895" s="7" t="s">
        <v>1022</v>
      </c>
      <c r="M895" s="10">
        <v>300</v>
      </c>
      <c r="N895" s="10">
        <v>900</v>
      </c>
    </row>
    <row r="896" spans="1:14" x14ac:dyDescent="0.2">
      <c r="A896" s="8">
        <v>895</v>
      </c>
      <c r="B896" s="5">
        <v>45255</v>
      </c>
      <c r="C896" s="7" t="s">
        <v>1049</v>
      </c>
      <c r="D896" s="8">
        <v>11</v>
      </c>
      <c r="E896" s="8">
        <v>2023</v>
      </c>
      <c r="F896" s="7" t="s">
        <v>169</v>
      </c>
      <c r="G896" s="7" t="s">
        <v>13</v>
      </c>
      <c r="H896" s="8">
        <v>43</v>
      </c>
      <c r="I896" s="7" t="s">
        <v>1017</v>
      </c>
      <c r="J896" s="7" t="s">
        <v>14</v>
      </c>
      <c r="K896" s="8">
        <v>4</v>
      </c>
      <c r="L896" s="7" t="s">
        <v>1025</v>
      </c>
      <c r="M896" s="10">
        <v>25</v>
      </c>
      <c r="N896" s="10">
        <v>100</v>
      </c>
    </row>
    <row r="897" spans="1:14" x14ac:dyDescent="0.2">
      <c r="A897" s="8">
        <v>896</v>
      </c>
      <c r="B897" s="5">
        <v>45255</v>
      </c>
      <c r="C897" s="7" t="s">
        <v>1049</v>
      </c>
      <c r="D897" s="8">
        <v>11</v>
      </c>
      <c r="E897" s="8">
        <v>2023</v>
      </c>
      <c r="F897" s="7" t="s">
        <v>506</v>
      </c>
      <c r="G897" s="7" t="s">
        <v>10</v>
      </c>
      <c r="H897" s="8">
        <v>41</v>
      </c>
      <c r="I897" s="7" t="s">
        <v>1017</v>
      </c>
      <c r="J897" s="7" t="s">
        <v>11</v>
      </c>
      <c r="K897" s="8">
        <v>2</v>
      </c>
      <c r="L897" s="7" t="s">
        <v>1024</v>
      </c>
      <c r="M897" s="10">
        <v>25</v>
      </c>
      <c r="N897" s="10">
        <v>50</v>
      </c>
    </row>
    <row r="898" spans="1:14" x14ac:dyDescent="0.2">
      <c r="A898" s="8">
        <v>897</v>
      </c>
      <c r="B898" s="5">
        <v>45256</v>
      </c>
      <c r="C898" s="7" t="s">
        <v>1049</v>
      </c>
      <c r="D898" s="8">
        <v>11</v>
      </c>
      <c r="E898" s="8">
        <v>2023</v>
      </c>
      <c r="F898" s="7" t="s">
        <v>128</v>
      </c>
      <c r="G898" s="7" t="s">
        <v>10</v>
      </c>
      <c r="H898" s="8">
        <v>51</v>
      </c>
      <c r="I898" s="7" t="s">
        <v>1019</v>
      </c>
      <c r="J898" s="7" t="s">
        <v>14</v>
      </c>
      <c r="K898" s="8">
        <v>3</v>
      </c>
      <c r="L898" s="7" t="s">
        <v>1022</v>
      </c>
      <c r="M898" s="10">
        <v>500</v>
      </c>
      <c r="N898" s="10">
        <v>1500</v>
      </c>
    </row>
    <row r="899" spans="1:14" x14ac:dyDescent="0.2">
      <c r="A899" s="8">
        <v>898</v>
      </c>
      <c r="B899" s="5">
        <v>45256</v>
      </c>
      <c r="C899" s="7" t="s">
        <v>1049</v>
      </c>
      <c r="D899" s="8">
        <v>11</v>
      </c>
      <c r="E899" s="8">
        <v>2023</v>
      </c>
      <c r="F899" s="7" t="s">
        <v>728</v>
      </c>
      <c r="G899" s="7" t="s">
        <v>13</v>
      </c>
      <c r="H899" s="8">
        <v>42</v>
      </c>
      <c r="I899" s="7" t="s">
        <v>1017</v>
      </c>
      <c r="J899" s="7" t="s">
        <v>11</v>
      </c>
      <c r="K899" s="8">
        <v>4</v>
      </c>
      <c r="L899" s="7" t="s">
        <v>1025</v>
      </c>
      <c r="M899" s="10">
        <v>25</v>
      </c>
      <c r="N899" s="10">
        <v>100</v>
      </c>
    </row>
    <row r="900" spans="1:14" x14ac:dyDescent="0.2">
      <c r="A900" s="8">
        <v>899</v>
      </c>
      <c r="B900" s="5">
        <v>45257</v>
      </c>
      <c r="C900" s="7" t="s">
        <v>1049</v>
      </c>
      <c r="D900" s="8">
        <v>11</v>
      </c>
      <c r="E900" s="8">
        <v>2023</v>
      </c>
      <c r="F900" s="7" t="s">
        <v>280</v>
      </c>
      <c r="G900" s="7" t="s">
        <v>13</v>
      </c>
      <c r="H900" s="8">
        <v>32</v>
      </c>
      <c r="I900" s="7" t="s">
        <v>1021</v>
      </c>
      <c r="J900" s="7" t="s">
        <v>11</v>
      </c>
      <c r="K900" s="8">
        <v>3</v>
      </c>
      <c r="L900" s="7" t="s">
        <v>1022</v>
      </c>
      <c r="M900" s="10">
        <v>30</v>
      </c>
      <c r="N900" s="10">
        <v>90</v>
      </c>
    </row>
    <row r="901" spans="1:14" x14ac:dyDescent="0.2">
      <c r="A901" s="8">
        <v>900</v>
      </c>
      <c r="B901" s="5">
        <v>45257</v>
      </c>
      <c r="C901" s="7" t="s">
        <v>1049</v>
      </c>
      <c r="D901" s="8">
        <v>11</v>
      </c>
      <c r="E901" s="8">
        <v>2023</v>
      </c>
      <c r="F901" s="7" t="s">
        <v>375</v>
      </c>
      <c r="G901" s="7" t="s">
        <v>10</v>
      </c>
      <c r="H901" s="8">
        <v>50</v>
      </c>
      <c r="I901" s="7" t="s">
        <v>1019</v>
      </c>
      <c r="J901" s="7" t="s">
        <v>14</v>
      </c>
      <c r="K901" s="8">
        <v>1</v>
      </c>
      <c r="L901" s="7" t="s">
        <v>1023</v>
      </c>
      <c r="M901" s="10">
        <v>25</v>
      </c>
      <c r="N901" s="10">
        <v>25</v>
      </c>
    </row>
    <row r="902" spans="1:14" x14ac:dyDescent="0.2">
      <c r="A902" s="8">
        <v>901</v>
      </c>
      <c r="B902" s="5">
        <v>45257</v>
      </c>
      <c r="C902" s="7" t="s">
        <v>1049</v>
      </c>
      <c r="D902" s="8">
        <v>11</v>
      </c>
      <c r="E902" s="8">
        <v>2023</v>
      </c>
      <c r="F902" s="7" t="s">
        <v>869</v>
      </c>
      <c r="G902" s="7" t="s">
        <v>10</v>
      </c>
      <c r="H902" s="8">
        <v>54</v>
      </c>
      <c r="I902" s="7" t="s">
        <v>1019</v>
      </c>
      <c r="J902" s="7" t="s">
        <v>16</v>
      </c>
      <c r="K902" s="8">
        <v>4</v>
      </c>
      <c r="L902" s="7" t="s">
        <v>1025</v>
      </c>
      <c r="M902" s="10">
        <v>30</v>
      </c>
      <c r="N902" s="10">
        <v>120</v>
      </c>
    </row>
    <row r="903" spans="1:14" x14ac:dyDescent="0.2">
      <c r="A903" s="8">
        <v>902</v>
      </c>
      <c r="B903" s="5">
        <v>45258</v>
      </c>
      <c r="C903" s="7" t="s">
        <v>1049</v>
      </c>
      <c r="D903" s="8">
        <v>11</v>
      </c>
      <c r="E903" s="8">
        <v>2023</v>
      </c>
      <c r="F903" s="7" t="s">
        <v>97</v>
      </c>
      <c r="G903" s="7" t="s">
        <v>13</v>
      </c>
      <c r="H903" s="8">
        <v>38</v>
      </c>
      <c r="I903" s="7" t="s">
        <v>1017</v>
      </c>
      <c r="J903" s="7" t="s">
        <v>16</v>
      </c>
      <c r="K903" s="8">
        <v>3</v>
      </c>
      <c r="L903" s="7" t="s">
        <v>1022</v>
      </c>
      <c r="M903" s="10">
        <v>30</v>
      </c>
      <c r="N903" s="10">
        <v>90</v>
      </c>
    </row>
    <row r="904" spans="1:14" x14ac:dyDescent="0.2">
      <c r="A904" s="8">
        <v>903</v>
      </c>
      <c r="B904" s="5">
        <v>45258</v>
      </c>
      <c r="C904" s="7" t="s">
        <v>1049</v>
      </c>
      <c r="D904" s="8">
        <v>11</v>
      </c>
      <c r="E904" s="8">
        <v>2023</v>
      </c>
      <c r="F904" s="7" t="s">
        <v>808</v>
      </c>
      <c r="G904" s="7" t="s">
        <v>10</v>
      </c>
      <c r="H904" s="8">
        <v>57</v>
      </c>
      <c r="I904" s="7" t="s">
        <v>1018</v>
      </c>
      <c r="J904" s="7" t="s">
        <v>16</v>
      </c>
      <c r="K904" s="8">
        <v>1</v>
      </c>
      <c r="L904" s="7" t="s">
        <v>1023</v>
      </c>
      <c r="M904" s="10">
        <v>300</v>
      </c>
      <c r="N904" s="10">
        <v>300</v>
      </c>
    </row>
    <row r="905" spans="1:14" x14ac:dyDescent="0.2">
      <c r="A905" s="8">
        <v>904</v>
      </c>
      <c r="B905" s="5">
        <v>45259</v>
      </c>
      <c r="C905" s="7" t="s">
        <v>1049</v>
      </c>
      <c r="D905" s="8">
        <v>11</v>
      </c>
      <c r="E905" s="8">
        <v>2023</v>
      </c>
      <c r="F905" s="7" t="s">
        <v>37</v>
      </c>
      <c r="G905" s="7" t="s">
        <v>13</v>
      </c>
      <c r="H905" s="8">
        <v>49</v>
      </c>
      <c r="I905" s="7" t="s">
        <v>1019</v>
      </c>
      <c r="J905" s="7" t="s">
        <v>14</v>
      </c>
      <c r="K905" s="8">
        <v>1</v>
      </c>
      <c r="L905" s="7" t="s">
        <v>1023</v>
      </c>
      <c r="M905" s="10">
        <v>300</v>
      </c>
      <c r="N905" s="10">
        <v>300</v>
      </c>
    </row>
    <row r="906" spans="1:14" x14ac:dyDescent="0.2">
      <c r="A906" s="8">
        <v>905</v>
      </c>
      <c r="B906" s="5">
        <v>45259</v>
      </c>
      <c r="C906" s="7" t="s">
        <v>1049</v>
      </c>
      <c r="D906" s="8">
        <v>11</v>
      </c>
      <c r="E906" s="8">
        <v>2023</v>
      </c>
      <c r="F906" s="7" t="s">
        <v>228</v>
      </c>
      <c r="G906" s="7" t="s">
        <v>10</v>
      </c>
      <c r="H906" s="8">
        <v>58</v>
      </c>
      <c r="I906" s="7" t="s">
        <v>1018</v>
      </c>
      <c r="J906" s="7" t="s">
        <v>14</v>
      </c>
      <c r="K906" s="8">
        <v>3</v>
      </c>
      <c r="L906" s="7" t="s">
        <v>1022</v>
      </c>
      <c r="M906" s="10">
        <v>500</v>
      </c>
      <c r="N906" s="10">
        <v>1500</v>
      </c>
    </row>
    <row r="907" spans="1:14" x14ac:dyDescent="0.2">
      <c r="A907" s="8">
        <v>906</v>
      </c>
      <c r="B907" s="5">
        <v>45259</v>
      </c>
      <c r="C907" s="7" t="s">
        <v>1049</v>
      </c>
      <c r="D907" s="8">
        <v>11</v>
      </c>
      <c r="E907" s="8">
        <v>2023</v>
      </c>
      <c r="F907" s="7" t="s">
        <v>752</v>
      </c>
      <c r="G907" s="7" t="s">
        <v>10</v>
      </c>
      <c r="H907" s="8">
        <v>36</v>
      </c>
      <c r="I907" s="7" t="s">
        <v>1017</v>
      </c>
      <c r="J907" s="7" t="s">
        <v>11</v>
      </c>
      <c r="K907" s="8">
        <v>1</v>
      </c>
      <c r="L907" s="7" t="s">
        <v>1023</v>
      </c>
      <c r="M907" s="10">
        <v>25</v>
      </c>
      <c r="N907" s="10">
        <v>25</v>
      </c>
    </row>
    <row r="908" spans="1:14" x14ac:dyDescent="0.2">
      <c r="A908" s="8">
        <v>907</v>
      </c>
      <c r="B908" s="5">
        <v>45260</v>
      </c>
      <c r="C908" s="7" t="s">
        <v>1049</v>
      </c>
      <c r="D908" s="8">
        <v>11</v>
      </c>
      <c r="E908" s="8">
        <v>2023</v>
      </c>
      <c r="F908" s="7" t="s">
        <v>302</v>
      </c>
      <c r="G908" s="7" t="s">
        <v>10</v>
      </c>
      <c r="H908" s="8">
        <v>53</v>
      </c>
      <c r="I908" s="7" t="s">
        <v>1019</v>
      </c>
      <c r="J908" s="7" t="s">
        <v>16</v>
      </c>
      <c r="K908" s="8">
        <v>2</v>
      </c>
      <c r="L908" s="7" t="s">
        <v>1024</v>
      </c>
      <c r="M908" s="10">
        <v>30</v>
      </c>
      <c r="N908" s="10">
        <v>60</v>
      </c>
    </row>
    <row r="909" spans="1:14" x14ac:dyDescent="0.2">
      <c r="A909" s="8">
        <v>908</v>
      </c>
      <c r="B909" s="5">
        <v>45260</v>
      </c>
      <c r="C909" s="7" t="s">
        <v>1049</v>
      </c>
      <c r="D909" s="8">
        <v>11</v>
      </c>
      <c r="E909" s="8">
        <v>2023</v>
      </c>
      <c r="F909" s="7" t="s">
        <v>754</v>
      </c>
      <c r="G909" s="7" t="s">
        <v>10</v>
      </c>
      <c r="H909" s="8">
        <v>48</v>
      </c>
      <c r="I909" s="7" t="s">
        <v>1019</v>
      </c>
      <c r="J909" s="7" t="s">
        <v>14</v>
      </c>
      <c r="K909" s="8">
        <v>1</v>
      </c>
      <c r="L909" s="7" t="s">
        <v>1023</v>
      </c>
      <c r="M909" s="10">
        <v>300</v>
      </c>
      <c r="N909" s="10">
        <v>300</v>
      </c>
    </row>
    <row r="910" spans="1:14" x14ac:dyDescent="0.2">
      <c r="A910" s="8">
        <v>909</v>
      </c>
      <c r="B910" s="5">
        <v>45260</v>
      </c>
      <c r="C910" s="7" t="s">
        <v>1049</v>
      </c>
      <c r="D910" s="8">
        <v>11</v>
      </c>
      <c r="E910" s="8">
        <v>2023</v>
      </c>
      <c r="F910" s="7" t="s">
        <v>823</v>
      </c>
      <c r="G910" s="7" t="s">
        <v>10</v>
      </c>
      <c r="H910" s="8">
        <v>59</v>
      </c>
      <c r="I910" s="7" t="s">
        <v>1018</v>
      </c>
      <c r="J910" s="7" t="s">
        <v>16</v>
      </c>
      <c r="K910" s="8">
        <v>4</v>
      </c>
      <c r="L910" s="7" t="s">
        <v>1025</v>
      </c>
      <c r="M910" s="10">
        <v>25</v>
      </c>
      <c r="N910" s="10">
        <v>100</v>
      </c>
    </row>
    <row r="911" spans="1:14" x14ac:dyDescent="0.2">
      <c r="A911" s="8">
        <v>910</v>
      </c>
      <c r="B911" s="5">
        <v>45261</v>
      </c>
      <c r="C911" s="7" t="s">
        <v>1050</v>
      </c>
      <c r="D911" s="8">
        <v>12</v>
      </c>
      <c r="E911" s="8">
        <v>2023</v>
      </c>
      <c r="F911" s="7" t="s">
        <v>279</v>
      </c>
      <c r="G911" s="7" t="s">
        <v>13</v>
      </c>
      <c r="H911" s="8">
        <v>19</v>
      </c>
      <c r="I911" s="7" t="s">
        <v>1021</v>
      </c>
      <c r="J911" s="7" t="s">
        <v>16</v>
      </c>
      <c r="K911" s="8">
        <v>2</v>
      </c>
      <c r="L911" s="7" t="s">
        <v>1024</v>
      </c>
      <c r="M911" s="10">
        <v>30</v>
      </c>
      <c r="N911" s="10">
        <v>60</v>
      </c>
    </row>
    <row r="912" spans="1:14" x14ac:dyDescent="0.2">
      <c r="A912" s="8">
        <v>911</v>
      </c>
      <c r="B912" s="5">
        <v>45261</v>
      </c>
      <c r="C912" s="7" t="s">
        <v>1050</v>
      </c>
      <c r="D912" s="8">
        <v>12</v>
      </c>
      <c r="E912" s="8">
        <v>2023</v>
      </c>
      <c r="F912" s="7" t="s">
        <v>402</v>
      </c>
      <c r="G912" s="7" t="s">
        <v>10</v>
      </c>
      <c r="H912" s="8">
        <v>21</v>
      </c>
      <c r="I912" s="7" t="s">
        <v>1021</v>
      </c>
      <c r="J912" s="7" t="s">
        <v>14</v>
      </c>
      <c r="K912" s="8">
        <v>2</v>
      </c>
      <c r="L912" s="7" t="s">
        <v>1024</v>
      </c>
      <c r="M912" s="10">
        <v>25</v>
      </c>
      <c r="N912" s="10">
        <v>50</v>
      </c>
    </row>
    <row r="913" spans="1:14" x14ac:dyDescent="0.2">
      <c r="A913" s="8">
        <v>912</v>
      </c>
      <c r="B913" s="5">
        <v>45262</v>
      </c>
      <c r="C913" s="7" t="s">
        <v>1050</v>
      </c>
      <c r="D913" s="8">
        <v>12</v>
      </c>
      <c r="E913" s="8">
        <v>2023</v>
      </c>
      <c r="F913" s="7" t="s">
        <v>125</v>
      </c>
      <c r="G913" s="7" t="s">
        <v>10</v>
      </c>
      <c r="H913" s="8">
        <v>37</v>
      </c>
      <c r="I913" s="7" t="s">
        <v>1017</v>
      </c>
      <c r="J913" s="7" t="s">
        <v>14</v>
      </c>
      <c r="K913" s="8">
        <v>3</v>
      </c>
      <c r="L913" s="7" t="s">
        <v>1022</v>
      </c>
      <c r="M913" s="10">
        <v>500</v>
      </c>
      <c r="N913" s="10">
        <v>1500</v>
      </c>
    </row>
    <row r="914" spans="1:14" x14ac:dyDescent="0.2">
      <c r="A914" s="8">
        <v>913</v>
      </c>
      <c r="B914" s="5">
        <v>45262</v>
      </c>
      <c r="C914" s="7" t="s">
        <v>1050</v>
      </c>
      <c r="D914" s="8">
        <v>12</v>
      </c>
      <c r="E914" s="8">
        <v>2023</v>
      </c>
      <c r="F914" s="7" t="s">
        <v>579</v>
      </c>
      <c r="G914" s="7" t="s">
        <v>13</v>
      </c>
      <c r="H914" s="8">
        <v>64</v>
      </c>
      <c r="I914" s="7" t="s">
        <v>1018</v>
      </c>
      <c r="J914" s="7" t="s">
        <v>14</v>
      </c>
      <c r="K914" s="8">
        <v>1</v>
      </c>
      <c r="L914" s="7" t="s">
        <v>1023</v>
      </c>
      <c r="M914" s="10">
        <v>30</v>
      </c>
      <c r="N914" s="10">
        <v>30</v>
      </c>
    </row>
    <row r="915" spans="1:14" x14ac:dyDescent="0.2">
      <c r="A915" s="8">
        <v>914</v>
      </c>
      <c r="B915" s="5">
        <v>45262</v>
      </c>
      <c r="C915" s="7" t="s">
        <v>1050</v>
      </c>
      <c r="D915" s="8">
        <v>12</v>
      </c>
      <c r="E915" s="8">
        <v>2023</v>
      </c>
      <c r="F915" s="7" t="s">
        <v>621</v>
      </c>
      <c r="G915" s="7" t="s">
        <v>13</v>
      </c>
      <c r="H915" s="8">
        <v>55</v>
      </c>
      <c r="I915" s="7" t="s">
        <v>1019</v>
      </c>
      <c r="J915" s="7" t="s">
        <v>16</v>
      </c>
      <c r="K915" s="8">
        <v>3</v>
      </c>
      <c r="L915" s="7" t="s">
        <v>1022</v>
      </c>
      <c r="M915" s="10">
        <v>500</v>
      </c>
      <c r="N915" s="10">
        <v>1500</v>
      </c>
    </row>
    <row r="916" spans="1:14" x14ac:dyDescent="0.2">
      <c r="A916" s="8">
        <v>915</v>
      </c>
      <c r="B916" s="5">
        <v>45263</v>
      </c>
      <c r="C916" s="7" t="s">
        <v>1050</v>
      </c>
      <c r="D916" s="8">
        <v>12</v>
      </c>
      <c r="E916" s="8">
        <v>2023</v>
      </c>
      <c r="F916" s="7" t="s">
        <v>361</v>
      </c>
      <c r="G916" s="7" t="s">
        <v>13</v>
      </c>
      <c r="H916" s="8">
        <v>35</v>
      </c>
      <c r="I916" s="7" t="s">
        <v>1017</v>
      </c>
      <c r="J916" s="7" t="s">
        <v>16</v>
      </c>
      <c r="K916" s="8">
        <v>2</v>
      </c>
      <c r="L916" s="7" t="s">
        <v>1024</v>
      </c>
      <c r="M916" s="10">
        <v>300</v>
      </c>
      <c r="N916" s="10">
        <v>600</v>
      </c>
    </row>
    <row r="917" spans="1:14" x14ac:dyDescent="0.2">
      <c r="A917" s="8">
        <v>916</v>
      </c>
      <c r="B917" s="5">
        <v>45264</v>
      </c>
      <c r="C917" s="7" t="s">
        <v>1050</v>
      </c>
      <c r="D917" s="8">
        <v>12</v>
      </c>
      <c r="E917" s="8">
        <v>2023</v>
      </c>
      <c r="F917" s="7" t="s">
        <v>212</v>
      </c>
      <c r="G917" s="7" t="s">
        <v>10</v>
      </c>
      <c r="H917" s="8">
        <v>45</v>
      </c>
      <c r="I917" s="7" t="s">
        <v>1017</v>
      </c>
      <c r="J917" s="7" t="s">
        <v>11</v>
      </c>
      <c r="K917" s="8">
        <v>3</v>
      </c>
      <c r="L917" s="7" t="s">
        <v>1022</v>
      </c>
      <c r="M917" s="10">
        <v>500</v>
      </c>
      <c r="N917" s="10">
        <v>1500</v>
      </c>
    </row>
    <row r="918" spans="1:14" x14ac:dyDescent="0.2">
      <c r="A918" s="8">
        <v>917</v>
      </c>
      <c r="B918" s="5">
        <v>45264</v>
      </c>
      <c r="C918" s="7" t="s">
        <v>1050</v>
      </c>
      <c r="D918" s="8">
        <v>12</v>
      </c>
      <c r="E918" s="8">
        <v>2023</v>
      </c>
      <c r="F918" s="7" t="s">
        <v>271</v>
      </c>
      <c r="G918" s="7" t="s">
        <v>13</v>
      </c>
      <c r="H918" s="8">
        <v>37</v>
      </c>
      <c r="I918" s="7" t="s">
        <v>1017</v>
      </c>
      <c r="J918" s="7" t="s">
        <v>14</v>
      </c>
      <c r="K918" s="8">
        <v>1</v>
      </c>
      <c r="L918" s="7" t="s">
        <v>1023</v>
      </c>
      <c r="M918" s="10">
        <v>50</v>
      </c>
      <c r="N918" s="10">
        <v>50</v>
      </c>
    </row>
    <row r="919" spans="1:14" x14ac:dyDescent="0.2">
      <c r="A919" s="8">
        <v>918</v>
      </c>
      <c r="B919" s="5">
        <v>45264</v>
      </c>
      <c r="C919" s="7" t="s">
        <v>1050</v>
      </c>
      <c r="D919" s="8">
        <v>12</v>
      </c>
      <c r="E919" s="8">
        <v>2023</v>
      </c>
      <c r="F919" s="7" t="s">
        <v>498</v>
      </c>
      <c r="G919" s="7" t="s">
        <v>10</v>
      </c>
      <c r="H919" s="8">
        <v>24</v>
      </c>
      <c r="I919" s="7" t="s">
        <v>1021</v>
      </c>
      <c r="J919" s="7" t="s">
        <v>16</v>
      </c>
      <c r="K919" s="8">
        <v>1</v>
      </c>
      <c r="L919" s="7" t="s">
        <v>1023</v>
      </c>
      <c r="M919" s="10">
        <v>30</v>
      </c>
      <c r="N919" s="10">
        <v>30</v>
      </c>
    </row>
    <row r="920" spans="1:14" x14ac:dyDescent="0.2">
      <c r="A920" s="8">
        <v>919</v>
      </c>
      <c r="B920" s="5">
        <v>45264</v>
      </c>
      <c r="C920" s="7" t="s">
        <v>1050</v>
      </c>
      <c r="D920" s="8">
        <v>12</v>
      </c>
      <c r="E920" s="8">
        <v>2023</v>
      </c>
      <c r="F920" s="7" t="s">
        <v>589</v>
      </c>
      <c r="G920" s="7" t="s">
        <v>13</v>
      </c>
      <c r="H920" s="8">
        <v>33</v>
      </c>
      <c r="I920" s="7" t="s">
        <v>1021</v>
      </c>
      <c r="J920" s="7" t="s">
        <v>11</v>
      </c>
      <c r="K920" s="8">
        <v>3</v>
      </c>
      <c r="L920" s="7" t="s">
        <v>1022</v>
      </c>
      <c r="M920" s="10">
        <v>50</v>
      </c>
      <c r="N920" s="10">
        <v>150</v>
      </c>
    </row>
    <row r="921" spans="1:14" x14ac:dyDescent="0.2">
      <c r="A921" s="8">
        <v>920</v>
      </c>
      <c r="B921" s="5">
        <v>45265</v>
      </c>
      <c r="C921" s="7" t="s">
        <v>1050</v>
      </c>
      <c r="D921" s="8">
        <v>12</v>
      </c>
      <c r="E921" s="8">
        <v>2023</v>
      </c>
      <c r="F921" s="7" t="s">
        <v>78</v>
      </c>
      <c r="G921" s="7" t="s">
        <v>10</v>
      </c>
      <c r="H921" s="8">
        <v>51</v>
      </c>
      <c r="I921" s="7" t="s">
        <v>1019</v>
      </c>
      <c r="J921" s="7" t="s">
        <v>16</v>
      </c>
      <c r="K921" s="8">
        <v>4</v>
      </c>
      <c r="L921" s="7" t="s">
        <v>1025</v>
      </c>
      <c r="M921" s="10">
        <v>500</v>
      </c>
      <c r="N921" s="10">
        <v>2000</v>
      </c>
    </row>
    <row r="922" spans="1:14" x14ac:dyDescent="0.2">
      <c r="A922" s="8">
        <v>921</v>
      </c>
      <c r="B922" s="5">
        <v>45265</v>
      </c>
      <c r="C922" s="7" t="s">
        <v>1050</v>
      </c>
      <c r="D922" s="8">
        <v>12</v>
      </c>
      <c r="E922" s="8">
        <v>2023</v>
      </c>
      <c r="F922" s="7" t="s">
        <v>324</v>
      </c>
      <c r="G922" s="7" t="s">
        <v>13</v>
      </c>
      <c r="H922" s="8">
        <v>32</v>
      </c>
      <c r="I922" s="7" t="s">
        <v>1021</v>
      </c>
      <c r="J922" s="7" t="s">
        <v>11</v>
      </c>
      <c r="K922" s="8">
        <v>4</v>
      </c>
      <c r="L922" s="7" t="s">
        <v>1025</v>
      </c>
      <c r="M922" s="10">
        <v>25</v>
      </c>
      <c r="N922" s="10">
        <v>100</v>
      </c>
    </row>
    <row r="923" spans="1:14" x14ac:dyDescent="0.2">
      <c r="A923" s="8">
        <v>922</v>
      </c>
      <c r="B923" s="5">
        <v>45265</v>
      </c>
      <c r="C923" s="7" t="s">
        <v>1050</v>
      </c>
      <c r="D923" s="8">
        <v>12</v>
      </c>
      <c r="E923" s="8">
        <v>2023</v>
      </c>
      <c r="F923" s="7" t="s">
        <v>804</v>
      </c>
      <c r="G923" s="7" t="s">
        <v>13</v>
      </c>
      <c r="H923" s="8">
        <v>51</v>
      </c>
      <c r="I923" s="7" t="s">
        <v>1019</v>
      </c>
      <c r="J923" s="7" t="s">
        <v>11</v>
      </c>
      <c r="K923" s="8">
        <v>1</v>
      </c>
      <c r="L923" s="7" t="s">
        <v>1023</v>
      </c>
      <c r="M923" s="10">
        <v>25</v>
      </c>
      <c r="N923" s="10">
        <v>25</v>
      </c>
    </row>
    <row r="924" spans="1:14" x14ac:dyDescent="0.2">
      <c r="A924" s="8">
        <v>923</v>
      </c>
      <c r="B924" s="5">
        <v>45265</v>
      </c>
      <c r="C924" s="7" t="s">
        <v>1050</v>
      </c>
      <c r="D924" s="8">
        <v>12</v>
      </c>
      <c r="E924" s="8">
        <v>2023</v>
      </c>
      <c r="F924" s="7" t="s">
        <v>984</v>
      </c>
      <c r="G924" s="7" t="s">
        <v>13</v>
      </c>
      <c r="H924" s="8">
        <v>27</v>
      </c>
      <c r="I924" s="7" t="s">
        <v>1021</v>
      </c>
      <c r="J924" s="7" t="s">
        <v>16</v>
      </c>
      <c r="K924" s="8">
        <v>4</v>
      </c>
      <c r="L924" s="7" t="s">
        <v>1025</v>
      </c>
      <c r="M924" s="10">
        <v>50</v>
      </c>
      <c r="N924" s="10">
        <v>200</v>
      </c>
    </row>
    <row r="925" spans="1:14" x14ac:dyDescent="0.2">
      <c r="A925" s="8">
        <v>924</v>
      </c>
      <c r="B925" s="5">
        <v>45265</v>
      </c>
      <c r="C925" s="7" t="s">
        <v>1050</v>
      </c>
      <c r="D925" s="8">
        <v>12</v>
      </c>
      <c r="E925" s="8">
        <v>2023</v>
      </c>
      <c r="F925" s="7" t="s">
        <v>1012</v>
      </c>
      <c r="G925" s="7" t="s">
        <v>13</v>
      </c>
      <c r="H925" s="8">
        <v>36</v>
      </c>
      <c r="I925" s="7" t="s">
        <v>1017</v>
      </c>
      <c r="J925" s="7" t="s">
        <v>16</v>
      </c>
      <c r="K925" s="8">
        <v>3</v>
      </c>
      <c r="L925" s="7" t="s">
        <v>1022</v>
      </c>
      <c r="M925" s="10">
        <v>50</v>
      </c>
      <c r="N925" s="10">
        <v>150</v>
      </c>
    </row>
    <row r="926" spans="1:14" x14ac:dyDescent="0.2">
      <c r="A926" s="8">
        <v>925</v>
      </c>
      <c r="B926" s="5">
        <v>45266</v>
      </c>
      <c r="C926" s="7" t="s">
        <v>1050</v>
      </c>
      <c r="D926" s="8">
        <v>12</v>
      </c>
      <c r="E926" s="8">
        <v>2023</v>
      </c>
      <c r="F926" s="7" t="s">
        <v>408</v>
      </c>
      <c r="G926" s="7" t="s">
        <v>10</v>
      </c>
      <c r="H926" s="8">
        <v>50</v>
      </c>
      <c r="I926" s="7" t="s">
        <v>1019</v>
      </c>
      <c r="J926" s="7" t="s">
        <v>16</v>
      </c>
      <c r="K926" s="8">
        <v>2</v>
      </c>
      <c r="L926" s="7" t="s">
        <v>1024</v>
      </c>
      <c r="M926" s="10">
        <v>500</v>
      </c>
      <c r="N926" s="10">
        <v>1000</v>
      </c>
    </row>
    <row r="927" spans="1:14" x14ac:dyDescent="0.2">
      <c r="A927" s="8">
        <v>926</v>
      </c>
      <c r="B927" s="5">
        <v>45266</v>
      </c>
      <c r="C927" s="7" t="s">
        <v>1050</v>
      </c>
      <c r="D927" s="8">
        <v>12</v>
      </c>
      <c r="E927" s="8">
        <v>2023</v>
      </c>
      <c r="F927" s="7" t="s">
        <v>548</v>
      </c>
      <c r="G927" s="7" t="s">
        <v>10</v>
      </c>
      <c r="H927" s="8">
        <v>47</v>
      </c>
      <c r="I927" s="7" t="s">
        <v>1019</v>
      </c>
      <c r="J927" s="7" t="s">
        <v>11</v>
      </c>
      <c r="K927" s="8">
        <v>3</v>
      </c>
      <c r="L927" s="7" t="s">
        <v>1022</v>
      </c>
      <c r="M927" s="10">
        <v>30</v>
      </c>
      <c r="N927" s="10">
        <v>90</v>
      </c>
    </row>
    <row r="928" spans="1:14" x14ac:dyDescent="0.2">
      <c r="A928" s="8">
        <v>927</v>
      </c>
      <c r="B928" s="5">
        <v>45266</v>
      </c>
      <c r="C928" s="7" t="s">
        <v>1050</v>
      </c>
      <c r="D928" s="8">
        <v>12</v>
      </c>
      <c r="E928" s="8">
        <v>2023</v>
      </c>
      <c r="F928" s="7" t="s">
        <v>593</v>
      </c>
      <c r="G928" s="7" t="s">
        <v>13</v>
      </c>
      <c r="H928" s="8">
        <v>31</v>
      </c>
      <c r="I928" s="7" t="s">
        <v>1021</v>
      </c>
      <c r="J928" s="7" t="s">
        <v>14</v>
      </c>
      <c r="K928" s="8">
        <v>3</v>
      </c>
      <c r="L928" s="7" t="s">
        <v>1022</v>
      </c>
      <c r="M928" s="10">
        <v>500</v>
      </c>
      <c r="N928" s="10">
        <v>1500</v>
      </c>
    </row>
    <row r="929" spans="1:14" x14ac:dyDescent="0.2">
      <c r="A929" s="8">
        <v>928</v>
      </c>
      <c r="B929" s="5">
        <v>45266</v>
      </c>
      <c r="C929" s="7" t="s">
        <v>1050</v>
      </c>
      <c r="D929" s="8">
        <v>12</v>
      </c>
      <c r="E929" s="8">
        <v>2023</v>
      </c>
      <c r="F929" s="7" t="s">
        <v>725</v>
      </c>
      <c r="G929" s="7" t="s">
        <v>13</v>
      </c>
      <c r="H929" s="8">
        <v>57</v>
      </c>
      <c r="I929" s="7" t="s">
        <v>1018</v>
      </c>
      <c r="J929" s="7" t="s">
        <v>11</v>
      </c>
      <c r="K929" s="8">
        <v>2</v>
      </c>
      <c r="L929" s="7" t="s">
        <v>1024</v>
      </c>
      <c r="M929" s="10">
        <v>25</v>
      </c>
      <c r="N929" s="10">
        <v>50</v>
      </c>
    </row>
    <row r="930" spans="1:14" x14ac:dyDescent="0.2">
      <c r="A930" s="8">
        <v>929</v>
      </c>
      <c r="B930" s="5">
        <v>45266</v>
      </c>
      <c r="C930" s="7" t="s">
        <v>1050</v>
      </c>
      <c r="D930" s="8">
        <v>12</v>
      </c>
      <c r="E930" s="8">
        <v>2023</v>
      </c>
      <c r="F930" s="7" t="s">
        <v>881</v>
      </c>
      <c r="G930" s="7" t="s">
        <v>13</v>
      </c>
      <c r="H930" s="8">
        <v>25</v>
      </c>
      <c r="I930" s="7" t="s">
        <v>1021</v>
      </c>
      <c r="J930" s="7" t="s">
        <v>16</v>
      </c>
      <c r="K930" s="8">
        <v>1</v>
      </c>
      <c r="L930" s="7" t="s">
        <v>1023</v>
      </c>
      <c r="M930" s="10">
        <v>300</v>
      </c>
      <c r="N930" s="10">
        <v>300</v>
      </c>
    </row>
    <row r="931" spans="1:14" x14ac:dyDescent="0.2">
      <c r="A931" s="8">
        <v>930</v>
      </c>
      <c r="B931" s="5">
        <v>45267</v>
      </c>
      <c r="C931" s="7" t="s">
        <v>1050</v>
      </c>
      <c r="D931" s="8">
        <v>12</v>
      </c>
      <c r="E931" s="8">
        <v>2023</v>
      </c>
      <c r="F931" s="7" t="s">
        <v>544</v>
      </c>
      <c r="G931" s="7" t="s">
        <v>10</v>
      </c>
      <c r="H931" s="8">
        <v>31</v>
      </c>
      <c r="I931" s="7" t="s">
        <v>1021</v>
      </c>
      <c r="J931" s="7" t="s">
        <v>16</v>
      </c>
      <c r="K931" s="8">
        <v>1</v>
      </c>
      <c r="L931" s="7" t="s">
        <v>1023</v>
      </c>
      <c r="M931" s="10">
        <v>500</v>
      </c>
      <c r="N931" s="10">
        <v>500</v>
      </c>
    </row>
    <row r="932" spans="1:14" x14ac:dyDescent="0.2">
      <c r="A932" s="8">
        <v>931</v>
      </c>
      <c r="B932" s="5">
        <v>45267</v>
      </c>
      <c r="C932" s="7" t="s">
        <v>1050</v>
      </c>
      <c r="D932" s="8">
        <v>12</v>
      </c>
      <c r="E932" s="8">
        <v>2023</v>
      </c>
      <c r="F932" s="7" t="s">
        <v>563</v>
      </c>
      <c r="G932" s="7" t="s">
        <v>10</v>
      </c>
      <c r="H932" s="8">
        <v>40</v>
      </c>
      <c r="I932" s="7" t="s">
        <v>1017</v>
      </c>
      <c r="J932" s="7" t="s">
        <v>14</v>
      </c>
      <c r="K932" s="8">
        <v>3</v>
      </c>
      <c r="L932" s="7" t="s">
        <v>1022</v>
      </c>
      <c r="M932" s="10">
        <v>300</v>
      </c>
      <c r="N932" s="10">
        <v>900</v>
      </c>
    </row>
    <row r="933" spans="1:14" x14ac:dyDescent="0.2">
      <c r="A933" s="8">
        <v>932</v>
      </c>
      <c r="B933" s="5">
        <v>45268</v>
      </c>
      <c r="C933" s="7" t="s">
        <v>1050</v>
      </c>
      <c r="D933" s="8">
        <v>12</v>
      </c>
      <c r="E933" s="8">
        <v>2023</v>
      </c>
      <c r="F933" s="7" t="s">
        <v>405</v>
      </c>
      <c r="G933" s="7" t="s">
        <v>10</v>
      </c>
      <c r="H933" s="8">
        <v>27</v>
      </c>
      <c r="I933" s="7" t="s">
        <v>1021</v>
      </c>
      <c r="J933" s="7" t="s">
        <v>14</v>
      </c>
      <c r="K933" s="8">
        <v>2</v>
      </c>
      <c r="L933" s="7" t="s">
        <v>1024</v>
      </c>
      <c r="M933" s="10">
        <v>300</v>
      </c>
      <c r="N933" s="10">
        <v>600</v>
      </c>
    </row>
    <row r="934" spans="1:14" x14ac:dyDescent="0.2">
      <c r="A934" s="8">
        <v>933</v>
      </c>
      <c r="B934" s="5">
        <v>45268</v>
      </c>
      <c r="C934" s="7" t="s">
        <v>1050</v>
      </c>
      <c r="D934" s="8">
        <v>12</v>
      </c>
      <c r="E934" s="8">
        <v>2023</v>
      </c>
      <c r="F934" s="7" t="s">
        <v>466</v>
      </c>
      <c r="G934" s="7" t="s">
        <v>13</v>
      </c>
      <c r="H934" s="8">
        <v>26</v>
      </c>
      <c r="I934" s="7" t="s">
        <v>1021</v>
      </c>
      <c r="J934" s="7" t="s">
        <v>14</v>
      </c>
      <c r="K934" s="8">
        <v>2</v>
      </c>
      <c r="L934" s="7" t="s">
        <v>1024</v>
      </c>
      <c r="M934" s="10">
        <v>500</v>
      </c>
      <c r="N934" s="10">
        <v>1000</v>
      </c>
    </row>
    <row r="935" spans="1:14" x14ac:dyDescent="0.2">
      <c r="A935" s="8">
        <v>934</v>
      </c>
      <c r="B935" s="5">
        <v>45268</v>
      </c>
      <c r="C935" s="7" t="s">
        <v>1050</v>
      </c>
      <c r="D935" s="8">
        <v>12</v>
      </c>
      <c r="E935" s="8">
        <v>2023</v>
      </c>
      <c r="F935" s="7" t="s">
        <v>553</v>
      </c>
      <c r="G935" s="7" t="s">
        <v>13</v>
      </c>
      <c r="H935" s="8">
        <v>46</v>
      </c>
      <c r="I935" s="7" t="s">
        <v>1019</v>
      </c>
      <c r="J935" s="7" t="s">
        <v>16</v>
      </c>
      <c r="K935" s="8">
        <v>3</v>
      </c>
      <c r="L935" s="7" t="s">
        <v>1022</v>
      </c>
      <c r="M935" s="10">
        <v>300</v>
      </c>
      <c r="N935" s="10">
        <v>900</v>
      </c>
    </row>
    <row r="936" spans="1:14" x14ac:dyDescent="0.2">
      <c r="A936" s="8">
        <v>935</v>
      </c>
      <c r="B936" s="5">
        <v>45268</v>
      </c>
      <c r="C936" s="7" t="s">
        <v>1050</v>
      </c>
      <c r="D936" s="8">
        <v>12</v>
      </c>
      <c r="E936" s="8">
        <v>2023</v>
      </c>
      <c r="F936" s="7" t="s">
        <v>638</v>
      </c>
      <c r="G936" s="7" t="s">
        <v>10</v>
      </c>
      <c r="H936" s="8">
        <v>31</v>
      </c>
      <c r="I936" s="7" t="s">
        <v>1021</v>
      </c>
      <c r="J936" s="7" t="s">
        <v>14</v>
      </c>
      <c r="K936" s="8">
        <v>1</v>
      </c>
      <c r="L936" s="7" t="s">
        <v>1023</v>
      </c>
      <c r="M936" s="10">
        <v>300</v>
      </c>
      <c r="N936" s="10">
        <v>300</v>
      </c>
    </row>
    <row r="937" spans="1:14" x14ac:dyDescent="0.2">
      <c r="A937" s="8">
        <v>936</v>
      </c>
      <c r="B937" s="5">
        <v>45269</v>
      </c>
      <c r="C937" s="7" t="s">
        <v>1050</v>
      </c>
      <c r="D937" s="8">
        <v>12</v>
      </c>
      <c r="E937" s="8">
        <v>2023</v>
      </c>
      <c r="F937" s="7" t="s">
        <v>257</v>
      </c>
      <c r="G937" s="7" t="s">
        <v>10</v>
      </c>
      <c r="H937" s="8">
        <v>28</v>
      </c>
      <c r="I937" s="7" t="s">
        <v>1021</v>
      </c>
      <c r="J937" s="7" t="s">
        <v>11</v>
      </c>
      <c r="K937" s="8">
        <v>2</v>
      </c>
      <c r="L937" s="7" t="s">
        <v>1024</v>
      </c>
      <c r="M937" s="10">
        <v>50</v>
      </c>
      <c r="N937" s="10">
        <v>100</v>
      </c>
    </row>
    <row r="938" spans="1:14" x14ac:dyDescent="0.2">
      <c r="A938" s="8">
        <v>937</v>
      </c>
      <c r="B938" s="5">
        <v>45269</v>
      </c>
      <c r="C938" s="7" t="s">
        <v>1050</v>
      </c>
      <c r="D938" s="8">
        <v>12</v>
      </c>
      <c r="E938" s="8">
        <v>2023</v>
      </c>
      <c r="F938" s="7" t="s">
        <v>368</v>
      </c>
      <c r="G938" s="7" t="s">
        <v>13</v>
      </c>
      <c r="H938" s="8">
        <v>55</v>
      </c>
      <c r="I938" s="7" t="s">
        <v>1019</v>
      </c>
      <c r="J938" s="7" t="s">
        <v>16</v>
      </c>
      <c r="K938" s="8">
        <v>1</v>
      </c>
      <c r="L938" s="7" t="s">
        <v>1023</v>
      </c>
      <c r="M938" s="10">
        <v>500</v>
      </c>
      <c r="N938" s="10">
        <v>500</v>
      </c>
    </row>
    <row r="939" spans="1:14" x14ac:dyDescent="0.2">
      <c r="A939" s="8">
        <v>938</v>
      </c>
      <c r="B939" s="5">
        <v>45269</v>
      </c>
      <c r="C939" s="7" t="s">
        <v>1050</v>
      </c>
      <c r="D939" s="8">
        <v>12</v>
      </c>
      <c r="E939" s="8">
        <v>2023</v>
      </c>
      <c r="F939" s="7" t="s">
        <v>481</v>
      </c>
      <c r="G939" s="7" t="s">
        <v>10</v>
      </c>
      <c r="H939" s="8">
        <v>40</v>
      </c>
      <c r="I939" s="7" t="s">
        <v>1017</v>
      </c>
      <c r="J939" s="7" t="s">
        <v>16</v>
      </c>
      <c r="K939" s="8">
        <v>1</v>
      </c>
      <c r="L939" s="7" t="s">
        <v>1023</v>
      </c>
      <c r="M939" s="10">
        <v>25</v>
      </c>
      <c r="N939" s="10">
        <v>25</v>
      </c>
    </row>
    <row r="940" spans="1:14" x14ac:dyDescent="0.2">
      <c r="A940" s="8">
        <v>939</v>
      </c>
      <c r="B940" s="5">
        <v>45269</v>
      </c>
      <c r="C940" s="7" t="s">
        <v>1050</v>
      </c>
      <c r="D940" s="8">
        <v>12</v>
      </c>
      <c r="E940" s="8">
        <v>2023</v>
      </c>
      <c r="F940" s="7" t="s">
        <v>713</v>
      </c>
      <c r="G940" s="7" t="s">
        <v>10</v>
      </c>
      <c r="H940" s="8">
        <v>36</v>
      </c>
      <c r="I940" s="7" t="s">
        <v>1017</v>
      </c>
      <c r="J940" s="7" t="s">
        <v>16</v>
      </c>
      <c r="K940" s="8">
        <v>4</v>
      </c>
      <c r="L940" s="7" t="s">
        <v>1025</v>
      </c>
      <c r="M940" s="10">
        <v>500</v>
      </c>
      <c r="N940" s="10">
        <v>2000</v>
      </c>
    </row>
    <row r="941" spans="1:14" x14ac:dyDescent="0.2">
      <c r="A941" s="8">
        <v>940</v>
      </c>
      <c r="B941" s="5">
        <v>45269</v>
      </c>
      <c r="C941" s="7" t="s">
        <v>1050</v>
      </c>
      <c r="D941" s="8">
        <v>12</v>
      </c>
      <c r="E941" s="8">
        <v>2023</v>
      </c>
      <c r="F941" s="7" t="s">
        <v>765</v>
      </c>
      <c r="G941" s="7" t="s">
        <v>10</v>
      </c>
      <c r="H941" s="8">
        <v>29</v>
      </c>
      <c r="I941" s="7" t="s">
        <v>1021</v>
      </c>
      <c r="J941" s="7" t="s">
        <v>14</v>
      </c>
      <c r="K941" s="8">
        <v>2</v>
      </c>
      <c r="L941" s="7" t="s">
        <v>1024</v>
      </c>
      <c r="M941" s="10">
        <v>50</v>
      </c>
      <c r="N941" s="10">
        <v>100</v>
      </c>
    </row>
    <row r="942" spans="1:14" x14ac:dyDescent="0.2">
      <c r="A942" s="8">
        <v>941</v>
      </c>
      <c r="B942" s="5">
        <v>45269</v>
      </c>
      <c r="C942" s="7" t="s">
        <v>1050</v>
      </c>
      <c r="D942" s="8">
        <v>12</v>
      </c>
      <c r="E942" s="8">
        <v>2023</v>
      </c>
      <c r="F942" s="7" t="s">
        <v>841</v>
      </c>
      <c r="G942" s="7" t="s">
        <v>13</v>
      </c>
      <c r="H942" s="8">
        <v>33</v>
      </c>
      <c r="I942" s="7" t="s">
        <v>1021</v>
      </c>
      <c r="J942" s="7" t="s">
        <v>16</v>
      </c>
      <c r="K942" s="8">
        <v>4</v>
      </c>
      <c r="L942" s="7" t="s">
        <v>1025</v>
      </c>
      <c r="M942" s="10">
        <v>300</v>
      </c>
      <c r="N942" s="10">
        <v>1200</v>
      </c>
    </row>
    <row r="943" spans="1:14" x14ac:dyDescent="0.2">
      <c r="A943" s="8">
        <v>942</v>
      </c>
      <c r="B943" s="5">
        <v>45270</v>
      </c>
      <c r="C943" s="7" t="s">
        <v>1050</v>
      </c>
      <c r="D943" s="8">
        <v>12</v>
      </c>
      <c r="E943" s="8">
        <v>2023</v>
      </c>
      <c r="F943" s="7" t="s">
        <v>93</v>
      </c>
      <c r="G943" s="7" t="s">
        <v>13</v>
      </c>
      <c r="H943" s="8">
        <v>64</v>
      </c>
      <c r="I943" s="7" t="s">
        <v>1018</v>
      </c>
      <c r="J943" s="7" t="s">
        <v>14</v>
      </c>
      <c r="K943" s="8">
        <v>2</v>
      </c>
      <c r="L943" s="7" t="s">
        <v>1024</v>
      </c>
      <c r="M943" s="10">
        <v>30</v>
      </c>
      <c r="N943" s="10">
        <v>60</v>
      </c>
    </row>
    <row r="944" spans="1:14" x14ac:dyDescent="0.2">
      <c r="A944" s="8">
        <v>943</v>
      </c>
      <c r="B944" s="5">
        <v>45270</v>
      </c>
      <c r="C944" s="7" t="s">
        <v>1050</v>
      </c>
      <c r="D944" s="8">
        <v>12</v>
      </c>
      <c r="E944" s="8">
        <v>2023</v>
      </c>
      <c r="F944" s="7" t="s">
        <v>227</v>
      </c>
      <c r="G944" s="7" t="s">
        <v>10</v>
      </c>
      <c r="H944" s="8">
        <v>20</v>
      </c>
      <c r="I944" s="7" t="s">
        <v>1021</v>
      </c>
      <c r="J944" s="7" t="s">
        <v>11</v>
      </c>
      <c r="K944" s="8">
        <v>2</v>
      </c>
      <c r="L944" s="7" t="s">
        <v>1024</v>
      </c>
      <c r="M944" s="10">
        <v>30</v>
      </c>
      <c r="N944" s="10">
        <v>60</v>
      </c>
    </row>
    <row r="945" spans="1:14" x14ac:dyDescent="0.2">
      <c r="A945" s="8">
        <v>944</v>
      </c>
      <c r="B945" s="5">
        <v>45270</v>
      </c>
      <c r="C945" s="7" t="s">
        <v>1050</v>
      </c>
      <c r="D945" s="8">
        <v>12</v>
      </c>
      <c r="E945" s="8">
        <v>2023</v>
      </c>
      <c r="F945" s="7" t="s">
        <v>374</v>
      </c>
      <c r="G945" s="7" t="s">
        <v>13</v>
      </c>
      <c r="H945" s="8">
        <v>34</v>
      </c>
      <c r="I945" s="7" t="s">
        <v>1021</v>
      </c>
      <c r="J945" s="7" t="s">
        <v>16</v>
      </c>
      <c r="K945" s="8">
        <v>4</v>
      </c>
      <c r="L945" s="7" t="s">
        <v>1025</v>
      </c>
      <c r="M945" s="10">
        <v>300</v>
      </c>
      <c r="N945" s="10">
        <v>1200</v>
      </c>
    </row>
    <row r="946" spans="1:14" x14ac:dyDescent="0.2">
      <c r="A946" s="8">
        <v>945</v>
      </c>
      <c r="B946" s="5">
        <v>45270</v>
      </c>
      <c r="C946" s="7" t="s">
        <v>1050</v>
      </c>
      <c r="D946" s="8">
        <v>12</v>
      </c>
      <c r="E946" s="8">
        <v>2023</v>
      </c>
      <c r="F946" s="7" t="s">
        <v>539</v>
      </c>
      <c r="G946" s="7" t="s">
        <v>10</v>
      </c>
      <c r="H946" s="8">
        <v>33</v>
      </c>
      <c r="I946" s="7" t="s">
        <v>1021</v>
      </c>
      <c r="J946" s="7" t="s">
        <v>14</v>
      </c>
      <c r="K946" s="8">
        <v>2</v>
      </c>
      <c r="L946" s="7" t="s">
        <v>1024</v>
      </c>
      <c r="M946" s="10">
        <v>50</v>
      </c>
      <c r="N946" s="10">
        <v>100</v>
      </c>
    </row>
    <row r="947" spans="1:14" x14ac:dyDescent="0.2">
      <c r="A947" s="8">
        <v>946</v>
      </c>
      <c r="B947" s="5">
        <v>45271</v>
      </c>
      <c r="C947" s="7" t="s">
        <v>1050</v>
      </c>
      <c r="D947" s="8">
        <v>12</v>
      </c>
      <c r="E947" s="8">
        <v>2023</v>
      </c>
      <c r="F947" s="7" t="s">
        <v>278</v>
      </c>
      <c r="G947" s="7" t="s">
        <v>10</v>
      </c>
      <c r="H947" s="8">
        <v>55</v>
      </c>
      <c r="I947" s="7" t="s">
        <v>1019</v>
      </c>
      <c r="J947" s="7" t="s">
        <v>14</v>
      </c>
      <c r="K947" s="8">
        <v>3</v>
      </c>
      <c r="L947" s="7" t="s">
        <v>1022</v>
      </c>
      <c r="M947" s="10">
        <v>300</v>
      </c>
      <c r="N947" s="10">
        <v>900</v>
      </c>
    </row>
    <row r="948" spans="1:14" x14ac:dyDescent="0.2">
      <c r="A948" s="8">
        <v>947</v>
      </c>
      <c r="B948" s="5">
        <v>45271</v>
      </c>
      <c r="C948" s="7" t="s">
        <v>1050</v>
      </c>
      <c r="D948" s="8">
        <v>12</v>
      </c>
      <c r="E948" s="8">
        <v>2023</v>
      </c>
      <c r="F948" s="7" t="s">
        <v>599</v>
      </c>
      <c r="G948" s="7" t="s">
        <v>10</v>
      </c>
      <c r="H948" s="8">
        <v>50</v>
      </c>
      <c r="I948" s="7" t="s">
        <v>1019</v>
      </c>
      <c r="J948" s="7" t="s">
        <v>16</v>
      </c>
      <c r="K948" s="8">
        <v>1</v>
      </c>
      <c r="L948" s="7" t="s">
        <v>1023</v>
      </c>
      <c r="M948" s="10">
        <v>50</v>
      </c>
      <c r="N948" s="10">
        <v>50</v>
      </c>
    </row>
    <row r="949" spans="1:14" x14ac:dyDescent="0.2">
      <c r="A949" s="8">
        <v>948</v>
      </c>
      <c r="B949" s="5">
        <v>45272</v>
      </c>
      <c r="C949" s="7" t="s">
        <v>1050</v>
      </c>
      <c r="D949" s="8">
        <v>12</v>
      </c>
      <c r="E949" s="8">
        <v>2023</v>
      </c>
      <c r="F949" s="7" t="s">
        <v>349</v>
      </c>
      <c r="G949" s="7" t="s">
        <v>13</v>
      </c>
      <c r="H949" s="8">
        <v>52</v>
      </c>
      <c r="I949" s="7" t="s">
        <v>1019</v>
      </c>
      <c r="J949" s="7" t="s">
        <v>11</v>
      </c>
      <c r="K949" s="8">
        <v>3</v>
      </c>
      <c r="L949" s="7" t="s">
        <v>1022</v>
      </c>
      <c r="M949" s="10">
        <v>50</v>
      </c>
      <c r="N949" s="10">
        <v>150</v>
      </c>
    </row>
    <row r="950" spans="1:14" x14ac:dyDescent="0.2">
      <c r="A950" s="8">
        <v>949</v>
      </c>
      <c r="B950" s="5">
        <v>45272</v>
      </c>
      <c r="C950" s="7" t="s">
        <v>1050</v>
      </c>
      <c r="D950" s="8">
        <v>12</v>
      </c>
      <c r="E950" s="8">
        <v>2023</v>
      </c>
      <c r="F950" s="7" t="s">
        <v>584</v>
      </c>
      <c r="G950" s="7" t="s">
        <v>13</v>
      </c>
      <c r="H950" s="8">
        <v>41</v>
      </c>
      <c r="I950" s="7" t="s">
        <v>1017</v>
      </c>
      <c r="J950" s="7" t="s">
        <v>16</v>
      </c>
      <c r="K950" s="8">
        <v>1</v>
      </c>
      <c r="L950" s="7" t="s">
        <v>1023</v>
      </c>
      <c r="M950" s="10">
        <v>50</v>
      </c>
      <c r="N950" s="10">
        <v>50</v>
      </c>
    </row>
    <row r="951" spans="1:14" x14ac:dyDescent="0.2">
      <c r="A951" s="8">
        <v>950</v>
      </c>
      <c r="B951" s="5">
        <v>45273</v>
      </c>
      <c r="C951" s="7" t="s">
        <v>1050</v>
      </c>
      <c r="D951" s="8">
        <v>12</v>
      </c>
      <c r="E951" s="8">
        <v>2023</v>
      </c>
      <c r="F951" s="7" t="s">
        <v>22</v>
      </c>
      <c r="G951" s="7" t="s">
        <v>10</v>
      </c>
      <c r="H951" s="8">
        <v>63</v>
      </c>
      <c r="I951" s="7" t="s">
        <v>1018</v>
      </c>
      <c r="J951" s="7" t="s">
        <v>16</v>
      </c>
      <c r="K951" s="8">
        <v>2</v>
      </c>
      <c r="L951" s="7" t="s">
        <v>1024</v>
      </c>
      <c r="M951" s="10">
        <v>300</v>
      </c>
      <c r="N951" s="10">
        <v>600</v>
      </c>
    </row>
    <row r="952" spans="1:14" x14ac:dyDescent="0.2">
      <c r="A952" s="8">
        <v>951</v>
      </c>
      <c r="B952" s="5">
        <v>45273</v>
      </c>
      <c r="C952" s="7" t="s">
        <v>1050</v>
      </c>
      <c r="D952" s="8">
        <v>12</v>
      </c>
      <c r="E952" s="8">
        <v>2023</v>
      </c>
      <c r="F952" s="7" t="s">
        <v>565</v>
      </c>
      <c r="G952" s="7" t="s">
        <v>13</v>
      </c>
      <c r="H952" s="8">
        <v>49</v>
      </c>
      <c r="I952" s="7" t="s">
        <v>1019</v>
      </c>
      <c r="J952" s="7" t="s">
        <v>16</v>
      </c>
      <c r="K952" s="8">
        <v>3</v>
      </c>
      <c r="L952" s="7" t="s">
        <v>1022</v>
      </c>
      <c r="M952" s="10">
        <v>25</v>
      </c>
      <c r="N952" s="10">
        <v>75</v>
      </c>
    </row>
    <row r="953" spans="1:14" x14ac:dyDescent="0.2">
      <c r="A953" s="8">
        <v>952</v>
      </c>
      <c r="B953" s="5">
        <v>45273</v>
      </c>
      <c r="C953" s="7" t="s">
        <v>1050</v>
      </c>
      <c r="D953" s="8">
        <v>12</v>
      </c>
      <c r="E953" s="8">
        <v>2023</v>
      </c>
      <c r="F953" s="7" t="s">
        <v>784</v>
      </c>
      <c r="G953" s="7" t="s">
        <v>10</v>
      </c>
      <c r="H953" s="8">
        <v>24</v>
      </c>
      <c r="I953" s="7" t="s">
        <v>1021</v>
      </c>
      <c r="J953" s="7" t="s">
        <v>16</v>
      </c>
      <c r="K953" s="8">
        <v>2</v>
      </c>
      <c r="L953" s="7" t="s">
        <v>1024</v>
      </c>
      <c r="M953" s="10">
        <v>25</v>
      </c>
      <c r="N953" s="10">
        <v>50</v>
      </c>
    </row>
    <row r="954" spans="1:14" x14ac:dyDescent="0.2">
      <c r="A954" s="8">
        <v>953</v>
      </c>
      <c r="B954" s="5">
        <v>45274</v>
      </c>
      <c r="C954" s="7" t="s">
        <v>1050</v>
      </c>
      <c r="D954" s="8">
        <v>12</v>
      </c>
      <c r="E954" s="8">
        <v>2023</v>
      </c>
      <c r="F954" s="7" t="s">
        <v>509</v>
      </c>
      <c r="G954" s="7" t="s">
        <v>10</v>
      </c>
      <c r="H954" s="8">
        <v>23</v>
      </c>
      <c r="I954" s="7" t="s">
        <v>1021</v>
      </c>
      <c r="J954" s="7" t="s">
        <v>14</v>
      </c>
      <c r="K954" s="8">
        <v>2</v>
      </c>
      <c r="L954" s="7" t="s">
        <v>1024</v>
      </c>
      <c r="M954" s="10">
        <v>300</v>
      </c>
      <c r="N954" s="10">
        <v>600</v>
      </c>
    </row>
    <row r="955" spans="1:14" x14ac:dyDescent="0.2">
      <c r="A955" s="8">
        <v>954</v>
      </c>
      <c r="B955" s="5">
        <v>45274</v>
      </c>
      <c r="C955" s="7" t="s">
        <v>1050</v>
      </c>
      <c r="D955" s="8">
        <v>12</v>
      </c>
      <c r="E955" s="8">
        <v>2023</v>
      </c>
      <c r="F955" s="7" t="s">
        <v>714</v>
      </c>
      <c r="G955" s="7" t="s">
        <v>13</v>
      </c>
      <c r="H955" s="8">
        <v>52</v>
      </c>
      <c r="I955" s="7" t="s">
        <v>1019</v>
      </c>
      <c r="J955" s="7" t="s">
        <v>11</v>
      </c>
      <c r="K955" s="8">
        <v>2</v>
      </c>
      <c r="L955" s="7" t="s">
        <v>1024</v>
      </c>
      <c r="M955" s="10">
        <v>30</v>
      </c>
      <c r="N955" s="10">
        <v>60</v>
      </c>
    </row>
    <row r="956" spans="1:14" x14ac:dyDescent="0.2">
      <c r="A956" s="8">
        <v>955</v>
      </c>
      <c r="B956" s="5">
        <v>45275</v>
      </c>
      <c r="C956" s="7" t="s">
        <v>1050</v>
      </c>
      <c r="D956" s="8">
        <v>12</v>
      </c>
      <c r="E956" s="8">
        <v>2023</v>
      </c>
      <c r="F956" s="7" t="s">
        <v>152</v>
      </c>
      <c r="G956" s="7" t="s">
        <v>10</v>
      </c>
      <c r="H956" s="8">
        <v>36</v>
      </c>
      <c r="I956" s="7" t="s">
        <v>1017</v>
      </c>
      <c r="J956" s="7" t="s">
        <v>11</v>
      </c>
      <c r="K956" s="8">
        <v>4</v>
      </c>
      <c r="L956" s="7" t="s">
        <v>1025</v>
      </c>
      <c r="M956" s="10">
        <v>500</v>
      </c>
      <c r="N956" s="10">
        <v>2000</v>
      </c>
    </row>
    <row r="957" spans="1:14" x14ac:dyDescent="0.2">
      <c r="A957" s="8">
        <v>956</v>
      </c>
      <c r="B957" s="5">
        <v>45275</v>
      </c>
      <c r="C957" s="7" t="s">
        <v>1050</v>
      </c>
      <c r="D957" s="8">
        <v>12</v>
      </c>
      <c r="E957" s="8">
        <v>2023</v>
      </c>
      <c r="F957" s="7" t="s">
        <v>164</v>
      </c>
      <c r="G957" s="7" t="s">
        <v>10</v>
      </c>
      <c r="H957" s="8">
        <v>29</v>
      </c>
      <c r="I957" s="7" t="s">
        <v>1021</v>
      </c>
      <c r="J957" s="7" t="s">
        <v>14</v>
      </c>
      <c r="K957" s="8">
        <v>1</v>
      </c>
      <c r="L957" s="7" t="s">
        <v>1023</v>
      </c>
      <c r="M957" s="10">
        <v>50</v>
      </c>
      <c r="N957" s="10">
        <v>50</v>
      </c>
    </row>
    <row r="958" spans="1:14" x14ac:dyDescent="0.2">
      <c r="A958" s="8">
        <v>957</v>
      </c>
      <c r="B958" s="5">
        <v>45276</v>
      </c>
      <c r="C958" s="7" t="s">
        <v>1050</v>
      </c>
      <c r="D958" s="8">
        <v>12</v>
      </c>
      <c r="E958" s="8">
        <v>2023</v>
      </c>
      <c r="F958" s="7" t="s">
        <v>96</v>
      </c>
      <c r="G958" s="7" t="s">
        <v>10</v>
      </c>
      <c r="H958" s="8">
        <v>54</v>
      </c>
      <c r="I958" s="7" t="s">
        <v>1019</v>
      </c>
      <c r="J958" s="7" t="s">
        <v>16</v>
      </c>
      <c r="K958" s="8">
        <v>2</v>
      </c>
      <c r="L958" s="7" t="s">
        <v>1024</v>
      </c>
      <c r="M958" s="10">
        <v>50</v>
      </c>
      <c r="N958" s="10">
        <v>100</v>
      </c>
    </row>
    <row r="959" spans="1:14" x14ac:dyDescent="0.2">
      <c r="A959" s="8">
        <v>958</v>
      </c>
      <c r="B959" s="5">
        <v>45276</v>
      </c>
      <c r="C959" s="7" t="s">
        <v>1050</v>
      </c>
      <c r="D959" s="8">
        <v>12</v>
      </c>
      <c r="E959" s="8">
        <v>2023</v>
      </c>
      <c r="F959" s="7" t="s">
        <v>166</v>
      </c>
      <c r="G959" s="7" t="s">
        <v>10</v>
      </c>
      <c r="H959" s="8">
        <v>63</v>
      </c>
      <c r="I959" s="7" t="s">
        <v>1018</v>
      </c>
      <c r="J959" s="7" t="s">
        <v>16</v>
      </c>
      <c r="K959" s="8">
        <v>2</v>
      </c>
      <c r="L959" s="7" t="s">
        <v>1024</v>
      </c>
      <c r="M959" s="10">
        <v>500</v>
      </c>
      <c r="N959" s="10">
        <v>1000</v>
      </c>
    </row>
    <row r="960" spans="1:14" x14ac:dyDescent="0.2">
      <c r="A960" s="8">
        <v>959</v>
      </c>
      <c r="B960" s="5">
        <v>45276</v>
      </c>
      <c r="C960" s="7" t="s">
        <v>1050</v>
      </c>
      <c r="D960" s="8">
        <v>12</v>
      </c>
      <c r="E960" s="8">
        <v>2023</v>
      </c>
      <c r="F960" s="7" t="s">
        <v>464</v>
      </c>
      <c r="G960" s="7" t="s">
        <v>13</v>
      </c>
      <c r="H960" s="8">
        <v>45</v>
      </c>
      <c r="I960" s="7" t="s">
        <v>1017</v>
      </c>
      <c r="J960" s="7" t="s">
        <v>16</v>
      </c>
      <c r="K960" s="8">
        <v>1</v>
      </c>
      <c r="L960" s="7" t="s">
        <v>1023</v>
      </c>
      <c r="M960" s="10">
        <v>30</v>
      </c>
      <c r="N960" s="10">
        <v>30</v>
      </c>
    </row>
    <row r="961" spans="1:14" x14ac:dyDescent="0.2">
      <c r="A961" s="8">
        <v>960</v>
      </c>
      <c r="B961" s="5">
        <v>45277</v>
      </c>
      <c r="C961" s="7" t="s">
        <v>1050</v>
      </c>
      <c r="D961" s="8">
        <v>12</v>
      </c>
      <c r="E961" s="8">
        <v>2023</v>
      </c>
      <c r="F961" s="7" t="s">
        <v>112</v>
      </c>
      <c r="G961" s="7" t="s">
        <v>13</v>
      </c>
      <c r="H961" s="8">
        <v>50</v>
      </c>
      <c r="I961" s="7" t="s">
        <v>1019</v>
      </c>
      <c r="J961" s="7" t="s">
        <v>16</v>
      </c>
      <c r="K961" s="8">
        <v>4</v>
      </c>
      <c r="L961" s="7" t="s">
        <v>1025</v>
      </c>
      <c r="M961" s="10">
        <v>300</v>
      </c>
      <c r="N961" s="10">
        <v>1200</v>
      </c>
    </row>
    <row r="962" spans="1:14" x14ac:dyDescent="0.2">
      <c r="A962" s="8">
        <v>961</v>
      </c>
      <c r="B962" s="5">
        <v>45277</v>
      </c>
      <c r="C962" s="7" t="s">
        <v>1050</v>
      </c>
      <c r="D962" s="8">
        <v>12</v>
      </c>
      <c r="E962" s="8">
        <v>2023</v>
      </c>
      <c r="F962" s="7" t="s">
        <v>796</v>
      </c>
      <c r="G962" s="7" t="s">
        <v>13</v>
      </c>
      <c r="H962" s="8">
        <v>56</v>
      </c>
      <c r="I962" s="7" t="s">
        <v>1018</v>
      </c>
      <c r="J962" s="7" t="s">
        <v>14</v>
      </c>
      <c r="K962" s="8">
        <v>1</v>
      </c>
      <c r="L962" s="7" t="s">
        <v>1023</v>
      </c>
      <c r="M962" s="10">
        <v>300</v>
      </c>
      <c r="N962" s="10">
        <v>300</v>
      </c>
    </row>
    <row r="963" spans="1:14" x14ac:dyDescent="0.2">
      <c r="A963" s="8">
        <v>962</v>
      </c>
      <c r="B963" s="5">
        <v>45278</v>
      </c>
      <c r="C963" s="7" t="s">
        <v>1050</v>
      </c>
      <c r="D963" s="8">
        <v>12</v>
      </c>
      <c r="E963" s="8">
        <v>2023</v>
      </c>
      <c r="F963" s="7" t="s">
        <v>422</v>
      </c>
      <c r="G963" s="7" t="s">
        <v>13</v>
      </c>
      <c r="H963" s="8">
        <v>21</v>
      </c>
      <c r="I963" s="7" t="s">
        <v>1021</v>
      </c>
      <c r="J963" s="7" t="s">
        <v>16</v>
      </c>
      <c r="K963" s="8">
        <v>3</v>
      </c>
      <c r="L963" s="7" t="s">
        <v>1022</v>
      </c>
      <c r="M963" s="10">
        <v>300</v>
      </c>
      <c r="N963" s="10">
        <v>900</v>
      </c>
    </row>
    <row r="964" spans="1:14" x14ac:dyDescent="0.2">
      <c r="A964" s="8">
        <v>963</v>
      </c>
      <c r="B964" s="5">
        <v>45278</v>
      </c>
      <c r="C964" s="7" t="s">
        <v>1050</v>
      </c>
      <c r="D964" s="8">
        <v>12</v>
      </c>
      <c r="E964" s="8">
        <v>2023</v>
      </c>
      <c r="F964" s="7" t="s">
        <v>538</v>
      </c>
      <c r="G964" s="7" t="s">
        <v>13</v>
      </c>
      <c r="H964" s="8">
        <v>47</v>
      </c>
      <c r="I964" s="7" t="s">
        <v>1019</v>
      </c>
      <c r="J964" s="7" t="s">
        <v>11</v>
      </c>
      <c r="K964" s="8">
        <v>2</v>
      </c>
      <c r="L964" s="7" t="s">
        <v>1024</v>
      </c>
      <c r="M964" s="10">
        <v>25</v>
      </c>
      <c r="N964" s="10">
        <v>50</v>
      </c>
    </row>
    <row r="965" spans="1:14" x14ac:dyDescent="0.2">
      <c r="A965" s="8">
        <v>964</v>
      </c>
      <c r="B965" s="5">
        <v>45278</v>
      </c>
      <c r="C965" s="7" t="s">
        <v>1050</v>
      </c>
      <c r="D965" s="8">
        <v>12</v>
      </c>
      <c r="E965" s="8">
        <v>2023</v>
      </c>
      <c r="F965" s="7" t="s">
        <v>952</v>
      </c>
      <c r="G965" s="7" t="s">
        <v>13</v>
      </c>
      <c r="H965" s="8">
        <v>46</v>
      </c>
      <c r="I965" s="7" t="s">
        <v>1019</v>
      </c>
      <c r="J965" s="7" t="s">
        <v>16</v>
      </c>
      <c r="K965" s="8">
        <v>1</v>
      </c>
      <c r="L965" s="7" t="s">
        <v>1023</v>
      </c>
      <c r="M965" s="10">
        <v>300</v>
      </c>
      <c r="N965" s="10">
        <v>300</v>
      </c>
    </row>
    <row r="966" spans="1:14" x14ac:dyDescent="0.2">
      <c r="A966" s="8">
        <v>965</v>
      </c>
      <c r="B966" s="5">
        <v>45278</v>
      </c>
      <c r="C966" s="7" t="s">
        <v>1050</v>
      </c>
      <c r="D966" s="8">
        <v>12</v>
      </c>
      <c r="E966" s="8">
        <v>2023</v>
      </c>
      <c r="F966" s="7" t="s">
        <v>1007</v>
      </c>
      <c r="G966" s="7" t="s">
        <v>13</v>
      </c>
      <c r="H966" s="8">
        <v>51</v>
      </c>
      <c r="I966" s="7" t="s">
        <v>1019</v>
      </c>
      <c r="J966" s="7" t="s">
        <v>11</v>
      </c>
      <c r="K966" s="8">
        <v>2</v>
      </c>
      <c r="L966" s="7" t="s">
        <v>1024</v>
      </c>
      <c r="M966" s="10">
        <v>500</v>
      </c>
      <c r="N966" s="10">
        <v>1000</v>
      </c>
    </row>
    <row r="967" spans="1:14" x14ac:dyDescent="0.2">
      <c r="A967" s="8">
        <v>966</v>
      </c>
      <c r="B967" s="5">
        <v>45279</v>
      </c>
      <c r="C967" s="7" t="s">
        <v>1050</v>
      </c>
      <c r="D967" s="8">
        <v>12</v>
      </c>
      <c r="E967" s="8">
        <v>2023</v>
      </c>
      <c r="F967" s="7" t="s">
        <v>109</v>
      </c>
      <c r="G967" s="7" t="s">
        <v>13</v>
      </c>
      <c r="H967" s="8">
        <v>44</v>
      </c>
      <c r="I967" s="7" t="s">
        <v>1017</v>
      </c>
      <c r="J967" s="7" t="s">
        <v>14</v>
      </c>
      <c r="K967" s="8">
        <v>2</v>
      </c>
      <c r="L967" s="7" t="s">
        <v>1024</v>
      </c>
      <c r="M967" s="10">
        <v>300</v>
      </c>
      <c r="N967" s="10">
        <v>600</v>
      </c>
    </row>
    <row r="968" spans="1:14" x14ac:dyDescent="0.2">
      <c r="A968" s="8">
        <v>967</v>
      </c>
      <c r="B968" s="5">
        <v>45279</v>
      </c>
      <c r="C968" s="7" t="s">
        <v>1050</v>
      </c>
      <c r="D968" s="8">
        <v>12</v>
      </c>
      <c r="E968" s="8">
        <v>2023</v>
      </c>
      <c r="F968" s="7" t="s">
        <v>622</v>
      </c>
      <c r="G968" s="7" t="s">
        <v>13</v>
      </c>
      <c r="H968" s="8">
        <v>47</v>
      </c>
      <c r="I968" s="7" t="s">
        <v>1019</v>
      </c>
      <c r="J968" s="7" t="s">
        <v>14</v>
      </c>
      <c r="K968" s="8">
        <v>2</v>
      </c>
      <c r="L968" s="7" t="s">
        <v>1024</v>
      </c>
      <c r="M968" s="10">
        <v>50</v>
      </c>
      <c r="N968" s="10">
        <v>100</v>
      </c>
    </row>
    <row r="969" spans="1:14" x14ac:dyDescent="0.2">
      <c r="A969" s="8">
        <v>968</v>
      </c>
      <c r="B969" s="5">
        <v>45279</v>
      </c>
      <c r="C969" s="7" t="s">
        <v>1050</v>
      </c>
      <c r="D969" s="8">
        <v>12</v>
      </c>
      <c r="E969" s="8">
        <v>2023</v>
      </c>
      <c r="F969" s="7" t="s">
        <v>995</v>
      </c>
      <c r="G969" s="7" t="s">
        <v>13</v>
      </c>
      <c r="H969" s="8">
        <v>46</v>
      </c>
      <c r="I969" s="7" t="s">
        <v>1019</v>
      </c>
      <c r="J969" s="7" t="s">
        <v>11</v>
      </c>
      <c r="K969" s="8">
        <v>3</v>
      </c>
      <c r="L969" s="7" t="s">
        <v>1022</v>
      </c>
      <c r="M969" s="10">
        <v>30</v>
      </c>
      <c r="N969" s="10">
        <v>90</v>
      </c>
    </row>
    <row r="970" spans="1:14" x14ac:dyDescent="0.2">
      <c r="A970" s="8">
        <v>969</v>
      </c>
      <c r="B970" s="5">
        <v>45280</v>
      </c>
      <c r="C970" s="7" t="s">
        <v>1050</v>
      </c>
      <c r="D970" s="8">
        <v>12</v>
      </c>
      <c r="E970" s="8">
        <v>2023</v>
      </c>
      <c r="F970" s="7" t="s">
        <v>222</v>
      </c>
      <c r="G970" s="7" t="s">
        <v>13</v>
      </c>
      <c r="H970" s="8">
        <v>30</v>
      </c>
      <c r="I970" s="7" t="s">
        <v>1021</v>
      </c>
      <c r="J970" s="7" t="s">
        <v>16</v>
      </c>
      <c r="K970" s="8">
        <v>4</v>
      </c>
      <c r="L970" s="7" t="s">
        <v>1025</v>
      </c>
      <c r="M970" s="10">
        <v>50</v>
      </c>
      <c r="N970" s="10">
        <v>200</v>
      </c>
    </row>
    <row r="971" spans="1:14" x14ac:dyDescent="0.2">
      <c r="A971" s="8">
        <v>970</v>
      </c>
      <c r="B971" s="5">
        <v>45280</v>
      </c>
      <c r="C971" s="7" t="s">
        <v>1050</v>
      </c>
      <c r="D971" s="8">
        <v>12</v>
      </c>
      <c r="E971" s="8">
        <v>2023</v>
      </c>
      <c r="F971" s="7" t="s">
        <v>448</v>
      </c>
      <c r="G971" s="7" t="s">
        <v>13</v>
      </c>
      <c r="H971" s="8">
        <v>30</v>
      </c>
      <c r="I971" s="7" t="s">
        <v>1021</v>
      </c>
      <c r="J971" s="7" t="s">
        <v>11</v>
      </c>
      <c r="K971" s="8">
        <v>3</v>
      </c>
      <c r="L971" s="7" t="s">
        <v>1022</v>
      </c>
      <c r="M971" s="10">
        <v>300</v>
      </c>
      <c r="N971" s="10">
        <v>900</v>
      </c>
    </row>
    <row r="972" spans="1:14" x14ac:dyDescent="0.2">
      <c r="A972" s="8">
        <v>971</v>
      </c>
      <c r="B972" s="5">
        <v>45280</v>
      </c>
      <c r="C972" s="7" t="s">
        <v>1050</v>
      </c>
      <c r="D972" s="8">
        <v>12</v>
      </c>
      <c r="E972" s="8">
        <v>2023</v>
      </c>
      <c r="F972" s="7" t="s">
        <v>790</v>
      </c>
      <c r="G972" s="7" t="s">
        <v>10</v>
      </c>
      <c r="H972" s="8">
        <v>48</v>
      </c>
      <c r="I972" s="7" t="s">
        <v>1019</v>
      </c>
      <c r="J972" s="7" t="s">
        <v>16</v>
      </c>
      <c r="K972" s="8">
        <v>3</v>
      </c>
      <c r="L972" s="7" t="s">
        <v>1022</v>
      </c>
      <c r="M972" s="10">
        <v>50</v>
      </c>
      <c r="N972" s="10">
        <v>150</v>
      </c>
    </row>
    <row r="973" spans="1:14" x14ac:dyDescent="0.2">
      <c r="A973" s="8">
        <v>972</v>
      </c>
      <c r="B973" s="5">
        <v>45280</v>
      </c>
      <c r="C973" s="7" t="s">
        <v>1050</v>
      </c>
      <c r="D973" s="8">
        <v>12</v>
      </c>
      <c r="E973" s="8">
        <v>2023</v>
      </c>
      <c r="F973" s="7" t="s">
        <v>867</v>
      </c>
      <c r="G973" s="7" t="s">
        <v>10</v>
      </c>
      <c r="H973" s="8">
        <v>29</v>
      </c>
      <c r="I973" s="7" t="s">
        <v>1021</v>
      </c>
      <c r="J973" s="7" t="s">
        <v>14</v>
      </c>
      <c r="K973" s="8">
        <v>1</v>
      </c>
      <c r="L973" s="7" t="s">
        <v>1023</v>
      </c>
      <c r="M973" s="10">
        <v>50</v>
      </c>
      <c r="N973" s="10">
        <v>50</v>
      </c>
    </row>
    <row r="974" spans="1:14" x14ac:dyDescent="0.2">
      <c r="A974" s="8">
        <v>973</v>
      </c>
      <c r="B974" s="5">
        <v>45280</v>
      </c>
      <c r="C974" s="7" t="s">
        <v>1050</v>
      </c>
      <c r="D974" s="8">
        <v>12</v>
      </c>
      <c r="E974" s="8">
        <v>2023</v>
      </c>
      <c r="F974" s="7" t="s">
        <v>903</v>
      </c>
      <c r="G974" s="7" t="s">
        <v>10</v>
      </c>
      <c r="H974" s="8">
        <v>34</v>
      </c>
      <c r="I974" s="7" t="s">
        <v>1021</v>
      </c>
      <c r="J974" s="7" t="s">
        <v>16</v>
      </c>
      <c r="K974" s="8">
        <v>2</v>
      </c>
      <c r="L974" s="7" t="s">
        <v>1024</v>
      </c>
      <c r="M974" s="10">
        <v>25</v>
      </c>
      <c r="N974" s="10">
        <v>50</v>
      </c>
    </row>
    <row r="975" spans="1:14" x14ac:dyDescent="0.2">
      <c r="A975" s="8">
        <v>974</v>
      </c>
      <c r="B975" s="5">
        <v>45281</v>
      </c>
      <c r="C975" s="7" t="s">
        <v>1050</v>
      </c>
      <c r="D975" s="8">
        <v>12</v>
      </c>
      <c r="E975" s="8">
        <v>2023</v>
      </c>
      <c r="F975" s="7" t="s">
        <v>878</v>
      </c>
      <c r="G975" s="7" t="s">
        <v>13</v>
      </c>
      <c r="H975" s="8">
        <v>42</v>
      </c>
      <c r="I975" s="7" t="s">
        <v>1017</v>
      </c>
      <c r="J975" s="7" t="s">
        <v>14</v>
      </c>
      <c r="K975" s="8">
        <v>1</v>
      </c>
      <c r="L975" s="7" t="s">
        <v>1023</v>
      </c>
      <c r="M975" s="10">
        <v>300</v>
      </c>
      <c r="N975" s="10">
        <v>300</v>
      </c>
    </row>
    <row r="976" spans="1:14" x14ac:dyDescent="0.2">
      <c r="A976" s="8">
        <v>975</v>
      </c>
      <c r="B976" s="5">
        <v>45282</v>
      </c>
      <c r="C976" s="7" t="s">
        <v>1050</v>
      </c>
      <c r="D976" s="8">
        <v>12</v>
      </c>
      <c r="E976" s="8">
        <v>2023</v>
      </c>
      <c r="F976" s="7" t="s">
        <v>675</v>
      </c>
      <c r="G976" s="7" t="s">
        <v>10</v>
      </c>
      <c r="H976" s="8">
        <v>48</v>
      </c>
      <c r="I976" s="7" t="s">
        <v>1019</v>
      </c>
      <c r="J976" s="7" t="s">
        <v>11</v>
      </c>
      <c r="K976" s="8">
        <v>2</v>
      </c>
      <c r="L976" s="7" t="s">
        <v>1024</v>
      </c>
      <c r="M976" s="10">
        <v>500</v>
      </c>
      <c r="N976" s="10">
        <v>1000</v>
      </c>
    </row>
    <row r="977" spans="1:14" x14ac:dyDescent="0.2">
      <c r="A977" s="8">
        <v>976</v>
      </c>
      <c r="B977" s="5">
        <v>45283</v>
      </c>
      <c r="C977" s="7" t="s">
        <v>1050</v>
      </c>
      <c r="D977" s="8">
        <v>12</v>
      </c>
      <c r="E977" s="8">
        <v>2023</v>
      </c>
      <c r="F977" s="7" t="s">
        <v>322</v>
      </c>
      <c r="G977" s="7" t="s">
        <v>13</v>
      </c>
      <c r="H977" s="8">
        <v>26</v>
      </c>
      <c r="I977" s="7" t="s">
        <v>1021</v>
      </c>
      <c r="J977" s="7" t="s">
        <v>11</v>
      </c>
      <c r="K977" s="8">
        <v>1</v>
      </c>
      <c r="L977" s="7" t="s">
        <v>1023</v>
      </c>
      <c r="M977" s="10">
        <v>25</v>
      </c>
      <c r="N977" s="10">
        <v>25</v>
      </c>
    </row>
    <row r="978" spans="1:14" x14ac:dyDescent="0.2">
      <c r="A978" s="8">
        <v>977</v>
      </c>
      <c r="B978" s="5">
        <v>45283</v>
      </c>
      <c r="C978" s="7" t="s">
        <v>1050</v>
      </c>
      <c r="D978" s="8">
        <v>12</v>
      </c>
      <c r="E978" s="8">
        <v>2023</v>
      </c>
      <c r="F978" s="7" t="s">
        <v>557</v>
      </c>
      <c r="G978" s="7" t="s">
        <v>13</v>
      </c>
      <c r="H978" s="8">
        <v>27</v>
      </c>
      <c r="I978" s="7" t="s">
        <v>1021</v>
      </c>
      <c r="J978" s="7" t="s">
        <v>16</v>
      </c>
      <c r="K978" s="8">
        <v>1</v>
      </c>
      <c r="L978" s="7" t="s">
        <v>1023</v>
      </c>
      <c r="M978" s="10">
        <v>25</v>
      </c>
      <c r="N978" s="10">
        <v>25</v>
      </c>
    </row>
    <row r="979" spans="1:14" x14ac:dyDescent="0.2">
      <c r="A979" s="8">
        <v>978</v>
      </c>
      <c r="B979" s="5">
        <v>45283</v>
      </c>
      <c r="C979" s="7" t="s">
        <v>1050</v>
      </c>
      <c r="D979" s="8">
        <v>12</v>
      </c>
      <c r="E979" s="8">
        <v>2023</v>
      </c>
      <c r="F979" s="7" t="s">
        <v>615</v>
      </c>
      <c r="G979" s="7" t="s">
        <v>13</v>
      </c>
      <c r="H979" s="8">
        <v>20</v>
      </c>
      <c r="I979" s="7" t="s">
        <v>1021</v>
      </c>
      <c r="J979" s="7" t="s">
        <v>16</v>
      </c>
      <c r="K979" s="8">
        <v>1</v>
      </c>
      <c r="L979" s="7" t="s">
        <v>1023</v>
      </c>
      <c r="M979" s="10">
        <v>300</v>
      </c>
      <c r="N979" s="10">
        <v>300</v>
      </c>
    </row>
    <row r="980" spans="1:14" x14ac:dyDescent="0.2">
      <c r="A980" s="8">
        <v>979</v>
      </c>
      <c r="B980" s="5">
        <v>45283</v>
      </c>
      <c r="C980" s="7" t="s">
        <v>1050</v>
      </c>
      <c r="D980" s="8">
        <v>12</v>
      </c>
      <c r="E980" s="8">
        <v>2023</v>
      </c>
      <c r="F980" s="7" t="s">
        <v>628</v>
      </c>
      <c r="G980" s="7" t="s">
        <v>13</v>
      </c>
      <c r="H980" s="8">
        <v>61</v>
      </c>
      <c r="I980" s="7" t="s">
        <v>1018</v>
      </c>
      <c r="J980" s="7" t="s">
        <v>14</v>
      </c>
      <c r="K980" s="8">
        <v>4</v>
      </c>
      <c r="L980" s="7" t="s">
        <v>1025</v>
      </c>
      <c r="M980" s="10">
        <v>25</v>
      </c>
      <c r="N980" s="10">
        <v>100</v>
      </c>
    </row>
    <row r="981" spans="1:14" x14ac:dyDescent="0.2">
      <c r="A981" s="8">
        <v>980</v>
      </c>
      <c r="B981" s="5">
        <v>45283</v>
      </c>
      <c r="C981" s="7" t="s">
        <v>1050</v>
      </c>
      <c r="D981" s="8">
        <v>12</v>
      </c>
      <c r="E981" s="8">
        <v>2023</v>
      </c>
      <c r="F981" s="7" t="s">
        <v>691</v>
      </c>
      <c r="G981" s="7" t="s">
        <v>13</v>
      </c>
      <c r="H981" s="8">
        <v>60</v>
      </c>
      <c r="I981" s="7" t="s">
        <v>1018</v>
      </c>
      <c r="J981" s="7" t="s">
        <v>16</v>
      </c>
      <c r="K981" s="8">
        <v>3</v>
      </c>
      <c r="L981" s="7" t="s">
        <v>1022</v>
      </c>
      <c r="M981" s="10">
        <v>300</v>
      </c>
      <c r="N981" s="10">
        <v>900</v>
      </c>
    </row>
    <row r="982" spans="1:14" x14ac:dyDescent="0.2">
      <c r="A982" s="8">
        <v>981</v>
      </c>
      <c r="B982" s="5">
        <v>45283</v>
      </c>
      <c r="C982" s="7" t="s">
        <v>1050</v>
      </c>
      <c r="D982" s="8">
        <v>12</v>
      </c>
      <c r="E982" s="8">
        <v>2023</v>
      </c>
      <c r="F982" s="7" t="s">
        <v>794</v>
      </c>
      <c r="G982" s="7" t="s">
        <v>10</v>
      </c>
      <c r="H982" s="8">
        <v>35</v>
      </c>
      <c r="I982" s="7" t="s">
        <v>1017</v>
      </c>
      <c r="J982" s="7" t="s">
        <v>11</v>
      </c>
      <c r="K982" s="8">
        <v>1</v>
      </c>
      <c r="L982" s="7" t="s">
        <v>1023</v>
      </c>
      <c r="M982" s="10">
        <v>500</v>
      </c>
      <c r="N982" s="10">
        <v>500</v>
      </c>
    </row>
    <row r="983" spans="1:14" x14ac:dyDescent="0.2">
      <c r="A983" s="8">
        <v>982</v>
      </c>
      <c r="B983" s="5">
        <v>45284</v>
      </c>
      <c r="C983" s="7" t="s">
        <v>1050</v>
      </c>
      <c r="D983" s="8">
        <v>12</v>
      </c>
      <c r="E983" s="8">
        <v>2023</v>
      </c>
      <c r="F983" s="7" t="s">
        <v>47</v>
      </c>
      <c r="G983" s="7" t="s">
        <v>13</v>
      </c>
      <c r="H983" s="8">
        <v>51</v>
      </c>
      <c r="I983" s="7" t="s">
        <v>1019</v>
      </c>
      <c r="J983" s="7" t="s">
        <v>14</v>
      </c>
      <c r="K983" s="8">
        <v>3</v>
      </c>
      <c r="L983" s="7" t="s">
        <v>1022</v>
      </c>
      <c r="M983" s="10">
        <v>50</v>
      </c>
      <c r="N983" s="10">
        <v>150</v>
      </c>
    </row>
    <row r="984" spans="1:14" x14ac:dyDescent="0.2">
      <c r="A984" s="8">
        <v>983</v>
      </c>
      <c r="B984" s="5">
        <v>45284</v>
      </c>
      <c r="C984" s="7" t="s">
        <v>1050</v>
      </c>
      <c r="D984" s="8">
        <v>12</v>
      </c>
      <c r="E984" s="8">
        <v>2023</v>
      </c>
      <c r="F984" s="7" t="s">
        <v>929</v>
      </c>
      <c r="G984" s="7" t="s">
        <v>13</v>
      </c>
      <c r="H984" s="8">
        <v>32</v>
      </c>
      <c r="I984" s="7" t="s">
        <v>1021</v>
      </c>
      <c r="J984" s="7" t="s">
        <v>16</v>
      </c>
      <c r="K984" s="8">
        <v>1</v>
      </c>
      <c r="L984" s="7" t="s">
        <v>1023</v>
      </c>
      <c r="M984" s="10">
        <v>50</v>
      </c>
      <c r="N984" s="10">
        <v>50</v>
      </c>
    </row>
    <row r="985" spans="1:14" x14ac:dyDescent="0.2">
      <c r="A985" s="8">
        <v>984</v>
      </c>
      <c r="B985" s="5">
        <v>45285</v>
      </c>
      <c r="C985" s="7" t="s">
        <v>1050</v>
      </c>
      <c r="D985" s="8">
        <v>12</v>
      </c>
      <c r="E985" s="8">
        <v>2023</v>
      </c>
      <c r="F985" s="7" t="s">
        <v>770</v>
      </c>
      <c r="G985" s="7" t="s">
        <v>13</v>
      </c>
      <c r="H985" s="8">
        <v>43</v>
      </c>
      <c r="I985" s="7" t="s">
        <v>1017</v>
      </c>
      <c r="J985" s="7" t="s">
        <v>16</v>
      </c>
      <c r="K985" s="8">
        <v>4</v>
      </c>
      <c r="L985" s="7" t="s">
        <v>1025</v>
      </c>
      <c r="M985" s="10">
        <v>300</v>
      </c>
      <c r="N985" s="10">
        <v>1200</v>
      </c>
    </row>
    <row r="986" spans="1:14" x14ac:dyDescent="0.2">
      <c r="A986" s="8">
        <v>985</v>
      </c>
      <c r="B986" s="5">
        <v>45286</v>
      </c>
      <c r="C986" s="7" t="s">
        <v>1050</v>
      </c>
      <c r="D986" s="8">
        <v>12</v>
      </c>
      <c r="E986" s="8">
        <v>2023</v>
      </c>
      <c r="F986" s="7" t="s">
        <v>38</v>
      </c>
      <c r="G986" s="7" t="s">
        <v>13</v>
      </c>
      <c r="H986" s="8">
        <v>64</v>
      </c>
      <c r="I986" s="7" t="s">
        <v>1018</v>
      </c>
      <c r="J986" s="7" t="s">
        <v>11</v>
      </c>
      <c r="K986" s="8">
        <v>1</v>
      </c>
      <c r="L986" s="7" t="s">
        <v>1023</v>
      </c>
      <c r="M986" s="10">
        <v>50</v>
      </c>
      <c r="N986" s="10">
        <v>50</v>
      </c>
    </row>
    <row r="987" spans="1:14" x14ac:dyDescent="0.2">
      <c r="A987" s="8">
        <v>986</v>
      </c>
      <c r="B987" s="5">
        <v>45286</v>
      </c>
      <c r="C987" s="7" t="s">
        <v>1050</v>
      </c>
      <c r="D987" s="8">
        <v>12</v>
      </c>
      <c r="E987" s="8">
        <v>2023</v>
      </c>
      <c r="F987" s="7" t="s">
        <v>95</v>
      </c>
      <c r="G987" s="7" t="s">
        <v>13</v>
      </c>
      <c r="H987" s="8">
        <v>32</v>
      </c>
      <c r="I987" s="7" t="s">
        <v>1021</v>
      </c>
      <c r="J987" s="7" t="s">
        <v>11</v>
      </c>
      <c r="K987" s="8">
        <v>4</v>
      </c>
      <c r="L987" s="7" t="s">
        <v>1025</v>
      </c>
      <c r="M987" s="10">
        <v>50</v>
      </c>
      <c r="N987" s="10">
        <v>200</v>
      </c>
    </row>
    <row r="988" spans="1:14" x14ac:dyDescent="0.2">
      <c r="A988" s="8">
        <v>987</v>
      </c>
      <c r="B988" s="5">
        <v>45286</v>
      </c>
      <c r="C988" s="7" t="s">
        <v>1050</v>
      </c>
      <c r="D988" s="8">
        <v>12</v>
      </c>
      <c r="E988" s="8">
        <v>2023</v>
      </c>
      <c r="F988" s="7" t="s">
        <v>485</v>
      </c>
      <c r="G988" s="7" t="s">
        <v>13</v>
      </c>
      <c r="H988" s="8">
        <v>38</v>
      </c>
      <c r="I988" s="7" t="s">
        <v>1017</v>
      </c>
      <c r="J988" s="7" t="s">
        <v>11</v>
      </c>
      <c r="K988" s="8">
        <v>3</v>
      </c>
      <c r="L988" s="7" t="s">
        <v>1022</v>
      </c>
      <c r="M988" s="10">
        <v>300</v>
      </c>
      <c r="N988" s="10">
        <v>900</v>
      </c>
    </row>
    <row r="989" spans="1:14" x14ac:dyDescent="0.2">
      <c r="A989" s="8">
        <v>988</v>
      </c>
      <c r="B989" s="5">
        <v>45286</v>
      </c>
      <c r="C989" s="7" t="s">
        <v>1050</v>
      </c>
      <c r="D989" s="8">
        <v>12</v>
      </c>
      <c r="E989" s="8">
        <v>2023</v>
      </c>
      <c r="F989" s="7" t="s">
        <v>855</v>
      </c>
      <c r="G989" s="7" t="s">
        <v>13</v>
      </c>
      <c r="H989" s="8">
        <v>47</v>
      </c>
      <c r="I989" s="7" t="s">
        <v>1019</v>
      </c>
      <c r="J989" s="7" t="s">
        <v>14</v>
      </c>
      <c r="K989" s="8">
        <v>2</v>
      </c>
      <c r="L989" s="7" t="s">
        <v>1024</v>
      </c>
      <c r="M989" s="10">
        <v>300</v>
      </c>
      <c r="N989" s="10">
        <v>600</v>
      </c>
    </row>
    <row r="990" spans="1:14" x14ac:dyDescent="0.2">
      <c r="A990" s="8">
        <v>989</v>
      </c>
      <c r="B990" s="5">
        <v>45286</v>
      </c>
      <c r="C990" s="7" t="s">
        <v>1050</v>
      </c>
      <c r="D990" s="8">
        <v>12</v>
      </c>
      <c r="E990" s="8">
        <v>2023</v>
      </c>
      <c r="F990" s="7" t="s">
        <v>892</v>
      </c>
      <c r="G990" s="7" t="s">
        <v>10</v>
      </c>
      <c r="H990" s="8">
        <v>23</v>
      </c>
      <c r="I990" s="7" t="s">
        <v>1021</v>
      </c>
      <c r="J990" s="7" t="s">
        <v>14</v>
      </c>
      <c r="K990" s="8">
        <v>1</v>
      </c>
      <c r="L990" s="7" t="s">
        <v>1023</v>
      </c>
      <c r="M990" s="10">
        <v>30</v>
      </c>
      <c r="N990" s="10">
        <v>30</v>
      </c>
    </row>
    <row r="991" spans="1:14" x14ac:dyDescent="0.2">
      <c r="A991" s="8">
        <v>990</v>
      </c>
      <c r="B991" s="5">
        <v>45286</v>
      </c>
      <c r="C991" s="7" t="s">
        <v>1050</v>
      </c>
      <c r="D991" s="8">
        <v>12</v>
      </c>
      <c r="E991" s="8">
        <v>2023</v>
      </c>
      <c r="F991" s="7" t="s">
        <v>1004</v>
      </c>
      <c r="G991" s="7" t="s">
        <v>13</v>
      </c>
      <c r="H991" s="8">
        <v>34</v>
      </c>
      <c r="I991" s="7" t="s">
        <v>1021</v>
      </c>
      <c r="J991" s="7" t="s">
        <v>14</v>
      </c>
      <c r="K991" s="8">
        <v>2</v>
      </c>
      <c r="L991" s="7" t="s">
        <v>1024</v>
      </c>
      <c r="M991" s="10">
        <v>50</v>
      </c>
      <c r="N991" s="10">
        <v>100</v>
      </c>
    </row>
    <row r="992" spans="1:14" x14ac:dyDescent="0.2">
      <c r="A992" s="8">
        <v>991</v>
      </c>
      <c r="B992" s="5">
        <v>45287</v>
      </c>
      <c r="C992" s="7" t="s">
        <v>1050</v>
      </c>
      <c r="D992" s="8">
        <v>12</v>
      </c>
      <c r="E992" s="8">
        <v>2023</v>
      </c>
      <c r="F992" s="7" t="s">
        <v>75</v>
      </c>
      <c r="G992" s="7" t="s">
        <v>10</v>
      </c>
      <c r="H992" s="8">
        <v>18</v>
      </c>
      <c r="I992" s="7" t="s">
        <v>1020</v>
      </c>
      <c r="J992" s="7" t="s">
        <v>11</v>
      </c>
      <c r="K992" s="8">
        <v>2</v>
      </c>
      <c r="L992" s="7" t="s">
        <v>1024</v>
      </c>
      <c r="M992" s="10">
        <v>50</v>
      </c>
      <c r="N992" s="10">
        <v>100</v>
      </c>
    </row>
    <row r="993" spans="1:14" x14ac:dyDescent="0.2">
      <c r="A993" s="8">
        <v>992</v>
      </c>
      <c r="B993" s="5">
        <v>45287</v>
      </c>
      <c r="C993" s="7" t="s">
        <v>1050</v>
      </c>
      <c r="D993" s="8">
        <v>12</v>
      </c>
      <c r="E993" s="8">
        <v>2023</v>
      </c>
      <c r="F993" s="7" t="s">
        <v>399</v>
      </c>
      <c r="G993" s="7" t="s">
        <v>13</v>
      </c>
      <c r="H993" s="8">
        <v>54</v>
      </c>
      <c r="I993" s="7" t="s">
        <v>1019</v>
      </c>
      <c r="J993" s="7" t="s">
        <v>16</v>
      </c>
      <c r="K993" s="8">
        <v>2</v>
      </c>
      <c r="L993" s="7" t="s">
        <v>1024</v>
      </c>
      <c r="M993" s="10">
        <v>300</v>
      </c>
      <c r="N993" s="10">
        <v>600</v>
      </c>
    </row>
    <row r="994" spans="1:14" x14ac:dyDescent="0.2">
      <c r="A994" s="8">
        <v>993</v>
      </c>
      <c r="B994" s="5">
        <v>45288</v>
      </c>
      <c r="C994" s="7" t="s">
        <v>1050</v>
      </c>
      <c r="D994" s="8">
        <v>12</v>
      </c>
      <c r="E994" s="8">
        <v>2023</v>
      </c>
      <c r="F994" s="7" t="s">
        <v>442</v>
      </c>
      <c r="G994" s="7" t="s">
        <v>10</v>
      </c>
      <c r="H994" s="8">
        <v>64</v>
      </c>
      <c r="I994" s="7" t="s">
        <v>1018</v>
      </c>
      <c r="J994" s="7" t="s">
        <v>16</v>
      </c>
      <c r="K994" s="8">
        <v>2</v>
      </c>
      <c r="L994" s="7" t="s">
        <v>1024</v>
      </c>
      <c r="M994" s="10">
        <v>25</v>
      </c>
      <c r="N994" s="10">
        <v>50</v>
      </c>
    </row>
    <row r="995" spans="1:14" x14ac:dyDescent="0.2">
      <c r="A995" s="8">
        <v>994</v>
      </c>
      <c r="B995" s="5">
        <v>45288</v>
      </c>
      <c r="C995" s="7" t="s">
        <v>1050</v>
      </c>
      <c r="D995" s="8">
        <v>12</v>
      </c>
      <c r="E995" s="8">
        <v>2023</v>
      </c>
      <c r="F995" s="7" t="s">
        <v>677</v>
      </c>
      <c r="G995" s="7" t="s">
        <v>13</v>
      </c>
      <c r="H995" s="8">
        <v>44</v>
      </c>
      <c r="I995" s="7" t="s">
        <v>1017</v>
      </c>
      <c r="J995" s="7" t="s">
        <v>14</v>
      </c>
      <c r="K995" s="8">
        <v>4</v>
      </c>
      <c r="L995" s="7" t="s">
        <v>1025</v>
      </c>
      <c r="M995" s="10">
        <v>500</v>
      </c>
      <c r="N995" s="10">
        <v>2000</v>
      </c>
    </row>
    <row r="996" spans="1:14" x14ac:dyDescent="0.2">
      <c r="A996" s="8">
        <v>995</v>
      </c>
      <c r="B996" s="5">
        <v>45288</v>
      </c>
      <c r="C996" s="7" t="s">
        <v>1050</v>
      </c>
      <c r="D996" s="8">
        <v>12</v>
      </c>
      <c r="E996" s="8">
        <v>2023</v>
      </c>
      <c r="F996" s="7" t="s">
        <v>1002</v>
      </c>
      <c r="G996" s="7" t="s">
        <v>13</v>
      </c>
      <c r="H996" s="8">
        <v>44</v>
      </c>
      <c r="I996" s="7" t="s">
        <v>1017</v>
      </c>
      <c r="J996" s="7" t="s">
        <v>16</v>
      </c>
      <c r="K996" s="8">
        <v>1</v>
      </c>
      <c r="L996" s="7" t="s">
        <v>1023</v>
      </c>
      <c r="M996" s="10">
        <v>25</v>
      </c>
      <c r="N996" s="10">
        <v>25</v>
      </c>
    </row>
    <row r="997" spans="1:14" x14ac:dyDescent="0.2">
      <c r="A997" s="8">
        <v>996</v>
      </c>
      <c r="B997" s="5">
        <v>45289</v>
      </c>
      <c r="C997" s="7" t="s">
        <v>1050</v>
      </c>
      <c r="D997" s="8">
        <v>12</v>
      </c>
      <c r="E997" s="8">
        <v>2023</v>
      </c>
      <c r="F997" s="7" t="s">
        <v>246</v>
      </c>
      <c r="G997" s="7" t="s">
        <v>13</v>
      </c>
      <c r="H997" s="8">
        <v>51</v>
      </c>
      <c r="I997" s="7" t="s">
        <v>1019</v>
      </c>
      <c r="J997" s="7" t="s">
        <v>11</v>
      </c>
      <c r="K997" s="8">
        <v>2</v>
      </c>
      <c r="L997" s="7" t="s">
        <v>1024</v>
      </c>
      <c r="M997" s="10">
        <v>300</v>
      </c>
      <c r="N997" s="10">
        <v>600</v>
      </c>
    </row>
    <row r="998" spans="1:14" x14ac:dyDescent="0.2">
      <c r="A998" s="8">
        <v>997</v>
      </c>
      <c r="B998" s="5">
        <v>45289</v>
      </c>
      <c r="C998" s="7" t="s">
        <v>1050</v>
      </c>
      <c r="D998" s="8">
        <v>12</v>
      </c>
      <c r="E998" s="8">
        <v>2023</v>
      </c>
      <c r="F998" s="7" t="s">
        <v>533</v>
      </c>
      <c r="G998" s="7" t="s">
        <v>13</v>
      </c>
      <c r="H998" s="8">
        <v>49</v>
      </c>
      <c r="I998" s="7" t="s">
        <v>1019</v>
      </c>
      <c r="J998" s="7" t="s">
        <v>16</v>
      </c>
      <c r="K998" s="8">
        <v>4</v>
      </c>
      <c r="L998" s="7" t="s">
        <v>1025</v>
      </c>
      <c r="M998" s="10">
        <v>25</v>
      </c>
      <c r="N998" s="10">
        <v>100</v>
      </c>
    </row>
    <row r="999" spans="1:14" x14ac:dyDescent="0.2">
      <c r="A999" s="8">
        <v>998</v>
      </c>
      <c r="B999" s="5">
        <v>45289</v>
      </c>
      <c r="C999" s="7" t="s">
        <v>1050</v>
      </c>
      <c r="D999" s="8">
        <v>12</v>
      </c>
      <c r="E999" s="8">
        <v>2023</v>
      </c>
      <c r="F999" s="7" t="s">
        <v>818</v>
      </c>
      <c r="G999" s="7" t="s">
        <v>13</v>
      </c>
      <c r="H999" s="8">
        <v>30</v>
      </c>
      <c r="I999" s="7" t="s">
        <v>1021</v>
      </c>
      <c r="J999" s="7" t="s">
        <v>11</v>
      </c>
      <c r="K999" s="8">
        <v>3</v>
      </c>
      <c r="L999" s="7" t="s">
        <v>1022</v>
      </c>
      <c r="M999" s="10">
        <v>500</v>
      </c>
      <c r="N999" s="10">
        <v>1500</v>
      </c>
    </row>
    <row r="1000" spans="1:14" x14ac:dyDescent="0.2">
      <c r="A1000" s="8">
        <v>999</v>
      </c>
      <c r="B1000" s="5">
        <v>45289</v>
      </c>
      <c r="C1000" s="7" t="s">
        <v>1050</v>
      </c>
      <c r="D1000" s="8">
        <v>12</v>
      </c>
      <c r="E1000" s="8">
        <v>2023</v>
      </c>
      <c r="F1000" s="7" t="s">
        <v>921</v>
      </c>
      <c r="G1000" s="7" t="s">
        <v>10</v>
      </c>
      <c r="H1000" s="8">
        <v>46</v>
      </c>
      <c r="I1000" s="7" t="s">
        <v>1019</v>
      </c>
      <c r="J1000" s="7" t="s">
        <v>11</v>
      </c>
      <c r="K1000" s="8">
        <v>4</v>
      </c>
      <c r="L1000" s="7" t="s">
        <v>1025</v>
      </c>
      <c r="M1000" s="10">
        <v>300</v>
      </c>
      <c r="N1000" s="10">
        <v>1200</v>
      </c>
    </row>
    <row r="1001" spans="1:14" x14ac:dyDescent="0.2">
      <c r="A1001" s="8">
        <v>1000</v>
      </c>
      <c r="B1001" s="5">
        <v>45291</v>
      </c>
      <c r="C1001" s="7" t="s">
        <v>1050</v>
      </c>
      <c r="D1001" s="8">
        <v>12</v>
      </c>
      <c r="E1001" s="8">
        <v>2023</v>
      </c>
      <c r="F1001" s="7" t="s">
        <v>870</v>
      </c>
      <c r="G1001" s="7" t="s">
        <v>10</v>
      </c>
      <c r="H1001" s="8">
        <v>60</v>
      </c>
      <c r="I1001" s="7" t="s">
        <v>1018</v>
      </c>
      <c r="J1001" s="7" t="s">
        <v>16</v>
      </c>
      <c r="K1001" s="8">
        <v>2</v>
      </c>
      <c r="L1001" s="7" t="s">
        <v>1024</v>
      </c>
      <c r="M1001" s="10">
        <v>25</v>
      </c>
      <c r="N1001" s="10">
        <v>50</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46AB-D9B6-4E81-9353-3379F59BE992}">
  <sheetPr>
    <tabColor theme="4"/>
  </sheetPr>
  <dimension ref="A2:BH15"/>
  <sheetViews>
    <sheetView zoomScaleNormal="100" workbookViewId="0">
      <selection activeCell="C25" sqref="C25"/>
    </sheetView>
  </sheetViews>
  <sheetFormatPr defaultColWidth="9.42578125" defaultRowHeight="12.75" x14ac:dyDescent="0.2"/>
  <cols>
    <col min="1" max="1" width="18.28515625" bestFit="1" customWidth="1"/>
    <col min="2" max="2" width="5.42578125" customWidth="1"/>
    <col min="3" max="3" width="50" bestFit="1" customWidth="1"/>
    <col min="4" max="4" width="4.7109375" customWidth="1"/>
    <col min="5" max="5" width="28.5703125" bestFit="1" customWidth="1"/>
    <col min="6" max="6" width="5.42578125" customWidth="1"/>
    <col min="8" max="8" width="10" bestFit="1" customWidth="1"/>
    <col min="9" max="9" width="18.28515625" bestFit="1" customWidth="1"/>
    <col min="12" max="12" width="17.42578125" bestFit="1" customWidth="1"/>
    <col min="13" max="13" width="18.28515625" bestFit="1" customWidth="1"/>
    <col min="16" max="16" width="12" bestFit="1" customWidth="1"/>
    <col min="17" max="17" width="18.28515625" bestFit="1" customWidth="1"/>
    <col min="20" max="20" width="10" bestFit="1" customWidth="1"/>
    <col min="21" max="21" width="18.28515625" bestFit="1" customWidth="1"/>
    <col min="24" max="24" width="10" bestFit="1" customWidth="1"/>
    <col min="25" max="25" width="21.42578125" bestFit="1" customWidth="1"/>
    <col min="26" max="26" width="9.7109375" customWidth="1"/>
    <col min="27" max="27" width="9.42578125" customWidth="1"/>
    <col min="28" max="28" width="10" bestFit="1" customWidth="1"/>
    <col min="29" max="29" width="19.28515625" bestFit="1" customWidth="1"/>
    <col min="30" max="30" width="9" customWidth="1"/>
    <col min="31" max="31" width="9.5703125" customWidth="1"/>
    <col min="32" max="32" width="18.140625" bestFit="1" customWidth="1"/>
    <col min="33" max="33" width="21.42578125" customWidth="1"/>
    <col min="34" max="34" width="10.42578125" customWidth="1"/>
    <col min="35" max="35" width="9.140625" customWidth="1"/>
    <col min="36" max="36" width="12" bestFit="1" customWidth="1"/>
    <col min="37" max="37" width="19.28515625" bestFit="1" customWidth="1"/>
    <col min="38" max="38" width="7.42578125" customWidth="1"/>
    <col min="39" max="39" width="7.7109375" customWidth="1"/>
    <col min="40" max="40" width="17.42578125" bestFit="1" customWidth="1"/>
    <col min="41" max="41" width="13.85546875" bestFit="1" customWidth="1"/>
    <col min="43" max="43" width="9.5703125" customWidth="1"/>
    <col min="44" max="44" width="17.42578125" bestFit="1" customWidth="1"/>
    <col min="45" max="45" width="21.85546875" bestFit="1" customWidth="1"/>
    <col min="47" max="47" width="10" bestFit="1" customWidth="1"/>
    <col min="48" max="48" width="17.42578125" bestFit="1" customWidth="1"/>
    <col min="49" max="49" width="14.5703125" bestFit="1" customWidth="1"/>
    <col min="50" max="50" width="7.42578125" bestFit="1" customWidth="1"/>
    <col min="51" max="51" width="9.28515625" bestFit="1" customWidth="1"/>
    <col min="52" max="52" width="10" bestFit="1" customWidth="1"/>
    <col min="53" max="53" width="7.140625" customWidth="1"/>
    <col min="54" max="54" width="7.42578125" customWidth="1"/>
    <col min="55" max="55" width="17.42578125" bestFit="1" customWidth="1"/>
    <col min="56" max="56" width="19.28515625" bestFit="1" customWidth="1"/>
    <col min="59" max="59" width="15" bestFit="1" customWidth="1"/>
    <col min="60" max="60" width="20.5703125" bestFit="1" customWidth="1"/>
  </cols>
  <sheetData>
    <row r="2" spans="1:60" x14ac:dyDescent="0.2">
      <c r="A2" t="s">
        <v>1033</v>
      </c>
      <c r="C2" t="s">
        <v>1054</v>
      </c>
      <c r="E2" s="15" t="s">
        <v>1052</v>
      </c>
      <c r="H2" s="3" t="s">
        <v>1031</v>
      </c>
      <c r="I2" t="s">
        <v>1033</v>
      </c>
      <c r="L2" s="3" t="s">
        <v>1027</v>
      </c>
      <c r="M2" t="s">
        <v>1033</v>
      </c>
      <c r="P2" s="3" t="s">
        <v>1030</v>
      </c>
      <c r="Q2" t="s">
        <v>1033</v>
      </c>
      <c r="T2" s="3" t="s">
        <v>3</v>
      </c>
      <c r="U2" t="s">
        <v>1033</v>
      </c>
      <c r="X2" s="3" t="s">
        <v>3</v>
      </c>
      <c r="Y2" t="s">
        <v>1034</v>
      </c>
      <c r="AB2" s="3" t="s">
        <v>3</v>
      </c>
      <c r="AC2" t="s">
        <v>1051</v>
      </c>
      <c r="AF2" s="3" t="s">
        <v>1032</v>
      </c>
      <c r="AG2" t="s">
        <v>1034</v>
      </c>
      <c r="AJ2" s="3" t="s">
        <v>1030</v>
      </c>
      <c r="AK2" t="s">
        <v>1051</v>
      </c>
      <c r="AN2" s="3" t="s">
        <v>1027</v>
      </c>
      <c r="AO2" t="s">
        <v>1035</v>
      </c>
      <c r="AR2" s="3" t="s">
        <v>1027</v>
      </c>
      <c r="AS2" t="s">
        <v>1036</v>
      </c>
      <c r="AV2" s="3" t="s">
        <v>1035</v>
      </c>
      <c r="AW2" s="3" t="s">
        <v>1015</v>
      </c>
      <c r="BC2" s="3" t="s">
        <v>1027</v>
      </c>
      <c r="BD2" t="s">
        <v>1051</v>
      </c>
      <c r="BG2" t="s">
        <v>1027</v>
      </c>
      <c r="BH2" t="s">
        <v>1053</v>
      </c>
    </row>
    <row r="3" spans="1:60" x14ac:dyDescent="0.2">
      <c r="A3" s="13">
        <v>456000</v>
      </c>
      <c r="C3" s="8">
        <v>1000</v>
      </c>
      <c r="E3" s="10">
        <f>GETPIVOTDATA("Total_Amount",$A$2)/GETPIVOTDATA("Transaction ID",$C$2)</f>
        <v>456</v>
      </c>
      <c r="H3" s="4" t="s">
        <v>1040</v>
      </c>
      <c r="I3" s="13">
        <v>38650</v>
      </c>
      <c r="L3" s="4" t="s">
        <v>11</v>
      </c>
      <c r="M3" s="13">
        <v>143515</v>
      </c>
      <c r="P3" s="4" t="s">
        <v>1020</v>
      </c>
      <c r="Q3" s="13">
        <v>11215</v>
      </c>
      <c r="T3" s="4" t="s">
        <v>13</v>
      </c>
      <c r="U3" s="13">
        <v>232840</v>
      </c>
      <c r="X3" s="4" t="s">
        <v>13</v>
      </c>
      <c r="Y3" s="13">
        <v>456.54901960784315</v>
      </c>
      <c r="Z3" s="13"/>
      <c r="AA3" s="13"/>
      <c r="AB3" s="4" t="s">
        <v>13</v>
      </c>
      <c r="AC3" s="8">
        <v>510</v>
      </c>
      <c r="AD3" s="13"/>
      <c r="AE3" s="13"/>
      <c r="AF3" s="4" t="s">
        <v>1018</v>
      </c>
      <c r="AG3" s="13">
        <v>412.35897435897436</v>
      </c>
      <c r="AH3" s="13"/>
      <c r="AI3" s="13"/>
      <c r="AJ3" s="4" t="s">
        <v>1020</v>
      </c>
      <c r="AK3" s="8">
        <v>21</v>
      </c>
      <c r="AL3" s="13"/>
      <c r="AM3" s="13"/>
      <c r="AN3" s="4" t="s">
        <v>11</v>
      </c>
      <c r="AO3" s="8">
        <v>771</v>
      </c>
      <c r="AR3" s="4" t="s">
        <v>14</v>
      </c>
      <c r="AS3" s="13">
        <v>174.28774928774928</v>
      </c>
      <c r="AV3" s="3" t="s">
        <v>1027</v>
      </c>
      <c r="AW3" t="s">
        <v>11</v>
      </c>
      <c r="AX3" t="s">
        <v>14</v>
      </c>
      <c r="AY3" t="s">
        <v>16</v>
      </c>
      <c r="AZ3" t="s">
        <v>1014</v>
      </c>
      <c r="BC3" s="4" t="s">
        <v>16</v>
      </c>
      <c r="BD3">
        <v>342</v>
      </c>
      <c r="BE3" s="8"/>
      <c r="BF3" s="8"/>
      <c r="BG3" t="str">
        <f>L3</f>
        <v>Beauty</v>
      </c>
      <c r="BH3" s="13">
        <f>GETPIVOTDATA("Total_Amount",$L$2,"Product_Category","Beauty")/GETPIVOTDATA("Transaction ID",$BC$2,"Product_Category","Beauty")</f>
        <v>467.47557003257327</v>
      </c>
    </row>
    <row r="4" spans="1:60" x14ac:dyDescent="0.2">
      <c r="H4" s="4" t="s">
        <v>1041</v>
      </c>
      <c r="I4" s="13">
        <v>41020</v>
      </c>
      <c r="L4" s="4" t="s">
        <v>14</v>
      </c>
      <c r="M4" s="13">
        <v>155580</v>
      </c>
      <c r="P4" s="4" t="s">
        <v>1018</v>
      </c>
      <c r="Q4" s="13">
        <v>80410</v>
      </c>
      <c r="T4" s="4" t="s">
        <v>10</v>
      </c>
      <c r="U4" s="13">
        <v>223160</v>
      </c>
      <c r="X4" s="4" t="s">
        <v>10</v>
      </c>
      <c r="Y4" s="13">
        <v>455.42857142857144</v>
      </c>
      <c r="Z4" s="13"/>
      <c r="AA4" s="13"/>
      <c r="AB4" s="4" t="s">
        <v>10</v>
      </c>
      <c r="AC4" s="8">
        <v>490</v>
      </c>
      <c r="AD4" s="13"/>
      <c r="AE4" s="13"/>
      <c r="AF4" s="4" t="s">
        <v>1019</v>
      </c>
      <c r="AG4" s="13">
        <v>439.69432314410483</v>
      </c>
      <c r="AH4" s="13"/>
      <c r="AI4" s="13"/>
      <c r="AJ4" s="4" t="s">
        <v>1018</v>
      </c>
      <c r="AK4" s="8">
        <v>195</v>
      </c>
      <c r="AL4" s="13"/>
      <c r="AM4" s="13"/>
      <c r="AN4" s="4" t="s">
        <v>16</v>
      </c>
      <c r="AO4" s="8">
        <v>849</v>
      </c>
      <c r="AR4" s="4" t="s">
        <v>16</v>
      </c>
      <c r="AS4" s="13">
        <v>181.90058479532163</v>
      </c>
      <c r="AT4" s="8"/>
      <c r="AV4" s="4" t="s">
        <v>13</v>
      </c>
      <c r="AW4" s="8">
        <v>418</v>
      </c>
      <c r="AX4" s="8">
        <v>441</v>
      </c>
      <c r="AY4" s="8">
        <v>439</v>
      </c>
      <c r="AZ4" s="8">
        <v>1298</v>
      </c>
      <c r="BA4" s="8"/>
      <c r="BB4" s="8"/>
      <c r="BC4" s="4" t="s">
        <v>14</v>
      </c>
      <c r="BD4">
        <v>351</v>
      </c>
      <c r="BE4" s="8"/>
      <c r="BF4" s="8"/>
      <c r="BG4" t="str">
        <f>L4</f>
        <v>Clothing</v>
      </c>
      <c r="BH4" s="13">
        <f>GETPIVOTDATA("Total_Amount",$L$2,"Product_Category","Clothing")/GETPIVOTDATA("Transaction ID",$BC$2,"Product_Category","Clothing")</f>
        <v>443.24786324786322</v>
      </c>
    </row>
    <row r="5" spans="1:60" x14ac:dyDescent="0.2">
      <c r="H5" s="4" t="s">
        <v>1042</v>
      </c>
      <c r="I5" s="13">
        <v>31530</v>
      </c>
      <c r="L5" s="4" t="s">
        <v>16</v>
      </c>
      <c r="M5" s="13">
        <v>156905</v>
      </c>
      <c r="P5" s="4" t="s">
        <v>1019</v>
      </c>
      <c r="Q5" s="13">
        <v>100690</v>
      </c>
      <c r="T5" s="4" t="s">
        <v>1014</v>
      </c>
      <c r="U5" s="13">
        <v>456000</v>
      </c>
      <c r="X5" s="4" t="s">
        <v>1014</v>
      </c>
      <c r="Y5" s="13">
        <v>456</v>
      </c>
      <c r="Z5" s="13"/>
      <c r="AA5" s="13"/>
      <c r="AB5" s="4" t="s">
        <v>1014</v>
      </c>
      <c r="AC5" s="8">
        <v>1000</v>
      </c>
      <c r="AD5" s="13"/>
      <c r="AE5" s="13"/>
      <c r="AF5" s="4" t="s">
        <v>1017</v>
      </c>
      <c r="AG5" s="13">
        <v>460.53571428571428</v>
      </c>
      <c r="AH5" s="13"/>
      <c r="AI5" s="13"/>
      <c r="AJ5" s="4" t="s">
        <v>1017</v>
      </c>
      <c r="AK5" s="8">
        <v>224</v>
      </c>
      <c r="AL5" s="13"/>
      <c r="AM5" s="13"/>
      <c r="AN5" s="4" t="s">
        <v>14</v>
      </c>
      <c r="AO5" s="8">
        <v>894</v>
      </c>
      <c r="AR5" s="4" t="s">
        <v>11</v>
      </c>
      <c r="AS5" s="13">
        <v>184.05537459283389</v>
      </c>
      <c r="AT5" s="8"/>
      <c r="AV5" s="4" t="s">
        <v>10</v>
      </c>
      <c r="AW5" s="8">
        <v>353</v>
      </c>
      <c r="AX5" s="8">
        <v>453</v>
      </c>
      <c r="AY5" s="8">
        <v>410</v>
      </c>
      <c r="AZ5" s="8">
        <v>1216</v>
      </c>
      <c r="BA5" s="8"/>
      <c r="BB5" s="8"/>
      <c r="BC5" s="4" t="s">
        <v>11</v>
      </c>
      <c r="BD5">
        <v>307</v>
      </c>
      <c r="BE5" s="8"/>
      <c r="BF5" s="8"/>
      <c r="BG5" t="str">
        <f>L5</f>
        <v>Electronics</v>
      </c>
      <c r="BH5" s="13">
        <f>GETPIVOTDATA("Total_Amount",$L$2,"Product_Category","Electronics")/GETPIVOTDATA("Transaction ID",$BC$2,"Product_Category","Electronics")</f>
        <v>458.78654970760232</v>
      </c>
    </row>
    <row r="6" spans="1:60" x14ac:dyDescent="0.2">
      <c r="H6" s="4" t="s">
        <v>1043</v>
      </c>
      <c r="I6" s="13">
        <v>33170</v>
      </c>
      <c r="L6" s="4" t="s">
        <v>1014</v>
      </c>
      <c r="M6" s="13">
        <v>456000</v>
      </c>
      <c r="P6" s="4" t="s">
        <v>1017</v>
      </c>
      <c r="Q6" s="13">
        <v>103160</v>
      </c>
      <c r="Y6" s="13"/>
      <c r="Z6" s="13"/>
      <c r="AA6" s="13"/>
      <c r="AB6" s="13"/>
      <c r="AC6" s="13"/>
      <c r="AD6" s="13"/>
      <c r="AE6" s="13"/>
      <c r="AF6" s="4" t="s">
        <v>1021</v>
      </c>
      <c r="AG6" s="13">
        <v>484.96978851963746</v>
      </c>
      <c r="AH6" s="13"/>
      <c r="AI6" s="13"/>
      <c r="AJ6" s="4" t="s">
        <v>1019</v>
      </c>
      <c r="AK6" s="8">
        <v>229</v>
      </c>
      <c r="AL6" s="13"/>
      <c r="AM6" s="13"/>
      <c r="AN6" s="4" t="s">
        <v>1014</v>
      </c>
      <c r="AO6" s="8">
        <v>2514</v>
      </c>
      <c r="AR6" s="4" t="s">
        <v>1014</v>
      </c>
      <c r="AS6" s="13">
        <v>179.89</v>
      </c>
      <c r="AT6" s="8"/>
      <c r="AV6" s="4" t="s">
        <v>1014</v>
      </c>
      <c r="AW6" s="8">
        <v>771</v>
      </c>
      <c r="AX6" s="8">
        <v>894</v>
      </c>
      <c r="AY6" s="8">
        <v>849</v>
      </c>
      <c r="AZ6" s="8">
        <v>2514</v>
      </c>
      <c r="BA6" s="8"/>
      <c r="BB6" s="8"/>
      <c r="BC6" s="4" t="s">
        <v>1014</v>
      </c>
      <c r="BD6">
        <v>1000</v>
      </c>
      <c r="BE6" s="8"/>
      <c r="BF6" s="8"/>
    </row>
    <row r="7" spans="1:60" x14ac:dyDescent="0.2">
      <c r="H7" s="4" t="s">
        <v>1016</v>
      </c>
      <c r="I7" s="13">
        <v>52710</v>
      </c>
      <c r="P7" s="4" t="s">
        <v>1021</v>
      </c>
      <c r="Q7" s="13">
        <v>160525</v>
      </c>
      <c r="AF7" s="4" t="s">
        <v>1020</v>
      </c>
      <c r="AG7" s="13">
        <v>534.04761904761904</v>
      </c>
      <c r="AH7" s="13"/>
      <c r="AI7" s="13"/>
      <c r="AJ7" s="4" t="s">
        <v>1021</v>
      </c>
      <c r="AK7" s="8">
        <v>331</v>
      </c>
      <c r="AL7" s="13"/>
      <c r="AM7" s="13"/>
      <c r="AN7" s="13"/>
      <c r="AO7" s="13"/>
      <c r="AT7" s="8"/>
      <c r="AW7" s="10"/>
      <c r="AZ7" s="10"/>
      <c r="BA7" s="10"/>
      <c r="BB7" s="10"/>
      <c r="BC7" s="10"/>
    </row>
    <row r="8" spans="1:60" x14ac:dyDescent="0.2">
      <c r="H8" s="4" t="s">
        <v>1044</v>
      </c>
      <c r="I8" s="13">
        <v>38155</v>
      </c>
      <c r="P8" s="4" t="s">
        <v>1014</v>
      </c>
      <c r="Q8" s="13">
        <v>456000</v>
      </c>
      <c r="AF8" s="4" t="s">
        <v>1014</v>
      </c>
      <c r="AG8" s="13">
        <v>456</v>
      </c>
      <c r="AH8" s="13"/>
      <c r="AI8" s="13"/>
      <c r="AJ8" s="4" t="s">
        <v>1014</v>
      </c>
      <c r="AK8" s="8">
        <v>1000</v>
      </c>
      <c r="AL8" s="13"/>
      <c r="AM8" s="13"/>
      <c r="AN8" s="13"/>
      <c r="AO8" s="13"/>
      <c r="AT8" s="8"/>
      <c r="AW8" s="10"/>
      <c r="AZ8" s="10"/>
      <c r="BA8" s="10"/>
      <c r="BB8" s="10"/>
      <c r="BC8" s="10"/>
    </row>
    <row r="9" spans="1:60" x14ac:dyDescent="0.2">
      <c r="H9" s="4" t="s">
        <v>1045</v>
      </c>
      <c r="I9" s="13">
        <v>34085</v>
      </c>
      <c r="AR9" s="10"/>
      <c r="AT9" s="8"/>
      <c r="AW9" s="10"/>
      <c r="AZ9" s="10"/>
      <c r="BA9" s="10"/>
      <c r="BB9" s="10"/>
      <c r="BC9" s="10"/>
    </row>
    <row r="10" spans="1:60" x14ac:dyDescent="0.2">
      <c r="H10" s="4" t="s">
        <v>1046</v>
      </c>
      <c r="I10" s="13">
        <v>36870</v>
      </c>
      <c r="AW10" s="10"/>
      <c r="AZ10" s="10"/>
      <c r="BA10" s="10"/>
      <c r="BB10" s="10"/>
      <c r="BC10" s="10"/>
    </row>
    <row r="11" spans="1:60" x14ac:dyDescent="0.2">
      <c r="H11" s="4" t="s">
        <v>1047</v>
      </c>
      <c r="I11" s="13">
        <v>23620</v>
      </c>
      <c r="AW11" s="10"/>
      <c r="AZ11" s="10"/>
      <c r="BA11" s="10"/>
      <c r="BB11" s="10"/>
      <c r="BC11" s="10"/>
    </row>
    <row r="12" spans="1:60" x14ac:dyDescent="0.2">
      <c r="H12" s="4" t="s">
        <v>1048</v>
      </c>
      <c r="I12" s="13">
        <v>46580</v>
      </c>
      <c r="AW12" s="10"/>
      <c r="AZ12" s="10"/>
      <c r="BA12" s="10"/>
      <c r="BB12" s="10"/>
      <c r="BC12" s="10"/>
    </row>
    <row r="13" spans="1:60" x14ac:dyDescent="0.2">
      <c r="H13" s="4" t="s">
        <v>1049</v>
      </c>
      <c r="I13" s="13">
        <v>34920</v>
      </c>
      <c r="AW13" s="10"/>
      <c r="AZ13" s="10"/>
      <c r="BA13" s="10"/>
      <c r="BB13" s="10"/>
      <c r="BC13" s="10"/>
    </row>
    <row r="14" spans="1:60" x14ac:dyDescent="0.2">
      <c r="H14" s="4" t="s">
        <v>1050</v>
      </c>
      <c r="I14" s="13">
        <v>44690</v>
      </c>
      <c r="AW14" s="10"/>
      <c r="AZ14" s="10"/>
      <c r="BA14" s="10"/>
      <c r="BB14" s="10"/>
      <c r="BC14" s="10"/>
    </row>
    <row r="15" spans="1:60" x14ac:dyDescent="0.2">
      <c r="H15" s="4" t="s">
        <v>1014</v>
      </c>
      <c r="I15" s="13">
        <v>456000</v>
      </c>
      <c r="AW15" s="10"/>
      <c r="AZ15" s="10"/>
      <c r="BA15" s="10"/>
      <c r="BB15" s="10"/>
      <c r="BC15" s="10"/>
    </row>
  </sheetData>
  <pageMargins left="0.7" right="0.7" top="0.75" bottom="0.75" header="0.3" footer="0.3"/>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757B2-BB74-4621-8A25-9DDE981D2A3C}">
  <sheetPr>
    <tabColor theme="5"/>
  </sheetPr>
  <dimension ref="D7:P7"/>
  <sheetViews>
    <sheetView showGridLines="0" zoomScaleNormal="100" workbookViewId="0">
      <selection activeCell="AM73" sqref="AM73"/>
    </sheetView>
  </sheetViews>
  <sheetFormatPr defaultColWidth="9.28515625" defaultRowHeight="12.75" x14ac:dyDescent="0.2"/>
  <cols>
    <col min="1" max="1" width="9.28515625" style="14"/>
    <col min="2" max="3" width="9.28515625" style="14" customWidth="1"/>
    <col min="4" max="4" width="12.28515625" style="14" bestFit="1" customWidth="1"/>
    <col min="5" max="6" width="9.28515625" style="14"/>
    <col min="7" max="7" width="9.28515625" style="14" customWidth="1"/>
    <col min="8" max="8" width="9.28515625" style="14"/>
    <col min="9" max="9" width="9.28515625" style="14" customWidth="1"/>
    <col min="10" max="13" width="9.28515625" style="14"/>
    <col min="14" max="14" width="15.140625" style="14" customWidth="1"/>
    <col min="15" max="15" width="7" style="14" customWidth="1"/>
    <col min="16" max="16" width="16.140625" style="14" customWidth="1"/>
    <col min="17" max="16384" width="9.28515625" style="14"/>
  </cols>
  <sheetData>
    <row r="7" spans="4:16" ht="18.75" x14ac:dyDescent="0.3">
      <c r="D7" s="16">
        <f>'05_PIVOT_TABLES'!$E$3</f>
        <v>456</v>
      </c>
      <c r="K7" s="17">
        <f>'05_PIVOT_TABLES'!$C$3</f>
        <v>1000</v>
      </c>
      <c r="P7" s="18">
        <v>456000</v>
      </c>
    </row>
  </sheetData>
  <sheetProtection sheet="1" objects="1" scenarios="1" selectLockedCells="1" pivotTables="0"/>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313F4-6242-4552-92E7-05275D8C2E3E}">
  <sheetPr>
    <tabColor theme="5"/>
  </sheetPr>
  <dimension ref="A1"/>
  <sheetViews>
    <sheetView showGridLines="0" tabSelected="1" zoomScale="84" zoomScaleNormal="84" workbookViewId="0">
      <selection activeCell="BQ62" sqref="BQ62"/>
    </sheetView>
  </sheetViews>
  <sheetFormatPr defaultRowHeight="12.75" x14ac:dyDescent="0.2"/>
  <cols>
    <col min="1" max="1" width="9.140625" style="14"/>
    <col min="2" max="2" width="9.140625" style="14" customWidth="1"/>
    <col min="3" max="16384" width="9.140625" style="14"/>
  </cols>
  <sheetData/>
  <sheetProtection sheet="1" objects="1" scenarios="1" selectLockedCells="1" pivotTables="0"/>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01_README</vt:lpstr>
      <vt:lpstr>02_RAW_DATA</vt:lpstr>
      <vt:lpstr>03_WORKINGS</vt:lpstr>
      <vt:lpstr>04_CLEANED_DATA</vt:lpstr>
      <vt:lpstr>05_PIVOT_TABLES</vt:lpstr>
      <vt:lpstr>06_DASHBOARD_OVERVIEW</vt:lpstr>
      <vt:lpstr>07_DASHBOAD_DEEP_DIVE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winnifrednze@gmail.com</cp:lastModifiedBy>
  <cp:lastPrinted>2026-04-19T18:08:47Z</cp:lastPrinted>
  <dcterms:created xsi:type="dcterms:W3CDTF">2026-04-24T22:00:11Z</dcterms:created>
  <dcterms:modified xsi:type="dcterms:W3CDTF">2026-04-24T23:14:49Z</dcterms:modified>
</cp:coreProperties>
</file>