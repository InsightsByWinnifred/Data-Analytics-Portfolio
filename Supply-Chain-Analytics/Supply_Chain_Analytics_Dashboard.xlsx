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DELL\Desktop\Done data analytics projects\"/>
    </mc:Choice>
  </mc:AlternateContent>
  <xr:revisionPtr revIDLastSave="0" documentId="13_ncr:1_{F76282A4-4C98-419A-B766-AE6FD97B7E32}" xr6:coauthVersionLast="47" xr6:coauthVersionMax="47" xr10:uidLastSave="{00000000-0000-0000-0000-000000000000}"/>
  <bookViews>
    <workbookView xWindow="-120" yWindow="-120" windowWidth="20730" windowHeight="11160" activeTab="5" xr2:uid="{00000000-000D-0000-FFFF-FFFF00000000}"/>
  </bookViews>
  <sheets>
    <sheet name="01_README" sheetId="6" r:id="rId1"/>
    <sheet name="02_RAW_DATA" sheetId="1" state="hidden" r:id="rId2"/>
    <sheet name="03_WORKINGS" sheetId="2" state="hidden" r:id="rId3"/>
    <sheet name="04_CLEANED_DATA" sheetId="3" state="hidden" r:id="rId4"/>
    <sheet name="05_PIVOT_TABLES" sheetId="4" state="hidden" r:id="rId5"/>
    <sheet name="06_DASHBOARD" sheetId="5" r:id="rId6"/>
  </sheets>
  <definedNames>
    <definedName name="Slicer_Product_Type">#N/A</definedName>
    <definedName name="Slicer_Routes">#N/A</definedName>
    <definedName name="Slicer_Shipping_Carriers">#N/A</definedName>
    <definedName name="Slicer_SKU">#N/A</definedName>
    <definedName name="Slicer_Transportation_Modes">#N/A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101" i="2" l="1"/>
  <c r="AA101" i="2"/>
  <c r="Z101" i="2"/>
  <c r="B101" i="2"/>
  <c r="AB100" i="2"/>
  <c r="AA100" i="2"/>
  <c r="Z100" i="2"/>
  <c r="B100" i="2"/>
  <c r="AB99" i="2"/>
  <c r="AA99" i="2"/>
  <c r="Z99" i="2"/>
  <c r="B99" i="2"/>
  <c r="AB98" i="2"/>
  <c r="AA98" i="2"/>
  <c r="Z98" i="2"/>
  <c r="B98" i="2"/>
  <c r="AB97" i="2"/>
  <c r="AA97" i="2"/>
  <c r="Z97" i="2"/>
  <c r="B97" i="2"/>
  <c r="AB96" i="2"/>
  <c r="AA96" i="2"/>
  <c r="Z96" i="2"/>
  <c r="B96" i="2"/>
  <c r="AB95" i="2"/>
  <c r="AA95" i="2"/>
  <c r="Z95" i="2"/>
  <c r="B95" i="2"/>
  <c r="AB94" i="2"/>
  <c r="AA94" i="2"/>
  <c r="Z94" i="2"/>
  <c r="B94" i="2"/>
  <c r="AB93" i="2"/>
  <c r="AA93" i="2"/>
  <c r="Z93" i="2"/>
  <c r="B93" i="2"/>
  <c r="AB92" i="2"/>
  <c r="AA92" i="2"/>
  <c r="Z92" i="2"/>
  <c r="B92" i="2"/>
  <c r="AB91" i="2"/>
  <c r="AA91" i="2"/>
  <c r="Z91" i="2"/>
  <c r="B91" i="2"/>
  <c r="AB90" i="2"/>
  <c r="AA90" i="2"/>
  <c r="Z90" i="2"/>
  <c r="B90" i="2"/>
  <c r="AB89" i="2"/>
  <c r="AA89" i="2"/>
  <c r="Z89" i="2"/>
  <c r="B89" i="2"/>
  <c r="AB88" i="2"/>
  <c r="AA88" i="2"/>
  <c r="Z88" i="2"/>
  <c r="B88" i="2"/>
  <c r="AB87" i="2"/>
  <c r="AA87" i="2"/>
  <c r="Z87" i="2"/>
  <c r="B87" i="2"/>
  <c r="AB86" i="2"/>
  <c r="AA86" i="2"/>
  <c r="Z86" i="2"/>
  <c r="B86" i="2"/>
  <c r="AB85" i="2"/>
  <c r="AA85" i="2"/>
  <c r="Z85" i="2"/>
  <c r="B85" i="2"/>
  <c r="AB84" i="2"/>
  <c r="AA84" i="2"/>
  <c r="Z84" i="2"/>
  <c r="B84" i="2"/>
  <c r="AB83" i="2"/>
  <c r="AA83" i="2"/>
  <c r="Z83" i="2"/>
  <c r="B83" i="2"/>
  <c r="AB82" i="2"/>
  <c r="AA82" i="2"/>
  <c r="Z82" i="2"/>
  <c r="B82" i="2"/>
  <c r="AB81" i="2"/>
  <c r="AA81" i="2"/>
  <c r="Z81" i="2"/>
  <c r="B81" i="2"/>
  <c r="AB80" i="2"/>
  <c r="AA80" i="2"/>
  <c r="Z80" i="2"/>
  <c r="B80" i="2"/>
  <c r="AB79" i="2"/>
  <c r="AA79" i="2"/>
  <c r="Z79" i="2"/>
  <c r="B79" i="2"/>
  <c r="AB78" i="2"/>
  <c r="AA78" i="2"/>
  <c r="Z78" i="2"/>
  <c r="B78" i="2"/>
  <c r="AB77" i="2"/>
  <c r="AA77" i="2"/>
  <c r="Z77" i="2"/>
  <c r="B77" i="2"/>
  <c r="AB76" i="2"/>
  <c r="AA76" i="2"/>
  <c r="Z76" i="2"/>
  <c r="B76" i="2"/>
  <c r="AB75" i="2"/>
  <c r="AA75" i="2"/>
  <c r="Z75" i="2"/>
  <c r="B75" i="2"/>
  <c r="AB74" i="2"/>
  <c r="AA74" i="2"/>
  <c r="Z74" i="2"/>
  <c r="B74" i="2"/>
  <c r="AB73" i="2"/>
  <c r="AA73" i="2"/>
  <c r="Z73" i="2"/>
  <c r="B73" i="2"/>
  <c r="AB72" i="2"/>
  <c r="AA72" i="2"/>
  <c r="Z72" i="2"/>
  <c r="B72" i="2"/>
  <c r="AB71" i="2"/>
  <c r="AA71" i="2"/>
  <c r="Z71" i="2"/>
  <c r="B71" i="2"/>
  <c r="AB70" i="2"/>
  <c r="AA70" i="2"/>
  <c r="Z70" i="2"/>
  <c r="B70" i="2"/>
  <c r="AB69" i="2"/>
  <c r="AA69" i="2"/>
  <c r="Z69" i="2"/>
  <c r="B69" i="2"/>
  <c r="AB68" i="2"/>
  <c r="AA68" i="2"/>
  <c r="Z68" i="2"/>
  <c r="B68" i="2"/>
  <c r="AB67" i="2"/>
  <c r="AA67" i="2"/>
  <c r="Z67" i="2"/>
  <c r="B67" i="2"/>
  <c r="AB66" i="2"/>
  <c r="AA66" i="2"/>
  <c r="Z66" i="2"/>
  <c r="B66" i="2"/>
  <c r="AB65" i="2"/>
  <c r="AA65" i="2"/>
  <c r="Z65" i="2"/>
  <c r="B65" i="2"/>
  <c r="AB64" i="2"/>
  <c r="AA64" i="2"/>
  <c r="Z64" i="2"/>
  <c r="B64" i="2"/>
  <c r="AB63" i="2"/>
  <c r="AA63" i="2"/>
  <c r="Z63" i="2"/>
  <c r="B63" i="2"/>
  <c r="AB62" i="2"/>
  <c r="AA62" i="2"/>
  <c r="Z62" i="2"/>
  <c r="B62" i="2"/>
  <c r="AB61" i="2"/>
  <c r="AA61" i="2"/>
  <c r="Z61" i="2"/>
  <c r="B61" i="2"/>
  <c r="AB60" i="2"/>
  <c r="AA60" i="2"/>
  <c r="Z60" i="2"/>
  <c r="B60" i="2"/>
  <c r="AB59" i="2"/>
  <c r="AA59" i="2"/>
  <c r="Z59" i="2"/>
  <c r="B59" i="2"/>
  <c r="AB58" i="2"/>
  <c r="AA58" i="2"/>
  <c r="Z58" i="2"/>
  <c r="B58" i="2"/>
  <c r="AB57" i="2"/>
  <c r="AA57" i="2"/>
  <c r="Z57" i="2"/>
  <c r="B57" i="2"/>
  <c r="AB56" i="2"/>
  <c r="AA56" i="2"/>
  <c r="Z56" i="2"/>
  <c r="B56" i="2"/>
  <c r="AB55" i="2"/>
  <c r="AA55" i="2"/>
  <c r="Z55" i="2"/>
  <c r="B55" i="2"/>
  <c r="AB54" i="2"/>
  <c r="AA54" i="2"/>
  <c r="Z54" i="2"/>
  <c r="B54" i="2"/>
  <c r="AB53" i="2"/>
  <c r="AA53" i="2"/>
  <c r="Z53" i="2"/>
  <c r="B53" i="2"/>
  <c r="AB52" i="2"/>
  <c r="AA52" i="2"/>
  <c r="Z52" i="2"/>
  <c r="B52" i="2"/>
  <c r="AB51" i="2"/>
  <c r="AA51" i="2"/>
  <c r="Z51" i="2"/>
  <c r="B51" i="2"/>
  <c r="AB50" i="2"/>
  <c r="AA50" i="2"/>
  <c r="Z50" i="2"/>
  <c r="B50" i="2"/>
  <c r="AB49" i="2"/>
  <c r="AA49" i="2"/>
  <c r="Z49" i="2"/>
  <c r="B49" i="2"/>
  <c r="AB48" i="2"/>
  <c r="AA48" i="2"/>
  <c r="Z48" i="2"/>
  <c r="B48" i="2"/>
  <c r="AB47" i="2"/>
  <c r="AA47" i="2"/>
  <c r="Z47" i="2"/>
  <c r="B47" i="2"/>
  <c r="AB46" i="2"/>
  <c r="AA46" i="2"/>
  <c r="Z46" i="2"/>
  <c r="B46" i="2"/>
  <c r="AB45" i="2"/>
  <c r="AA45" i="2"/>
  <c r="Z45" i="2"/>
  <c r="B45" i="2"/>
  <c r="AB44" i="2"/>
  <c r="AA44" i="2"/>
  <c r="Z44" i="2"/>
  <c r="B44" i="2"/>
  <c r="AB43" i="2"/>
  <c r="AA43" i="2"/>
  <c r="Z43" i="2"/>
  <c r="B43" i="2"/>
  <c r="AB42" i="2"/>
  <c r="AA42" i="2"/>
  <c r="Z42" i="2"/>
  <c r="B42" i="2"/>
  <c r="AB41" i="2"/>
  <c r="AA41" i="2"/>
  <c r="Z41" i="2"/>
  <c r="B41" i="2"/>
  <c r="AB40" i="2"/>
  <c r="AA40" i="2"/>
  <c r="Z40" i="2"/>
  <c r="B40" i="2"/>
  <c r="AB39" i="2"/>
  <c r="AA39" i="2"/>
  <c r="Z39" i="2"/>
  <c r="B39" i="2"/>
  <c r="AB38" i="2"/>
  <c r="AA38" i="2"/>
  <c r="Z38" i="2"/>
  <c r="B38" i="2"/>
  <c r="AB37" i="2"/>
  <c r="AA37" i="2"/>
  <c r="Z37" i="2"/>
  <c r="B37" i="2"/>
  <c r="AB36" i="2"/>
  <c r="AA36" i="2"/>
  <c r="Z36" i="2"/>
  <c r="B36" i="2"/>
  <c r="AB35" i="2"/>
  <c r="AA35" i="2"/>
  <c r="Z35" i="2"/>
  <c r="B35" i="2"/>
  <c r="AB34" i="2"/>
  <c r="AA34" i="2"/>
  <c r="Z34" i="2"/>
  <c r="B34" i="2"/>
  <c r="AB33" i="2"/>
  <c r="AA33" i="2"/>
  <c r="Z33" i="2"/>
  <c r="B33" i="2"/>
  <c r="AB32" i="2"/>
  <c r="AA32" i="2"/>
  <c r="Z32" i="2"/>
  <c r="B32" i="2"/>
  <c r="AB31" i="2"/>
  <c r="AA31" i="2"/>
  <c r="Z31" i="2"/>
  <c r="B31" i="2"/>
  <c r="AB30" i="2"/>
  <c r="AA30" i="2"/>
  <c r="Z30" i="2"/>
  <c r="B30" i="2"/>
  <c r="AB29" i="2"/>
  <c r="AA29" i="2"/>
  <c r="Z29" i="2"/>
  <c r="B29" i="2"/>
  <c r="AB28" i="2"/>
  <c r="AA28" i="2"/>
  <c r="Z28" i="2"/>
  <c r="B28" i="2"/>
  <c r="AB27" i="2"/>
  <c r="AA27" i="2"/>
  <c r="Z27" i="2"/>
  <c r="B27" i="2"/>
  <c r="AB26" i="2"/>
  <c r="AA26" i="2"/>
  <c r="Z26" i="2"/>
  <c r="B26" i="2"/>
  <c r="AB25" i="2"/>
  <c r="AA25" i="2"/>
  <c r="Z25" i="2"/>
  <c r="B25" i="2"/>
  <c r="AB24" i="2"/>
  <c r="AA24" i="2"/>
  <c r="Z24" i="2"/>
  <c r="B24" i="2"/>
  <c r="AB23" i="2"/>
  <c r="AA23" i="2"/>
  <c r="Z23" i="2"/>
  <c r="B23" i="2"/>
  <c r="AB22" i="2"/>
  <c r="AA22" i="2"/>
  <c r="Z22" i="2"/>
  <c r="B22" i="2"/>
  <c r="AB21" i="2"/>
  <c r="AA21" i="2"/>
  <c r="Z21" i="2"/>
  <c r="B21" i="2"/>
  <c r="AB20" i="2"/>
  <c r="AA20" i="2"/>
  <c r="Z20" i="2"/>
  <c r="B20" i="2"/>
  <c r="AB19" i="2"/>
  <c r="AA19" i="2"/>
  <c r="Z19" i="2"/>
  <c r="B19" i="2"/>
  <c r="AB18" i="2"/>
  <c r="AA18" i="2"/>
  <c r="Z18" i="2"/>
  <c r="B18" i="2"/>
  <c r="AB17" i="2"/>
  <c r="AA17" i="2"/>
  <c r="Z17" i="2"/>
  <c r="B17" i="2"/>
  <c r="AB16" i="2"/>
  <c r="AA16" i="2"/>
  <c r="Z16" i="2"/>
  <c r="B16" i="2"/>
  <c r="AB15" i="2"/>
  <c r="AA15" i="2"/>
  <c r="Z15" i="2"/>
  <c r="B15" i="2"/>
  <c r="AB14" i="2"/>
  <c r="AA14" i="2"/>
  <c r="Z14" i="2"/>
  <c r="B14" i="2"/>
  <c r="AB13" i="2"/>
  <c r="AA13" i="2"/>
  <c r="Z13" i="2"/>
  <c r="B13" i="2"/>
  <c r="AB12" i="2"/>
  <c r="AA12" i="2"/>
  <c r="Z12" i="2"/>
  <c r="B12" i="2"/>
  <c r="AB11" i="2"/>
  <c r="AA11" i="2"/>
  <c r="Z11" i="2"/>
  <c r="B11" i="2"/>
  <c r="AB10" i="2"/>
  <c r="AA10" i="2"/>
  <c r="Z10" i="2"/>
  <c r="B10" i="2"/>
  <c r="AB9" i="2"/>
  <c r="AA9" i="2"/>
  <c r="Z9" i="2"/>
  <c r="B9" i="2"/>
  <c r="AB8" i="2"/>
  <c r="AA8" i="2"/>
  <c r="Z8" i="2"/>
  <c r="B8" i="2"/>
  <c r="AB7" i="2"/>
  <c r="AA7" i="2"/>
  <c r="Z7" i="2"/>
  <c r="B7" i="2"/>
  <c r="AB6" i="2"/>
  <c r="AA6" i="2"/>
  <c r="Z6" i="2"/>
  <c r="B6" i="2"/>
  <c r="AB5" i="2"/>
  <c r="AA5" i="2"/>
  <c r="Z5" i="2"/>
  <c r="B5" i="2"/>
  <c r="AB4" i="2"/>
  <c r="AA4" i="2"/>
  <c r="Z4" i="2"/>
  <c r="B4" i="2"/>
  <c r="AB3" i="2"/>
  <c r="AA3" i="2"/>
  <c r="Z3" i="2"/>
  <c r="B3" i="2"/>
  <c r="AB2" i="2"/>
  <c r="AA2" i="2"/>
  <c r="Z2" i="2"/>
  <c r="B2" i="2"/>
  <c r="Y7" i="5"/>
  <c r="H7" i="5"/>
  <c r="B7" i="5"/>
  <c r="S7" i="5"/>
  <c r="N7" i="5"/>
</calcChain>
</file>

<file path=xl/sharedStrings.xml><?xml version="1.0" encoding="utf-8"?>
<sst xmlns="http://schemas.openxmlformats.org/spreadsheetml/2006/main" count="2915" uniqueCount="247">
  <si>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</si>
  <si>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</si>
  <si>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</si>
  <si>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</si>
  <si>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</si>
  <si>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</si>
  <si>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</si>
  <si>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</si>
  <si>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</si>
  <si>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</si>
  <si>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</si>
  <si>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</si>
  <si>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</si>
  <si>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</si>
  <si>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</si>
  <si>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</si>
  <si>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</si>
  <si>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</si>
  <si>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</si>
  <si>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</si>
  <si>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</si>
  <si>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</si>
  <si>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</si>
  <si>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</si>
  <si>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</si>
  <si>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</si>
  <si>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</si>
  <si>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</si>
  <si>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</si>
  <si>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</si>
  <si>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</si>
  <si>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</si>
  <si>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</si>
  <si>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</si>
  <si>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</si>
  <si>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</si>
  <si>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</si>
  <si>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</si>
  <si>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</si>
  <si>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</si>
  <si>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</si>
  <si>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</si>
  <si>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</si>
  <si>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</si>
  <si>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</si>
  <si>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</si>
  <si>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</si>
  <si>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</si>
  <si>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</si>
  <si>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</si>
  <si>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</si>
  <si>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</si>
  <si>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</si>
  <si>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</si>
  <si>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</si>
  <si>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</si>
  <si>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</si>
  <si>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</si>
  <si>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</si>
  <si>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</si>
  <si>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</si>
  <si>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</si>
  <si>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</si>
  <si>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</si>
  <si>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</si>
  <si>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</si>
  <si>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</si>
  <si>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</si>
  <si>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</si>
  <si>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</si>
  <si>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</si>
  <si>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</si>
  <si>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</si>
  <si>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</si>
  <si>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</si>
  <si>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</si>
  <si>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</si>
  <si>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</si>
  <si>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</si>
  <si>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</si>
  <si>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</si>
  <si>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</si>
  <si>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</si>
  <si>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</si>
  <si>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</si>
  <si>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</si>
  <si>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</si>
  <si>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</si>
  <si>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</si>
  <si>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</si>
  <si>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</si>
  <si>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</si>
  <si>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</si>
  <si>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</si>
  <si>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</si>
  <si>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</si>
  <si>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</si>
  <si>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</si>
  <si>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</si>
  <si>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</si>
  <si>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</si>
  <si>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</si>
  <si>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</si>
  <si>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</si>
  <si>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</si>
  <si>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</si>
  <si>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</si>
  <si>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</si>
  <si>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</si>
  <si>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</si>
  <si>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</si>
  <si>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</si>
  <si>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</si>
  <si>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</si>
  <si>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</si>
  <si>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</si>
  <si>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</si>
  <si>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</si>
  <si>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</si>
  <si>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</si>
  <si>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</si>
  <si>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</si>
  <si>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</si>
  <si>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</si>
  <si>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</si>
  <si>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</si>
  <si>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</si>
  <si>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</si>
  <si>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</si>
  <si>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</si>
  <si>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</si>
  <si>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</si>
  <si>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</si>
  <si>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</si>
  <si>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</si>
  <si>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</si>
  <si>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</si>
  <si>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</si>
  <si>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</si>
  <si>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</si>
  <si>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</si>
  <si>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</si>
  <si>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</si>
  <si>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</si>
  <si>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</si>
  <si>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</si>
  <si>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</si>
  <si>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</si>
  <si>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</si>
  <si>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</si>
  <si>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</si>
  <si>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</si>
  <si>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</si>
  <si>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</si>
  <si>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Product type2</t>
  </si>
  <si>
    <t>Total_Cost</t>
  </si>
  <si>
    <t>Profit</t>
  </si>
  <si>
    <t>Profit_Margin</t>
  </si>
  <si>
    <t>Product_Type</t>
  </si>
  <si>
    <t>Number_of_Products _Sold</t>
  </si>
  <si>
    <t>Revenue_Generated</t>
  </si>
  <si>
    <t>Customer_Demographics</t>
  </si>
  <si>
    <t>Stock_Levels</t>
  </si>
  <si>
    <t>Lead_Times</t>
  </si>
  <si>
    <t>Order_Quantities</t>
  </si>
  <si>
    <t>Shipping_Times</t>
  </si>
  <si>
    <t>Shipping_Carriers</t>
  </si>
  <si>
    <t>Shipping_Costs</t>
  </si>
  <si>
    <t>Supplier_Name</t>
  </si>
  <si>
    <t>Lead_Time</t>
  </si>
  <si>
    <t>Production_Volumes</t>
  </si>
  <si>
    <t>Manufacturing_Lead_Time</t>
  </si>
  <si>
    <t>Manufacturing_Costs</t>
  </si>
  <si>
    <t>Inspection_Results</t>
  </si>
  <si>
    <t>Defect_Rates</t>
  </si>
  <si>
    <t>Transportation_Modes</t>
  </si>
  <si>
    <t>Haircare</t>
  </si>
  <si>
    <t>Skincare</t>
  </si>
  <si>
    <t>Cosmetics</t>
  </si>
  <si>
    <t>Sum of Revenue_Generated</t>
  </si>
  <si>
    <t>Sum of Number_of_Products _Sold</t>
  </si>
  <si>
    <t>Sum of Stock_Levels</t>
  </si>
  <si>
    <t>Sum of Shipping_Costs</t>
  </si>
  <si>
    <t>Column Labels</t>
  </si>
  <si>
    <t>Grand Total</t>
  </si>
  <si>
    <t>Sum of Profit</t>
  </si>
  <si>
    <t>Average of Profit_Margin</t>
  </si>
  <si>
    <t>Sum of Total_Cost</t>
  </si>
  <si>
    <t>Average of Costs</t>
  </si>
  <si>
    <t>Average of Defect_Rates</t>
  </si>
  <si>
    <t>Total Cost</t>
  </si>
  <si>
    <t>Revenue</t>
  </si>
  <si>
    <t>OBJECTIVE</t>
  </si>
  <si>
    <t>To analyze supply chain performance by evaluating revenue, cost, profit, inventory and logistics efficiency in order to identify optimization opportunities.</t>
  </si>
  <si>
    <t>DATASET DESCRIPTION</t>
  </si>
  <si>
    <t>DATA CLEANING STEPS</t>
  </si>
  <si>
    <t>• Removed inconsistencies using TRIM and PROPER functions.</t>
  </si>
  <si>
    <t>• Checked for missing values and duplicates (none found)</t>
  </si>
  <si>
    <t>• Standardized column names using snake_case</t>
  </si>
  <si>
    <t>• Assigned appropriate data types</t>
  </si>
  <si>
    <t>• Created calculated columns:</t>
  </si>
  <si>
    <t xml:space="preserve">       • Total_Cost</t>
  </si>
  <si>
    <t xml:space="preserve">       • Profit</t>
  </si>
  <si>
    <t xml:space="preserve">       • Profit_Margin</t>
  </si>
  <si>
    <t>ANALYSIS PERFORMED</t>
  </si>
  <si>
    <t>• Revenue and profit analysis by product type</t>
  </si>
  <si>
    <t>• Defect rate analysis across transport modes</t>
  </si>
  <si>
    <t>DASHBOARD FEATURES</t>
  </si>
  <si>
    <t>• Revenue values assumed to be pre-calculated</t>
  </si>
  <si>
    <t>• Profit margin may be overstated due to limited cost variables</t>
  </si>
  <si>
    <t>• Dataset represents a sample scenario</t>
  </si>
  <si>
    <t>ASSUMPTIONS AND LIMITATIONS</t>
  </si>
  <si>
    <t>• KPI cards (Revenue, Cost, Profit, Units Sold, Profit Margin)</t>
  </si>
  <si>
    <t>• Interactive slicers for filtering</t>
  </si>
  <si>
    <t>• Top 10 SKU analysis</t>
  </si>
  <si>
    <t>• Logistics and defect insights</t>
  </si>
  <si>
    <t>KEY INSIGHTS</t>
  </si>
  <si>
    <t>• Skincare leads revenue generation, contributing the highest share of total sales across all product categories.</t>
  </si>
  <si>
    <t>• Carrier B incurs the highest shipping cost, but does not show proportional efficiency gains, indicating potential cost inefficiency.</t>
  </si>
  <si>
    <t>• Some SKUs (such as, SKU12) exhibit high stock levels without corresponding top revenue performance, suggesting possible overstocking.</t>
  </si>
  <si>
    <t>• Air and Sea transportation modes show higher defect rates, particularly Haircare products, indicating potential handling or packaging  issues.</t>
  </si>
  <si>
    <t>RECOMMENDATIONS</t>
  </si>
  <si>
    <t>• Optimize logistics by evaluating alternatives to high-cost carriers like Carrier B</t>
  </si>
  <si>
    <t>• Improve packaging and handling for Air and Sea transport to reduce defects</t>
  </si>
  <si>
    <t>• Implement inventory optimization strategies to reduce overstock risks</t>
  </si>
  <si>
    <t>• Focus on high-performing categories like Skincare for revenue growth</t>
  </si>
  <si>
    <t>SUPPLY CHAIN ANALYSIS DASHBOARD</t>
  </si>
  <si>
    <t>• Inventory analysis using SKU-level data</t>
  </si>
  <si>
    <t>FILE STRUCTURE</t>
  </si>
  <si>
    <r>
      <t xml:space="preserve">• </t>
    </r>
    <r>
      <rPr>
        <b/>
        <sz val="11"/>
        <color rgb="FF000000"/>
        <rFont val="Calibri"/>
        <family val="2"/>
        <scheme val="minor"/>
      </rPr>
      <t>01_README</t>
    </r>
    <r>
      <rPr>
        <sz val="11"/>
        <color rgb="FF000000"/>
        <rFont val="Calibri"/>
        <family val="2"/>
        <scheme val="minor"/>
      </rPr>
      <t xml:space="preserve"> - Project overview and documentation</t>
    </r>
  </si>
  <si>
    <r>
      <t xml:space="preserve">• </t>
    </r>
    <r>
      <rPr>
        <b/>
        <sz val="11"/>
        <color rgb="FF000000"/>
        <rFont val="Calibri"/>
        <family val="2"/>
        <scheme val="minor"/>
      </rPr>
      <t>02_RAW_DATA</t>
    </r>
    <r>
      <rPr>
        <sz val="11"/>
        <color rgb="FF000000"/>
        <rFont val="Calibri"/>
        <family val="2"/>
        <scheme val="minor"/>
      </rPr>
      <t xml:space="preserve"> - Original dataset</t>
    </r>
  </si>
  <si>
    <r>
      <t xml:space="preserve">• </t>
    </r>
    <r>
      <rPr>
        <b/>
        <sz val="11"/>
        <color rgb="FF000000"/>
        <rFont val="Calibri"/>
        <family val="2"/>
        <scheme val="minor"/>
      </rPr>
      <t>03_WORKINGS</t>
    </r>
    <r>
      <rPr>
        <sz val="11"/>
        <color rgb="FF000000"/>
        <rFont val="Calibri"/>
        <family val="2"/>
        <scheme val="minor"/>
      </rPr>
      <t xml:space="preserve"> - Data transformation and intermediate steps</t>
    </r>
  </si>
  <si>
    <r>
      <t xml:space="preserve">• </t>
    </r>
    <r>
      <rPr>
        <b/>
        <sz val="11"/>
        <color rgb="FF000000"/>
        <rFont val="Calibri"/>
        <family val="2"/>
        <scheme val="minor"/>
      </rPr>
      <t>04_CLEANED_DATA</t>
    </r>
    <r>
      <rPr>
        <sz val="11"/>
        <color rgb="FF000000"/>
        <rFont val="Calibri"/>
        <family val="2"/>
        <scheme val="minor"/>
      </rPr>
      <t xml:space="preserve"> - Final structured dataset</t>
    </r>
  </si>
  <si>
    <r>
      <t xml:space="preserve">• </t>
    </r>
    <r>
      <rPr>
        <b/>
        <sz val="11"/>
        <color rgb="FF000000"/>
        <rFont val="Calibri"/>
        <family val="2"/>
        <scheme val="minor"/>
      </rPr>
      <t>05_PIVOT_TABLES</t>
    </r>
    <r>
      <rPr>
        <sz val="11"/>
        <color rgb="FF000000"/>
        <rFont val="Calibri"/>
        <family val="2"/>
        <scheme val="minor"/>
      </rPr>
      <t xml:space="preserve"> - Supporting pivot tables</t>
    </r>
  </si>
  <si>
    <r>
      <t xml:space="preserve">• </t>
    </r>
    <r>
      <rPr>
        <b/>
        <sz val="11"/>
        <color rgb="FF000000"/>
        <rFont val="Calibri"/>
        <family val="2"/>
        <scheme val="minor"/>
      </rPr>
      <t>06_DASHBOARD</t>
    </r>
    <r>
      <rPr>
        <sz val="11"/>
        <color rgb="FF000000"/>
        <rFont val="Calibri"/>
        <family val="2"/>
        <scheme val="minor"/>
      </rPr>
      <t xml:space="preserve"> - Detailed analysis</t>
    </r>
  </si>
  <si>
    <r>
      <t>Author</t>
    </r>
    <r>
      <rPr>
        <sz val="11"/>
        <color rgb="FF000000"/>
        <rFont val="Calibri"/>
        <family val="2"/>
        <scheme val="minor"/>
      </rPr>
      <t>: Mgbonye Winnifred Ebele</t>
    </r>
  </si>
  <si>
    <r>
      <t>Tool Used:</t>
    </r>
    <r>
      <rPr>
        <sz val="11"/>
        <color rgb="FF000000"/>
        <rFont val="Calibri"/>
        <family val="2"/>
        <scheme val="minor"/>
      </rPr>
      <t xml:space="preserve"> Microsoft Excel</t>
    </r>
  </si>
  <si>
    <t>The dataset contains supply chain  data from a fashion and beauty startup, including product types, SKUs, revenue, costs, shipping details and defect rates.</t>
  </si>
  <si>
    <t>• Cost vs revenue comparison</t>
  </si>
  <si>
    <t>• Shipping cost and carrier performance</t>
  </si>
  <si>
    <t>• Profit margin remain strong across product types, but cost optimization opportunities exist in logistics and transportation.</t>
  </si>
  <si>
    <t>NOTE</t>
  </si>
  <si>
    <r>
      <rPr>
        <sz val="11"/>
        <color rgb="FF000000"/>
        <rFont val="Calibri"/>
        <family val="2"/>
      </rPr>
      <t xml:space="preserve">• </t>
    </r>
    <r>
      <rPr>
        <sz val="11"/>
        <color rgb="FF000000"/>
        <rFont val="Calibri"/>
        <family val="2"/>
        <scheme val="minor"/>
      </rPr>
      <t>Supporting data, transformations and pivot tables are included and can be viewed by unhiding the respective worksheets.</t>
    </r>
  </si>
  <si>
    <r>
      <rPr>
        <sz val="11"/>
        <color rgb="FF000000"/>
        <rFont val="Calibri"/>
        <family val="2"/>
      </rPr>
      <t xml:space="preserve">• </t>
    </r>
    <r>
      <rPr>
        <sz val="11"/>
        <color rgb="FF000000"/>
        <rFont val="Calibri"/>
        <family val="2"/>
        <scheme val="minor"/>
      </rPr>
      <t>Dashboard sheets are protected to preserve layout integrity. All underlying data and transformations are fully accessible.</t>
    </r>
  </si>
  <si>
    <t>CONCLUSION</t>
  </si>
  <si>
    <t>This analysis highlights key patterns in supply chain performance across product categories, inventory and logistics operations.</t>
  </si>
  <si>
    <t>Overall, this dashboard demonstrates the importance of evaluating both profitability and operational efficiency, providing actionable insights to support better decision-making and supply chain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</si>
</sst>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1">
    <font>
      <sz val="10"/>
      <color rgb="FF000000"/>
      <name val="Calibri"/>
      <charset val="134"/>
      <scheme val="minor"/>
    </font>
    <font>
      <sz val="10"/>
      <color rgb="FF000000"/>
      <name val="Calibri"/>
      <family val="2"/>
      <scheme val="minor"/>
    </font>
    <font>
      <sz val="10"/>
      <name val="Calibri"/>
      <family val="2"/>
    </font>
    <font>
      <b/>
      <sz val="14"/>
      <color theme="1"/>
      <name val="Times New Roman"/>
      <family val="1"/>
    </font>
    <font>
      <sz val="10"/>
      <color rgb="FF000000"/>
      <name val="Calibri"/>
      <family val="2"/>
      <scheme val="minor"/>
    </font>
    <font>
      <b/>
      <sz val="16"/>
      <color theme="1"/>
      <name val="Times New Roman"/>
      <family val="1"/>
    </font>
    <font>
      <sz val="11"/>
      <color rgb="FF000000"/>
      <name val="Calibri"/>
      <family val="2"/>
      <scheme val="minor"/>
    </font>
    <font>
      <b/>
      <sz val="11"/>
      <color rgb="FF000000"/>
      <name val="Calibri"/>
      <family val="2"/>
      <scheme val="minor"/>
    </font>
    <font>
      <sz val="11"/>
      <color rgb="FF000000"/>
      <name val="Calibri"/>
      <family val="2"/>
    </font>
    <font>
      <b/>
      <sz val="18"/>
      <color rgb="FF2E7D32"/>
      <name val="Times New Roman"/>
      <family val="1"/>
    </font>
    <font>
      <b/>
      <sz val="16"/>
      <color rgb="FF000000"/>
      <name val="Calibri"/>
      <family val="2"/>
      <scheme val="minor"/>
    </font>
  </fonts>
  <fills count="3">
    <fill>
      <patternFill patternType="none"/>
    </fill>
    <fill>
      <patternFill patternType="gray125"/>
    </fill>
    <fill>
      <patternFill patternType="solid">
        <fgColor rgb="FFF5F5F5"/>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30">
    <xf numFmtId="0" fontId="0" fillId="0" borderId="0" xfId="0"/>
    <xf numFmtId="0" fontId="0" fillId="0" borderId="0" xfId="0" applyAlignment="1">
      <alignment horizontal="left"/>
    </xf>
    <xf numFmtId="44" fontId="0" fillId="0" borderId="0" xfId="0" applyNumberFormat="1"/>
    <xf numFmtId="1" fontId="0" fillId="0" borderId="0" xfId="0" applyNumberFormat="1"/>
    <xf numFmtId="2" fontId="0" fillId="0" borderId="0" xfId="0" applyNumberFormat="1"/>
    <xf numFmtId="49" fontId="0" fillId="0" borderId="0" xfId="0" applyNumberFormat="1"/>
    <xf numFmtId="49" fontId="1" fillId="0" borderId="0" xfId="0" applyNumberFormat="1" applyFont="1"/>
    <xf numFmtId="1" fontId="1" fillId="0" borderId="0" xfId="0" applyNumberFormat="1" applyFont="1"/>
    <xf numFmtId="44" fontId="1" fillId="0" borderId="0" xfId="0" applyNumberFormat="1" applyFont="1"/>
    <xf numFmtId="2" fontId="1" fillId="0" borderId="0" xfId="0" applyNumberFormat="1" applyFont="1"/>
    <xf numFmtId="0" fontId="1" fillId="0" borderId="0" xfId="0" applyFont="1"/>
    <xf numFmtId="0" fontId="2" fillId="0" borderId="0" xfId="0" applyFont="1"/>
    <xf numFmtId="9" fontId="0" fillId="0" borderId="0" xfId="0" applyNumberFormat="1"/>
    <xf numFmtId="0" fontId="0" fillId="0" borderId="0" xfId="0" pivotButton="1"/>
    <xf numFmtId="164" fontId="0" fillId="0" borderId="0" xfId="0" applyNumberFormat="1"/>
    <xf numFmtId="0" fontId="6" fillId="0" borderId="0" xfId="0" applyFont="1"/>
    <xf numFmtId="0" fontId="7" fillId="0" borderId="0" xfId="0" applyFont="1"/>
    <xf numFmtId="0" fontId="8" fillId="0" borderId="0" xfId="0" applyFont="1"/>
    <xf numFmtId="44" fontId="5" fillId="2" borderId="0" xfId="0" applyNumberFormat="1" applyFont="1" applyFill="1"/>
    <xf numFmtId="0" fontId="0" fillId="2" borderId="0" xfId="0" applyFill="1"/>
    <xf numFmtId="9" fontId="5" fillId="2" borderId="0" xfId="1" applyFont="1" applyFill="1" applyAlignment="1"/>
    <xf numFmtId="1" fontId="5" fillId="2" borderId="0" xfId="0" applyNumberFormat="1" applyFont="1" applyFill="1"/>
    <xf numFmtId="44" fontId="5" fillId="2" borderId="0" xfId="0" applyNumberFormat="1" applyFont="1" applyFill="1" applyAlignment="1">
      <alignment vertical="center"/>
    </xf>
    <xf numFmtId="44" fontId="3" fillId="2" borderId="0" xfId="0" applyNumberFormat="1" applyFont="1" applyFill="1"/>
    <xf numFmtId="1" fontId="3" fillId="2" borderId="0" xfId="0" applyNumberFormat="1" applyFont="1" applyFill="1"/>
    <xf numFmtId="9" fontId="9" fillId="2" borderId="0" xfId="1" applyFont="1" applyFill="1" applyAlignment="1">
      <alignment horizontal="center"/>
    </xf>
    <xf numFmtId="1" fontId="9" fillId="2" borderId="0" xfId="0" applyNumberFormat="1" applyFont="1" applyFill="1" applyAlignment="1">
      <alignment horizontal="center"/>
    </xf>
    <xf numFmtId="164" fontId="9" fillId="2" borderId="0" xfId="0" applyNumberFormat="1" applyFont="1" applyFill="1" applyAlignment="1">
      <alignment horizontal="center"/>
    </xf>
    <xf numFmtId="10" fontId="3" fillId="2" borderId="0" xfId="0" applyNumberFormat="1" applyFont="1" applyFill="1" applyAlignment="1">
      <alignment horizontal="center"/>
    </xf>
    <xf numFmtId="0" fontId="10" fillId="0" borderId="0" xfId="0" applyFont="1"/>
  </cellXfs>
  <cellStyles count="2">
    <cellStyle name="Normal" xfId="0" builtinId="0"/>
    <cellStyle name="Percent" xfId="1" builtinId="5"/>
  </cellStyles>
  <dxfs count="37">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0" formatCode="@"/>
    </dxf>
    <dxf>
      <numFmt numFmtId="30" formatCode="@"/>
    </dxf>
    <dxf>
      <numFmt numFmtId="2" formatCode="0.00"/>
    </dxf>
    <dxf>
      <numFmt numFmtId="30" formatCode="@"/>
    </dxf>
    <dxf>
      <numFmt numFmtId="34" formatCode="_(&quot;$&quot;* #,##0.00_);_(&quot;$&quot;* \(#,##0.00\);_(&quot;$&quot;* &quot;-&quot;??_);_(@_)"/>
    </dxf>
    <dxf>
      <numFmt numFmtId="1" formatCode="0"/>
    </dxf>
    <dxf>
      <numFmt numFmtId="1" formatCode="0"/>
    </dxf>
    <dxf>
      <numFmt numFmtId="1" formatCode="0"/>
    </dxf>
    <dxf>
      <numFmt numFmtId="30" formatCode="@"/>
    </dxf>
    <dxf>
      <numFmt numFmtId="30" formatCode="@"/>
    </dxf>
    <dxf>
      <numFmt numFmtId="34" formatCode="_(&quot;$&quot;* #,##0.00_);_(&quot;$&quot;* \(#,##0.00\);_(&quot;$&quot;* &quot;-&quot;??_);_(@_)"/>
    </dxf>
    <dxf>
      <numFmt numFmtId="30" formatCode="@"/>
    </dxf>
    <dxf>
      <numFmt numFmtId="1" formatCode="0"/>
    </dxf>
    <dxf>
      <numFmt numFmtId="1" formatCode="0"/>
    </dxf>
    <dxf>
      <numFmt numFmtId="1" formatCode="0"/>
    </dxf>
    <dxf>
      <numFmt numFmtId="1" formatCode="0"/>
    </dxf>
    <dxf>
      <numFmt numFmtId="30" formatCode="@"/>
    </dxf>
    <dxf>
      <numFmt numFmtId="34" formatCode="_(&quot;$&quot;* #,##0.00_);_(&quot;$&quot;* \(#,##0.00\);_(&quot;$&quot;* &quot;-&quot;??_);_(@_)"/>
    </dxf>
    <dxf>
      <numFmt numFmtId="1" formatCode="0"/>
    </dxf>
    <dxf>
      <numFmt numFmtId="1" formatCode="0"/>
    </dxf>
    <dxf>
      <numFmt numFmtId="34" formatCode="_(&quot;$&quot;* #,##0.00_);_(&quot;$&quot;* \(#,##0.00\);_(&quot;$&quot;* &quot;-&quot;??_);_(@_)"/>
    </dxf>
    <dxf>
      <numFmt numFmtId="30" formatCode="@"/>
    </dxf>
    <dxf>
      <numFmt numFmtId="30" formatCode="@"/>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5D6A7"/>
      <color rgb="FF2E7D32"/>
      <color rgb="FF66BB6A"/>
      <color rgb="FF000000"/>
      <color rgb="FF616161"/>
      <color rgb="FFEAEAEA"/>
      <color rgb="FFDADADA"/>
      <color rgb="FF212121"/>
      <color rgb="FFFFFFFF"/>
      <color rgb="FF388E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212121"/>
                </a:solidFill>
                <a:latin typeface="Times New Roman" panose="02020603050405020304" pitchFamily="18" charset="0"/>
                <a:cs typeface="Times New Roman" panose="02020603050405020304" pitchFamily="18" charset="0"/>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'05_PIVOT_TABLES'!$M$2</c:f>
              <c:strCache>
                <c:ptCount val="1"/>
                <c:pt idx="0">
                  <c:v>Total</c:v>
                </c:pt>
              </c:strCache>
            </c:strRef>
          </c:tx>
          <c:spPr>
            <a:solidFill>
              <a:srgbClr val="2E7D32"/>
            </a:solidFill>
            <a:ln>
              <a:solidFill>
                <a:srgbClr val="2E7D3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'05_PIVOT_TABLES'!$L$3:$L$6</c:f>
              <c:strCache>
                <c:ptCount val="3"/>
                <c:pt idx="0">
                  <c:v>Skincare</c:v>
                </c:pt>
                <c:pt idx="1">
                  <c:v>Haircare</c:v>
                </c:pt>
                <c:pt idx="2">
                  <c:v>Cosmetics</c:v>
                </c:pt>
              </c:strCache>
            </c:strRef>
          </c:cat>
          <c:val>
            <c:numRef>
              <c:f>'05_PIVOT_TABLES'!$M$3:$M$6</c:f>
              <c:numCache>
                <c:formatCode>_("$"* #,##0_);_("$"* \(#,##0\);_("$"* "-"??_);_(@_)</c:formatCode>
                <c:ptCount val="3"/>
                <c:pt idx="0">
                  <c:v>241628.16213306302</c:v>
                </c:pt>
                <c:pt idx="1">
                  <c:v>174455.39060546222</c:v>
                </c:pt>
                <c:pt idx="2">
                  <c:v>161521.26599948306</c:v>
                </c:pt>
              </c:numCache>
            </c:numRef>
          </c:val>
          <c:extLst>
            <c:ext xmlns:c16="http://schemas.microsoft.com/office/drawing/2014/chart" uri="{C3380CC4-5D6E-409C-BE32-E72D297353CC}">
              <c16:uniqueId val="{00000000-78C6-4464-AD9F-9167F44A5BAC}"/>
            </c:ext>
          </c:extLst>
        </c:ser>
        <c:dLbls>
          <c:dLblPos val="outEnd"/>
          <c:showLegendKey val="0"/>
          <c:showVal val="1"/>
          <c:showCatName val="0"/>
          <c:showSerName val="0"/>
          <c:showPercent val="0"/>
          <c:showBubbleSize val="0"/>
        </c:dLbls>
        <c:gapWidth val="219"/>
        <c:axId val="1219793520"/>
        <c:axId val="1219794480"/>
      </c:barChart>
      <c:catAx>
        <c:axId val="1219793520"/>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219794480"/>
        <c:crosses val="autoZero"/>
        <c:auto val="1"/>
        <c:lblAlgn val="ctr"/>
        <c:lblOffset val="100"/>
        <c:noMultiLvlLbl val="0"/>
      </c:catAx>
      <c:valAx>
        <c:axId val="1219794480"/>
        <c:scaling>
          <c:orientation val="minMax"/>
          <c:max val="250000"/>
          <c:min val="100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219793520"/>
        <c:crosses val="autoZero"/>
        <c:crossBetween val="between"/>
        <c:majorUnit val="5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212121"/>
                </a:solidFill>
                <a:latin typeface="Times New Roman" panose="02020603050405020304" pitchFamily="18" charset="0"/>
                <a:cs typeface="Times New Roman" panose="02020603050405020304" pitchFamily="18" charset="0"/>
              </a:rPr>
              <a:t>Profit by Product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BB6A">
              <a:alpha val="45098"/>
            </a:srgbClr>
          </a:solidFill>
          <a:ln>
            <a:solidFill>
              <a:srgbClr val="66BB6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'05_PIVOT_TABLES'!$Q$2</c:f>
              <c:strCache>
                <c:ptCount val="1"/>
                <c:pt idx="0">
                  <c:v>Total</c:v>
                </c:pt>
              </c:strCache>
            </c:strRef>
          </c:tx>
          <c:spPr>
            <a:solidFill>
              <a:srgbClr val="66BB6A">
                <a:alpha val="45098"/>
              </a:srgbClr>
            </a:solidFill>
            <a:ln>
              <a:solidFill>
                <a:srgbClr val="66BB6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'05_PIVOT_TABLES'!$P$3:$P$6</c:f>
              <c:strCache>
                <c:ptCount val="3"/>
                <c:pt idx="0">
                  <c:v>Skincare</c:v>
                </c:pt>
                <c:pt idx="1">
                  <c:v>Haircare</c:v>
                </c:pt>
                <c:pt idx="2">
                  <c:v>Cosmetics</c:v>
                </c:pt>
              </c:strCache>
            </c:strRef>
          </c:cat>
          <c:val>
            <c:numRef>
              <c:f>'05_PIVOT_TABLES'!$Q$3:$Q$6</c:f>
              <c:numCache>
                <c:formatCode>_("$"* #,##0_);_("$"* \(#,##0\);_("$"* "-"??_);_(@_)</c:formatCode>
                <c:ptCount val="3"/>
                <c:pt idx="0">
                  <c:v>217242.73026034271</c:v>
                </c:pt>
                <c:pt idx="1">
                  <c:v>155278.09222967763</c:v>
                </c:pt>
                <c:pt idx="2">
                  <c:v>146877.93380082477</c:v>
                </c:pt>
              </c:numCache>
            </c:numRef>
          </c:val>
          <c:extLst>
            <c:ext xmlns:c16="http://schemas.microsoft.com/office/drawing/2014/chart" uri="{C3380CC4-5D6E-409C-BE32-E72D297353CC}">
              <c16:uniqueId val="{00000000-EAAA-40DE-A748-B97A71AFC3BD}"/>
            </c:ext>
          </c:extLst>
        </c:ser>
        <c:dLbls>
          <c:dLblPos val="outEnd"/>
          <c:showLegendKey val="0"/>
          <c:showVal val="1"/>
          <c:showCatName val="0"/>
          <c:showSerName val="0"/>
          <c:showPercent val="0"/>
          <c:showBubbleSize val="0"/>
        </c:dLbls>
        <c:gapWidth val="182"/>
        <c:axId val="1219802640"/>
        <c:axId val="1219811760"/>
      </c:barChart>
      <c:catAx>
        <c:axId val="1219802640"/>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219811760"/>
        <c:crosses val="autoZero"/>
        <c:auto val="1"/>
        <c:lblAlgn val="ctr"/>
        <c:lblOffset val="100"/>
        <c:noMultiLvlLbl val="0"/>
      </c:catAx>
      <c:valAx>
        <c:axId val="1219811760"/>
        <c:scaling>
          <c:orientation val="minMax"/>
          <c:min val="100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21980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[supply_chain_data.xlsx]05_PIVOT_TABLES!PivotTable11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212121"/>
                </a:solidFill>
                <a:latin typeface="Times New Roman" panose="02020603050405020304" pitchFamily="18" charset="0"/>
                <a:cs typeface="Times New Roman" panose="02020603050405020304" pitchFamily="18" charset="0"/>
              </a:rPr>
              <a:t>Cost vs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5D6A7"/>
          </a:solidFill>
          <a:ln>
            <a:solidFill>
              <a:srgbClr val="A5D6A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5D6A7"/>
          </a:solidFill>
          <a:ln>
            <a:solidFill>
              <a:srgbClr val="A5D6A7"/>
            </a:solidFill>
          </a:ln>
          <a:effectLst/>
        </c:spPr>
        <c:dLbl>
          <c:idx val="0"/>
          <c:layout>
            <c:manualLayout>
              <c:x val="2.4767801857585175E-2"/>
              <c:y val="4.76190476190484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5D6A7"/>
          </a:solidFill>
          <a:ln>
            <a:solidFill>
              <a:srgbClr val="A5D6A7"/>
            </a:solidFill>
          </a:ln>
          <a:effectLst/>
        </c:spPr>
        <c:dLbl>
          <c:idx val="0"/>
          <c:layout>
            <c:manualLayout>
              <c:x val="2.476780185758514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5D6A7"/>
          </a:solidFill>
          <a:ln>
            <a:solidFill>
              <a:srgbClr val="A5D6A7"/>
            </a:solidFill>
          </a:ln>
          <a:effectLst/>
        </c:spPr>
        <c:dLbl>
          <c:idx val="0"/>
          <c:layout>
            <c:manualLayout>
              <c:x val="3.30237358101135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'05_PIVOT_TABLES'!$V$2</c:f>
              <c:strCache>
                <c:ptCount val="1"/>
                <c:pt idx="0">
                  <c:v>Revenue</c:v>
                </c:pt>
              </c:strCache>
            </c:strRef>
          </c:tx>
          <c:spPr>
            <a:solidFill>
              <a:srgbClr val="2E7D32"/>
            </a:solidFill>
            <a:ln>
              <a:solidFill>
                <a:srgbClr val="2E7D3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'05_PIVOT_TABLES'!$U$3:$U$6</c:f>
              <c:strCache>
                <c:ptCount val="3"/>
                <c:pt idx="0">
                  <c:v>Skincare</c:v>
                </c:pt>
                <c:pt idx="1">
                  <c:v>Haircare</c:v>
                </c:pt>
                <c:pt idx="2">
                  <c:v>Cosmetics</c:v>
                </c:pt>
              </c:strCache>
            </c:strRef>
          </c:cat>
          <c:val>
            <c:numRef>
              <c:f>'05_PIVOT_TABLES'!$V$3:$V$6</c:f>
              <c:numCache>
                <c:formatCode>_("$"* #,##0_);_("$"* \(#,##0\);_("$"* "-"??_);_(@_)</c:formatCode>
                <c:ptCount val="3"/>
                <c:pt idx="0">
                  <c:v>241628.16213306302</c:v>
                </c:pt>
                <c:pt idx="1">
                  <c:v>174455.39060546222</c:v>
                </c:pt>
                <c:pt idx="2">
                  <c:v>161521.26599948306</c:v>
                </c:pt>
              </c:numCache>
            </c:numRef>
          </c:val>
          <c:extLst>
            <c:ext xmlns:c16="http://schemas.microsoft.com/office/drawing/2014/chart" uri="{C3380CC4-5D6E-409C-BE32-E72D297353CC}">
              <c16:uniqueId val="{00000000-BAC6-4A76-943D-1207164AC7C6}"/>
            </c:ext>
          </c:extLst>
        </c:ser>
        <c:ser>
          <c:idx val="1"/>
          <c:order val="1"/>
          <c:tx>
            <c:strRef>
              <c:f>'05_PIVOT_TABLES'!$W$2</c:f>
              <c:strCache>
                <c:ptCount val="1"/>
                <c:pt idx="0">
                  <c:v>Total Cost</c:v>
                </c:pt>
              </c:strCache>
            </c:strRef>
          </c:tx>
          <c:spPr>
            <a:solidFill>
              <a:srgbClr val="A5D6A7"/>
            </a:solidFill>
            <a:ln>
              <a:solidFill>
                <a:srgbClr val="A5D6A7"/>
              </a:solidFill>
            </a:ln>
            <a:effectLst/>
          </c:spPr>
          <c:invertIfNegative val="0"/>
          <c:dLbls>
            <c:dLbl>
              <c:idx val="0"/>
              <c:layout>
                <c:manualLayout>
                  <c:x val="2.4767801857585175E-2"/>
                  <c:y val="4.76190476190484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F1-4C44-B5F9-8D9E6C9EA03A}"/>
                </c:ext>
              </c:extLst>
            </c:dLbl>
            <c:dLbl>
              <c:idx val="1"/>
              <c:layout>
                <c:manualLayout>
                  <c:x val="2.476780185758514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F1-4C44-B5F9-8D9E6C9EA03A}"/>
                </c:ext>
              </c:extLst>
            </c:dLbl>
            <c:dLbl>
              <c:idx val="2"/>
              <c:layout>
                <c:manualLayout>
                  <c:x val="3.302373581011351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F1-4C44-B5F9-8D9E6C9EA0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'05_PIVOT_TABLES'!$U$3:$U$6</c:f>
              <c:strCache>
                <c:ptCount val="3"/>
                <c:pt idx="0">
                  <c:v>Skincare</c:v>
                </c:pt>
                <c:pt idx="1">
                  <c:v>Haircare</c:v>
                </c:pt>
                <c:pt idx="2">
                  <c:v>Cosmetics</c:v>
                </c:pt>
              </c:strCache>
            </c:strRef>
          </c:cat>
          <c:val>
            <c:numRef>
              <c:f>'05_PIVOT_TABLES'!$W$3:$W$6</c:f>
              <c:numCache>
                <c:formatCode>_("$"* #,##0_);_("$"* \(#,##0\);_("$"* "-"??_);_(@_)</c:formatCode>
                <c:ptCount val="3"/>
                <c:pt idx="0">
                  <c:v>24385.431872720292</c:v>
                </c:pt>
                <c:pt idx="1">
                  <c:v>19177.298375784489</c:v>
                </c:pt>
                <c:pt idx="2">
                  <c:v>14643.332198658225</c:v>
                </c:pt>
              </c:numCache>
            </c:numRef>
          </c:val>
          <c:extLst>
            <c:ext xmlns:c16="http://schemas.microsoft.com/office/drawing/2014/chart" uri="{C3380CC4-5D6E-409C-BE32-E72D297353CC}">
              <c16:uniqueId val="{00000001-BAC6-4A76-943D-1207164AC7C6}"/>
            </c:ext>
          </c:extLst>
        </c:ser>
        <c:dLbls>
          <c:dLblPos val="outEnd"/>
          <c:showLegendKey val="0"/>
          <c:showVal val="1"/>
          <c:showCatName val="0"/>
          <c:showSerName val="0"/>
          <c:showPercent val="0"/>
          <c:showBubbleSize val="0"/>
        </c:dLbls>
        <c:gapWidth val="219"/>
        <c:overlap val="-27"/>
        <c:axId val="943736592"/>
        <c:axId val="748957888"/>
      </c:barChart>
      <c:catAx>
        <c:axId val="943736592"/>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748957888"/>
        <c:crosses val="autoZero"/>
        <c:auto val="1"/>
        <c:lblAlgn val="ctr"/>
        <c:lblOffset val="100"/>
        <c:noMultiLvlLbl val="0"/>
      </c:catAx>
      <c:valAx>
        <c:axId val="74895788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94373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212121"/>
                </a:solidFill>
                <a:latin typeface="Times New Roman" panose="02020603050405020304" pitchFamily="18" charset="0"/>
                <a:cs typeface="Times New Roman" panose="02020603050405020304" pitchFamily="18" charset="0"/>
              </a:rPr>
              <a:t>Profit Margin by Product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BB6A"/>
          </a:solidFill>
          <a:ln>
            <a:solidFill>
              <a:srgbClr val="66BB6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'05_PIVOT_TABLES'!$AB$2</c:f>
              <c:strCache>
                <c:ptCount val="1"/>
                <c:pt idx="0">
                  <c:v>Total</c:v>
                </c:pt>
              </c:strCache>
            </c:strRef>
          </c:tx>
          <c:spPr>
            <a:solidFill>
              <a:srgbClr val="66BB6A"/>
            </a:solidFill>
            <a:ln>
              <a:solidFill>
                <a:srgbClr val="66BB6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'05_PIVOT_TABLES'!$AA$3:$AA$6</c:f>
              <c:strCache>
                <c:ptCount val="3"/>
                <c:pt idx="0">
                  <c:v>Cosmetics</c:v>
                </c:pt>
                <c:pt idx="1">
                  <c:v>Skincare</c:v>
                </c:pt>
                <c:pt idx="2">
                  <c:v>Haircare</c:v>
                </c:pt>
              </c:strCache>
            </c:strRef>
          </c:cat>
          <c:val>
            <c:numRef>
              <c:f>'05_PIVOT_TABLES'!$AB$3:$AB$6</c:f>
              <c:numCache>
                <c:formatCode>0%</c:formatCode>
                <c:ptCount val="3"/>
                <c:pt idx="0">
                  <c:v>0.87262752749379324</c:v>
                </c:pt>
                <c:pt idx="1">
                  <c:v>0.85979637752863736</c:v>
                </c:pt>
                <c:pt idx="2">
                  <c:v>0.85254518659437639</c:v>
                </c:pt>
              </c:numCache>
            </c:numRef>
          </c:val>
          <c:extLst>
            <c:ext xmlns:c16="http://schemas.microsoft.com/office/drawing/2014/chart" uri="{C3380CC4-5D6E-409C-BE32-E72D297353CC}">
              <c16:uniqueId val="{00000000-A3E9-4418-BBB1-7936F6F3D522}"/>
            </c:ext>
          </c:extLst>
        </c:ser>
        <c:dLbls>
          <c:dLblPos val="outEnd"/>
          <c:showLegendKey val="0"/>
          <c:showVal val="1"/>
          <c:showCatName val="0"/>
          <c:showSerName val="0"/>
          <c:showPercent val="0"/>
          <c:showBubbleSize val="0"/>
        </c:dLbls>
        <c:gapWidth val="219"/>
        <c:overlap val="-27"/>
        <c:axId val="943734192"/>
        <c:axId val="1216285328"/>
      </c:barChart>
      <c:catAx>
        <c:axId val="943734192"/>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216285328"/>
        <c:crosses val="autoZero"/>
        <c:auto val="1"/>
        <c:lblAlgn val="ctr"/>
        <c:lblOffset val="100"/>
        <c:noMultiLvlLbl val="0"/>
      </c:catAx>
      <c:valAx>
        <c:axId val="1216285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94373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212121"/>
                </a:solidFill>
                <a:latin typeface="Times New Roman" panose="02020603050405020304" pitchFamily="18" charset="0"/>
                <a:cs typeface="Times New Roman" panose="02020603050405020304" pitchFamily="18" charset="0"/>
              </a:rPr>
              <a:t>Top 10 Revenue-Generating SKUs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387883946939"/>
          <c:y val="0.18903944298629338"/>
          <c:w val="0.64211569837554083"/>
          <c:h val="0.70356116943715374"/>
        </c:manualLayout>
      </c:layout>
      <c:barChart>
        <c:barDir val="bar"/>
        <c:grouping val="clustered"/>
        <c:varyColors val="0"/>
        <c:ser>
          <c:idx val="0"/>
          <c:order val="0"/>
          <c:tx>
            <c:strRef>
              <c:f>'05_PIVOT_TABLES'!$AF$2</c:f>
              <c:strCache>
                <c:ptCount val="1"/>
                <c:pt idx="0">
                  <c:v>Total</c:v>
                </c:pt>
              </c:strCache>
            </c:strRef>
          </c:tx>
          <c:spPr>
            <a:solidFill>
              <a:srgbClr val="2E7D32"/>
            </a:solidFill>
            <a:ln>
              <a:solidFill>
                <a:srgbClr val="2E7D3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'05_PIVOT_TABLES'!$AE$3:$AE$13</c:f>
              <c:strCache>
                <c:ptCount val="10"/>
                <c:pt idx="0">
                  <c:v>SKU18</c:v>
                </c:pt>
                <c:pt idx="1">
                  <c:v>SKU52</c:v>
                </c:pt>
                <c:pt idx="2">
                  <c:v>SKU88</c:v>
                </c:pt>
                <c:pt idx="3">
                  <c:v>SKU67</c:v>
                </c:pt>
                <c:pt idx="4">
                  <c:v>SKU32</c:v>
                </c:pt>
                <c:pt idx="5">
                  <c:v>SKU2</c:v>
                </c:pt>
                <c:pt idx="6">
                  <c:v>SKU90</c:v>
                </c:pt>
                <c:pt idx="7">
                  <c:v>SKU31</c:v>
                </c:pt>
                <c:pt idx="8">
                  <c:v>SKU38</c:v>
                </c:pt>
                <c:pt idx="9">
                  <c:v>SKU51</c:v>
                </c:pt>
              </c:strCache>
            </c:strRef>
          </c:cat>
          <c:val>
            <c:numRef>
              <c:f>'05_PIVOT_TABLES'!$AF$3:$AF$13</c:f>
              <c:numCache>
                <c:formatCode>_("$"* #,##0_);_("$"* \(#,##0\);_("$"* "-"??_);_(@_)</c:formatCode>
                <c:ptCount val="10"/>
                <c:pt idx="0">
                  <c:v>9364.6735050761708</c:v>
                </c:pt>
                <c:pt idx="1">
                  <c:v>9435.7626089121295</c:v>
                </c:pt>
                <c:pt idx="2">
                  <c:v>9444.7420330629793</c:v>
                </c:pt>
                <c:pt idx="3">
                  <c:v>9473.7980325083299</c:v>
                </c:pt>
                <c:pt idx="4">
                  <c:v>9571.5504873278096</c:v>
                </c:pt>
                <c:pt idx="5">
                  <c:v>9577.7496258687297</c:v>
                </c:pt>
                <c:pt idx="6">
                  <c:v>9592.6335702803099</c:v>
                </c:pt>
                <c:pt idx="7">
                  <c:v>9655.1351027193905</c:v>
                </c:pt>
                <c:pt idx="8">
                  <c:v>9692.3180402184298</c:v>
                </c:pt>
                <c:pt idx="9">
                  <c:v>9866.4654579796897</c:v>
                </c:pt>
              </c:numCache>
            </c:numRef>
          </c:val>
          <c:extLst>
            <c:ext xmlns:c16="http://schemas.microsoft.com/office/drawing/2014/chart" uri="{C3380CC4-5D6E-409C-BE32-E72D297353CC}">
              <c16:uniqueId val="{00000000-71DE-4761-9B27-DDBD5083C2CB}"/>
            </c:ext>
          </c:extLst>
        </c:ser>
        <c:dLbls>
          <c:dLblPos val="outEnd"/>
          <c:showLegendKey val="0"/>
          <c:showVal val="1"/>
          <c:showCatName val="0"/>
          <c:showSerName val="0"/>
          <c:showPercent val="0"/>
          <c:showBubbleSize val="0"/>
        </c:dLbls>
        <c:gapWidth val="182"/>
        <c:axId val="1078031648"/>
        <c:axId val="1078026848"/>
      </c:barChart>
      <c:catAx>
        <c:axId val="1078031648"/>
        <c:scaling>
          <c:orientation val="minMax"/>
        </c:scaling>
        <c:delete val="0"/>
        <c:axPos val="l"/>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078026848"/>
        <c:crosses val="autoZero"/>
        <c:auto val="1"/>
        <c:lblAlgn val="ctr"/>
        <c:lblOffset val="100"/>
        <c:noMultiLvlLbl val="0"/>
      </c:catAx>
      <c:valAx>
        <c:axId val="1078026848"/>
        <c:scaling>
          <c:orientation val="minMax"/>
          <c:min val="9200"/>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03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212121"/>
                </a:solidFill>
                <a:latin typeface="Times New Roman" panose="02020603050405020304" pitchFamily="18" charset="0"/>
                <a:cs typeface="Times New Roman" panose="02020603050405020304" pitchFamily="18" charset="0"/>
              </a:rPr>
              <a:t>Top 10 SKUs by Inventory Levels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'05_PIVOT_TABLES'!$AJ$2</c:f>
              <c:strCache>
                <c:ptCount val="1"/>
                <c:pt idx="0">
                  <c:v>Total</c:v>
                </c:pt>
              </c:strCache>
            </c:strRef>
          </c:tx>
          <c:spPr>
            <a:solidFill>
              <a:srgbClr val="2E7D32"/>
            </a:solidFill>
            <a:ln>
              <a:solidFill>
                <a:srgbClr val="2E7D3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'05_PIVOT_TABLES'!$AI$3:$AI$14</c:f>
              <c:strCache>
                <c:ptCount val="11"/>
                <c:pt idx="0">
                  <c:v>SKU45</c:v>
                </c:pt>
                <c:pt idx="1">
                  <c:v>SKU7</c:v>
                </c:pt>
                <c:pt idx="2">
                  <c:v>SKU69</c:v>
                </c:pt>
                <c:pt idx="3">
                  <c:v>SKU53</c:v>
                </c:pt>
                <c:pt idx="4">
                  <c:v>SKU77</c:v>
                </c:pt>
                <c:pt idx="5">
                  <c:v>SKU55</c:v>
                </c:pt>
                <c:pt idx="6">
                  <c:v>SKU49</c:v>
                </c:pt>
                <c:pt idx="7">
                  <c:v>SKU91</c:v>
                </c:pt>
                <c:pt idx="8">
                  <c:v>SKU59</c:v>
                </c:pt>
                <c:pt idx="9">
                  <c:v>SKU12</c:v>
                </c:pt>
                <c:pt idx="10">
                  <c:v>SKU51</c:v>
                </c:pt>
              </c:strCache>
            </c:strRef>
          </c:cat>
          <c:val>
            <c:numRef>
              <c:f>'05_PIVOT_TABLES'!$AJ$3:$AJ$14</c:f>
              <c:numCache>
                <c:formatCode>0</c:formatCode>
                <c:ptCount val="11"/>
                <c:pt idx="0">
                  <c:v>93</c:v>
                </c:pt>
                <c:pt idx="1">
                  <c:v>93</c:v>
                </c:pt>
                <c:pt idx="2">
                  <c:v>95</c:v>
                </c:pt>
                <c:pt idx="3">
                  <c:v>96</c:v>
                </c:pt>
                <c:pt idx="4">
                  <c:v>96</c:v>
                </c:pt>
                <c:pt idx="5">
                  <c:v>97</c:v>
                </c:pt>
                <c:pt idx="6">
                  <c:v>97</c:v>
                </c:pt>
                <c:pt idx="7">
                  <c:v>98</c:v>
                </c:pt>
                <c:pt idx="8">
                  <c:v>100</c:v>
                </c:pt>
                <c:pt idx="9">
                  <c:v>100</c:v>
                </c:pt>
                <c:pt idx="10">
                  <c:v>100</c:v>
                </c:pt>
              </c:numCache>
            </c:numRef>
          </c:val>
          <c:extLst>
            <c:ext xmlns:c16="http://schemas.microsoft.com/office/drawing/2014/chart" uri="{C3380CC4-5D6E-409C-BE32-E72D297353CC}">
              <c16:uniqueId val="{00000000-6F91-4E49-8B54-31B8558C8B36}"/>
            </c:ext>
          </c:extLst>
        </c:ser>
        <c:dLbls>
          <c:dLblPos val="outEnd"/>
          <c:showLegendKey val="0"/>
          <c:showVal val="1"/>
          <c:showCatName val="0"/>
          <c:showSerName val="0"/>
          <c:showPercent val="0"/>
          <c:showBubbleSize val="0"/>
        </c:dLbls>
        <c:gapWidth val="182"/>
        <c:axId val="1380436400"/>
        <c:axId val="1380430640"/>
      </c:barChart>
      <c:catAx>
        <c:axId val="1380436400"/>
        <c:scaling>
          <c:orientation val="minMax"/>
        </c:scaling>
        <c:delete val="0"/>
        <c:axPos val="l"/>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380430640"/>
        <c:crosses val="autoZero"/>
        <c:auto val="1"/>
        <c:lblAlgn val="ctr"/>
        <c:lblOffset val="100"/>
        <c:noMultiLvlLbl val="0"/>
      </c:catAx>
      <c:valAx>
        <c:axId val="13804306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38043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212121"/>
                </a:solidFill>
                <a:latin typeface="Times New Roman" panose="02020603050405020304" pitchFamily="18" charset="0"/>
                <a:cs typeface="Times New Roman" panose="02020603050405020304" pitchFamily="18" charset="0"/>
              </a:rPr>
              <a:t>Average Defect Rates by Transportation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'05_PIVOT_TABLES'!$AN$2:$AN$3</c:f>
              <c:strCache>
                <c:ptCount val="1"/>
                <c:pt idx="0">
                  <c:v>Cosmetics</c:v>
                </c:pt>
              </c:strCache>
            </c:strRef>
          </c:tx>
          <c:spPr>
            <a:solidFill>
              <a:schemeClr val="accent2"/>
            </a:solidFill>
            <a:ln>
              <a:solidFill>
                <a:schemeClr val="accent2"/>
              </a:solidFill>
            </a:ln>
            <a:effectLst/>
          </c:spPr>
          <c:invertIfNegative val="0"/>
          <c:cat>
            <c:strRef>
              <c:f>'05_PIVOT_TABLES'!$AM$4:$AM$8</c:f>
              <c:strCache>
                <c:ptCount val="4"/>
                <c:pt idx="0">
                  <c:v>Air</c:v>
                </c:pt>
                <c:pt idx="1">
                  <c:v>Rail</c:v>
                </c:pt>
                <c:pt idx="2">
                  <c:v>Road</c:v>
                </c:pt>
                <c:pt idx="3">
                  <c:v>Sea</c:v>
                </c:pt>
              </c:strCache>
            </c:strRef>
          </c:cat>
          <c:val>
            <c:numRef>
              <c:f>'05_PIVOT_TABLES'!$AN$4:$AN$8</c:f>
              <c:numCache>
                <c:formatCode>0.00</c:formatCode>
                <c:ptCount val="4"/>
                <c:pt idx="0">
                  <c:v>0.39938126329463858</c:v>
                </c:pt>
                <c:pt idx="1">
                  <c:v>2.158841021839244</c:v>
                </c:pt>
                <c:pt idx="2">
                  <c:v>2.7036749128426116</c:v>
                </c:pt>
                <c:pt idx="3">
                  <c:v>2.0421560742053551</c:v>
                </c:pt>
              </c:numCache>
            </c:numRef>
          </c:val>
          <c:extLst>
            <c:ext xmlns:c16="http://schemas.microsoft.com/office/drawing/2014/chart" uri="{C3380CC4-5D6E-409C-BE32-E72D297353CC}">
              <c16:uniqueId val="{00000000-6D91-445B-BE1D-1540229604C6}"/>
            </c:ext>
          </c:extLst>
        </c:ser>
        <c:ser>
          <c:idx val="1"/>
          <c:order val="1"/>
          <c:tx>
            <c:strRef>
              <c:f>'05_PIVOT_TABLES'!$AO$2:$AO$3</c:f>
              <c:strCache>
                <c:ptCount val="1"/>
                <c:pt idx="0">
                  <c:v>Haircare</c:v>
                </c:pt>
              </c:strCache>
            </c:strRef>
          </c:tx>
          <c:spPr>
            <a:solidFill>
              <a:schemeClr val="bg2">
                <a:lumMod val="75000"/>
              </a:schemeClr>
            </a:solidFill>
            <a:ln>
              <a:solidFill>
                <a:schemeClr val="bg2">
                  <a:lumMod val="75000"/>
                </a:schemeClr>
              </a:solidFill>
            </a:ln>
            <a:effectLst/>
          </c:spPr>
          <c:invertIfNegative val="0"/>
          <c:cat>
            <c:strRef>
              <c:f>'05_PIVOT_TABLES'!$AM$4:$AM$8</c:f>
              <c:strCache>
                <c:ptCount val="4"/>
                <c:pt idx="0">
                  <c:v>Air</c:v>
                </c:pt>
                <c:pt idx="1">
                  <c:v>Rail</c:v>
                </c:pt>
                <c:pt idx="2">
                  <c:v>Road</c:v>
                </c:pt>
                <c:pt idx="3">
                  <c:v>Sea</c:v>
                </c:pt>
              </c:strCache>
            </c:strRef>
          </c:cat>
          <c:val>
            <c:numRef>
              <c:f>'05_PIVOT_TABLES'!$AO$4:$AO$8</c:f>
              <c:numCache>
                <c:formatCode>0.00</c:formatCode>
                <c:ptCount val="4"/>
                <c:pt idx="0">
                  <c:v>2.9247087934532416</c:v>
                </c:pt>
                <c:pt idx="1">
                  <c:v>1.9593179653067767</c:v>
                </c:pt>
                <c:pt idx="2">
                  <c:v>2.2387315556923384</c:v>
                </c:pt>
                <c:pt idx="3">
                  <c:v>3.6428694726088398</c:v>
                </c:pt>
              </c:numCache>
            </c:numRef>
          </c:val>
          <c:extLst>
            <c:ext xmlns:c16="http://schemas.microsoft.com/office/drawing/2014/chart" uri="{C3380CC4-5D6E-409C-BE32-E72D297353CC}">
              <c16:uniqueId val="{00000001-6D91-445B-BE1D-1540229604C6}"/>
            </c:ext>
          </c:extLst>
        </c:ser>
        <c:ser>
          <c:idx val="2"/>
          <c:order val="2"/>
          <c:tx>
            <c:strRef>
              <c:f>'05_PIVOT_TABLES'!$AP$2:$AP$3</c:f>
              <c:strCache>
                <c:ptCount val="1"/>
                <c:pt idx="0">
                  <c:v>Skincare</c:v>
                </c:pt>
              </c:strCache>
            </c:strRef>
          </c:tx>
          <c:spPr>
            <a:solidFill>
              <a:srgbClr val="2E7D32"/>
            </a:solidFill>
            <a:ln>
              <a:solidFill>
                <a:srgbClr val="2E7D32"/>
              </a:solidFill>
            </a:ln>
            <a:effectLst/>
          </c:spPr>
          <c:invertIfNegative val="0"/>
          <c:cat>
            <c:strRef>
              <c:f>'05_PIVOT_TABLES'!$AM$4:$AM$8</c:f>
              <c:strCache>
                <c:ptCount val="4"/>
                <c:pt idx="0">
                  <c:v>Air</c:v>
                </c:pt>
                <c:pt idx="1">
                  <c:v>Rail</c:v>
                </c:pt>
                <c:pt idx="2">
                  <c:v>Road</c:v>
                </c:pt>
                <c:pt idx="3">
                  <c:v>Sea</c:v>
                </c:pt>
              </c:strCache>
            </c:strRef>
          </c:cat>
          <c:val>
            <c:numRef>
              <c:f>'05_PIVOT_TABLES'!$AP$4:$AP$8</c:f>
              <c:numCache>
                <c:formatCode>0.00</c:formatCode>
                <c:ptCount val="4"/>
                <c:pt idx="0">
                  <c:v>1.6944181172651134</c:v>
                </c:pt>
                <c:pt idx="1">
                  <c:v>2.8782267320882076</c:v>
                </c:pt>
                <c:pt idx="2">
                  <c:v>2.9927625004564233</c:v>
                </c:pt>
                <c:pt idx="3">
                  <c:v>1.790766808706902</c:v>
                </c:pt>
              </c:numCache>
            </c:numRef>
          </c:val>
          <c:extLst>
            <c:ext xmlns:c16="http://schemas.microsoft.com/office/drawing/2014/chart" uri="{C3380CC4-5D6E-409C-BE32-E72D297353CC}">
              <c16:uniqueId val="{00000002-6D91-445B-BE1D-1540229604C6}"/>
            </c:ext>
          </c:extLst>
        </c:ser>
        <c:dLbls>
          <c:showLegendKey val="0"/>
          <c:showVal val="0"/>
          <c:showCatName val="0"/>
          <c:showSerName val="0"/>
          <c:showPercent val="0"/>
          <c:showBubbleSize val="0"/>
        </c:dLbls>
        <c:gapWidth val="219"/>
        <c:overlap val="-27"/>
        <c:axId val="1500488864"/>
        <c:axId val="1500497504"/>
      </c:barChart>
      <c:catAx>
        <c:axId val="1500488864"/>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500497504"/>
        <c:crosses val="autoZero"/>
        <c:auto val="1"/>
        <c:lblAlgn val="ctr"/>
        <c:lblOffset val="100"/>
        <c:noMultiLvlLbl val="0"/>
      </c:catAx>
      <c:valAx>
        <c:axId val="15004975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500488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[supply_chain_data.xlsx]05_PIVOT_TABLES!PivotTable17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212121"/>
                </a:solidFill>
                <a:latin typeface="Times New Roman" panose="02020603050405020304" pitchFamily="18" charset="0"/>
                <a:cs typeface="Times New Roman" panose="02020603050405020304" pitchFamily="18" charset="0"/>
              </a:rPr>
              <a:t>Average Transportation  Cost by Route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5D6A7"/>
          </a:solidFill>
          <a:ln>
            <a:solidFill>
              <a:srgbClr val="A5D6A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'05_PIVOT_TABLES'!$AT$2</c:f>
              <c:strCache>
                <c:ptCount val="1"/>
                <c:pt idx="0">
                  <c:v>Total</c:v>
                </c:pt>
              </c:strCache>
            </c:strRef>
          </c:tx>
          <c:spPr>
            <a:solidFill>
              <a:srgbClr val="A5D6A7"/>
            </a:solidFill>
            <a:ln>
              <a:solidFill>
                <a:srgbClr val="A5D6A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'05_PIVOT_TABLES'!$AS$3:$AS$6</c:f>
              <c:strCache>
                <c:ptCount val="3"/>
                <c:pt idx="0">
                  <c:v>Route B</c:v>
                </c:pt>
                <c:pt idx="1">
                  <c:v>Route C</c:v>
                </c:pt>
                <c:pt idx="2">
                  <c:v>Route A</c:v>
                </c:pt>
              </c:strCache>
            </c:strRef>
          </c:cat>
          <c:val>
            <c:numRef>
              <c:f>'05_PIVOT_TABLES'!$AT$3:$AT$6</c:f>
              <c:numCache>
                <c:formatCode>_("$"* #,##0_);_("$"* \(#,##0\);_("$"* "-"??_);_(@_)</c:formatCode>
                <c:ptCount val="3"/>
                <c:pt idx="0">
                  <c:v>595.65902771895503</c:v>
                </c:pt>
                <c:pt idx="1">
                  <c:v>500.4709847929779</c:v>
                </c:pt>
                <c:pt idx="2">
                  <c:v>485.48312777565491</c:v>
                </c:pt>
              </c:numCache>
            </c:numRef>
          </c:val>
          <c:extLst>
            <c:ext xmlns:c16="http://schemas.microsoft.com/office/drawing/2014/chart" uri="{C3380CC4-5D6E-409C-BE32-E72D297353CC}">
              <c16:uniqueId val="{00000000-228C-4CA6-A378-B8F1386367E7}"/>
            </c:ext>
          </c:extLst>
        </c:ser>
        <c:dLbls>
          <c:dLblPos val="outEnd"/>
          <c:showLegendKey val="0"/>
          <c:showVal val="1"/>
          <c:showCatName val="0"/>
          <c:showSerName val="0"/>
          <c:showPercent val="0"/>
          <c:showBubbleSize val="0"/>
        </c:dLbls>
        <c:gapWidth val="182"/>
        <c:axId val="1569885024"/>
        <c:axId val="1569897504"/>
      </c:barChart>
      <c:catAx>
        <c:axId val="1569885024"/>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569897504"/>
        <c:crosses val="autoZero"/>
        <c:auto val="1"/>
        <c:lblAlgn val="ctr"/>
        <c:lblOffset val="100"/>
        <c:noMultiLvlLbl val="0"/>
      </c:catAx>
      <c:valAx>
        <c:axId val="1569897504"/>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56988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212121"/>
                </a:solidFill>
                <a:latin typeface="Times New Roman" panose="02020603050405020304" pitchFamily="18" charset="0"/>
                <a:cs typeface="Times New Roman" panose="02020603050405020304" pitchFamily="18" charset="0"/>
              </a:rPr>
              <a:t>Shipping Cost Distribution by Carrier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5D6A7"/>
          </a:solidFill>
          <a:ln>
            <a:solidFill>
              <a:srgbClr val="A5D6A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'05_PIVOT_TABLES'!$AX$2</c:f>
              <c:strCache>
                <c:ptCount val="1"/>
                <c:pt idx="0">
                  <c:v>Total</c:v>
                </c:pt>
              </c:strCache>
            </c:strRef>
          </c:tx>
          <c:spPr>
            <a:solidFill>
              <a:srgbClr val="A5D6A7"/>
            </a:solidFill>
            <a:ln>
              <a:solidFill>
                <a:srgbClr val="A5D6A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'05_PIVOT_TABLES'!$AW$3:$AW$6</c:f>
              <c:strCache>
                <c:ptCount val="3"/>
                <c:pt idx="0">
                  <c:v>Carrier B</c:v>
                </c:pt>
                <c:pt idx="1">
                  <c:v>Carrier C</c:v>
                </c:pt>
                <c:pt idx="2">
                  <c:v>Carrier A</c:v>
                </c:pt>
              </c:strCache>
            </c:strRef>
          </c:cat>
          <c:val>
            <c:numRef>
              <c:f>'05_PIVOT_TABLES'!$AX$3:$AX$6</c:f>
              <c:numCache>
                <c:formatCode>_("$"* #,##0_);_("$"* \(#,##0\);_("$"* "-"??_);_(@_)</c:formatCode>
                <c:ptCount val="3"/>
                <c:pt idx="0">
                  <c:v>236.8976196639353</c:v>
                </c:pt>
                <c:pt idx="1">
                  <c:v>162.37945693178756</c:v>
                </c:pt>
                <c:pt idx="2">
                  <c:v>155.53783060623547</c:v>
                </c:pt>
              </c:numCache>
            </c:numRef>
          </c:val>
          <c:extLst>
            <c:ext xmlns:c16="http://schemas.microsoft.com/office/drawing/2014/chart" uri="{C3380CC4-5D6E-409C-BE32-E72D297353CC}">
              <c16:uniqueId val="{00000000-0962-4F27-80DD-AF12D3848507}"/>
            </c:ext>
          </c:extLst>
        </c:ser>
        <c:dLbls>
          <c:dLblPos val="outEnd"/>
          <c:showLegendKey val="0"/>
          <c:showVal val="1"/>
          <c:showCatName val="0"/>
          <c:showSerName val="0"/>
          <c:showPercent val="0"/>
          <c:showBubbleSize val="0"/>
        </c:dLbls>
        <c:gapWidth val="219"/>
        <c:axId val="1500492224"/>
        <c:axId val="1500498464"/>
      </c:barChart>
      <c:catAx>
        <c:axId val="1500492224"/>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500498464"/>
        <c:crosses val="autoZero"/>
        <c:auto val="1"/>
        <c:lblAlgn val="ctr"/>
        <c:lblOffset val="100"/>
        <c:noMultiLvlLbl val="0"/>
      </c:catAx>
      <c:valAx>
        <c:axId val="1500498464"/>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16161"/>
                </a:solidFill>
                <a:latin typeface="+mn-lt"/>
                <a:ea typeface="+mn-ea"/>
                <a:cs typeface="+mn-cs"/>
              </a:defRPr>
            </a:pPr>
            <a:endParaRPr lang="en-US"/>
          </a:p>
        </c:txPr>
        <c:crossAx val="150049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12121"/>
                </a:solidFill>
                <a:latin typeface="Times New Roman" panose="02020603050405020304" pitchFamily="18" charset="0"/>
                <a:cs typeface="Times New Roman" panose="02020603050405020304" pitchFamily="18" charset="0"/>
              </a:rPr>
              <a:t>Top</a:t>
            </a:r>
            <a:r>
              <a:rPr lang="en-US" sz="1400" b="1" baseline="0">
                <a:solidFill>
                  <a:srgbClr val="212121"/>
                </a:solidFill>
                <a:latin typeface="Times New Roman" panose="02020603050405020304" pitchFamily="18" charset="0"/>
                <a:cs typeface="Times New Roman" panose="02020603050405020304" pitchFamily="18" charset="0"/>
              </a:rPr>
              <a:t> 10 Revenue-Generating SKUs </a:t>
            </a:r>
            <a:endParaRPr lang="en-US" sz="1400" b="1">
              <a:solidFill>
                <a:srgbClr val="212121"/>
              </a:solidFill>
              <a:latin typeface="Times New Roman" panose="02020603050405020304" pitchFamily="18" charset="0"/>
              <a:cs typeface="Times New Roman" panose="02020603050405020304" pitchFamily="18" charset="0"/>
            </a:endParaRPr>
          </a:p>
        </c:rich>
      </c:tx>
      <c:layout>
        <c:manualLayout>
          <c:xMode val="edge"/>
          <c:yMode val="edge"/>
          <c:x val="0.13073128478661081"/>
          <c:y val="1.54461379790127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7D32"/>
          </a:solidFill>
          <a:ln>
            <a:solidFill>
              <a:srgbClr val="2E7D32"/>
            </a:solidFill>
          </a:ln>
          <a:effectLst/>
        </c:spPr>
      </c:pivotFmt>
    </c:pivotFmts>
    <c:plotArea>
      <c:layout>
        <c:manualLayout>
          <c:layoutTarget val="inner"/>
          <c:xMode val="edge"/>
          <c:yMode val="edge"/>
          <c:x val="0.17757305336832896"/>
          <c:y val="0.15125919177458189"/>
          <c:w val="0.73076027996500437"/>
          <c:h val="0.76130260576932018"/>
        </c:manualLayout>
      </c:layout>
      <c:barChart>
        <c:barDir val="bar"/>
        <c:grouping val="clustered"/>
        <c:varyColors val="0"/>
        <c:ser>
          <c:idx val="0"/>
          <c:order val="0"/>
          <c:tx>
            <c:strRef>
              <c:f>'05_PIVOT_TABLES'!$AF$2</c:f>
              <c:strCache>
                <c:ptCount val="1"/>
                <c:pt idx="0">
                  <c:v>Total</c:v>
                </c:pt>
              </c:strCache>
            </c:strRef>
          </c:tx>
          <c:spPr>
            <a:solidFill>
              <a:srgbClr val="2E7D32"/>
            </a:solidFill>
            <a:ln>
              <a:solidFill>
                <a:srgbClr val="2E7D3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'05_PIVOT_TABLES'!$AE$3:$AE$13</c:f>
              <c:strCache>
                <c:ptCount val="10"/>
                <c:pt idx="0">
                  <c:v>SKU18</c:v>
                </c:pt>
                <c:pt idx="1">
                  <c:v>SKU52</c:v>
                </c:pt>
                <c:pt idx="2">
                  <c:v>SKU88</c:v>
                </c:pt>
                <c:pt idx="3">
                  <c:v>SKU67</c:v>
                </c:pt>
                <c:pt idx="4">
                  <c:v>SKU32</c:v>
                </c:pt>
                <c:pt idx="5">
                  <c:v>SKU2</c:v>
                </c:pt>
                <c:pt idx="6">
                  <c:v>SKU90</c:v>
                </c:pt>
                <c:pt idx="7">
                  <c:v>SKU31</c:v>
                </c:pt>
                <c:pt idx="8">
                  <c:v>SKU38</c:v>
                </c:pt>
                <c:pt idx="9">
                  <c:v>SKU51</c:v>
                </c:pt>
              </c:strCache>
            </c:strRef>
          </c:cat>
          <c:val>
            <c:numRef>
              <c:f>'05_PIVOT_TABLES'!$AF$3:$AF$13</c:f>
              <c:numCache>
                <c:formatCode>_("$"* #,##0_);_("$"* \(#,##0\);_("$"* "-"??_);_(@_)</c:formatCode>
                <c:ptCount val="10"/>
                <c:pt idx="0">
                  <c:v>9364.6735050761708</c:v>
                </c:pt>
                <c:pt idx="1">
                  <c:v>9435.7626089121295</c:v>
                </c:pt>
                <c:pt idx="2">
                  <c:v>9444.7420330629793</c:v>
                </c:pt>
                <c:pt idx="3">
                  <c:v>9473.7980325083299</c:v>
                </c:pt>
                <c:pt idx="4">
                  <c:v>9571.5504873278096</c:v>
                </c:pt>
                <c:pt idx="5">
                  <c:v>9577.7496258687297</c:v>
                </c:pt>
                <c:pt idx="6">
                  <c:v>9592.6335702803099</c:v>
                </c:pt>
                <c:pt idx="7">
                  <c:v>9655.1351027193905</c:v>
                </c:pt>
                <c:pt idx="8">
                  <c:v>9692.3180402184298</c:v>
                </c:pt>
                <c:pt idx="9">
                  <c:v>9866.4654579796897</c:v>
                </c:pt>
              </c:numCache>
            </c:numRef>
          </c:val>
          <c:extLst>
            <c:ext xmlns:c16="http://schemas.microsoft.com/office/drawing/2014/chart" uri="{C3380CC4-5D6E-409C-BE32-E72D297353CC}">
              <c16:uniqueId val="{00000000-E1E1-4731-8625-06D2C7F4722A}"/>
            </c:ext>
          </c:extLst>
        </c:ser>
        <c:dLbls>
          <c:dLblPos val="outEnd"/>
          <c:showLegendKey val="0"/>
          <c:showVal val="1"/>
          <c:showCatName val="0"/>
          <c:showSerName val="0"/>
          <c:showPercent val="0"/>
          <c:showBubbleSize val="0"/>
        </c:dLbls>
        <c:gapWidth val="182"/>
        <c:axId val="1078031648"/>
        <c:axId val="1078026848"/>
      </c:barChart>
      <c:catAx>
        <c:axId val="1078031648"/>
        <c:scaling>
          <c:orientation val="minMax"/>
        </c:scaling>
        <c:delete val="0"/>
        <c:axPos val="l"/>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10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078026848"/>
        <c:crosses val="autoZero"/>
        <c:auto val="1"/>
        <c:lblAlgn val="ctr"/>
        <c:lblOffset val="100"/>
        <c:noMultiLvlLbl val="0"/>
      </c:catAx>
      <c:valAx>
        <c:axId val="1078026848"/>
        <c:scaling>
          <c:orientation val="minMax"/>
          <c:min val="9200"/>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078031648"/>
        <c:crosses val="autoZero"/>
        <c:crossBetween val="between"/>
        <c:majorUnit val="2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solidFill>
        <a:srgbClr val="DADAD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12121"/>
                </a:solidFill>
                <a:latin typeface="Times New Roman" panose="02020603050405020304" pitchFamily="18" charset="0"/>
                <a:cs typeface="Times New Roman" panose="02020603050405020304" pitchFamily="18" charset="0"/>
              </a:rPr>
              <a:t>Revenue by Product</a:t>
            </a:r>
            <a:r>
              <a:rPr lang="en-US" sz="1400" b="1" baseline="0">
                <a:solidFill>
                  <a:srgbClr val="212121"/>
                </a:solidFill>
                <a:latin typeface="Times New Roman" panose="02020603050405020304" pitchFamily="18" charset="0"/>
                <a:cs typeface="Times New Roman" panose="02020603050405020304" pitchFamily="18" charset="0"/>
              </a:rPr>
              <a:t> Category</a:t>
            </a:r>
            <a:endParaRPr lang="en-US" sz="1400" b="1">
              <a:solidFill>
                <a:srgbClr val="212121"/>
              </a:solidFill>
              <a:latin typeface="Times New Roman" panose="02020603050405020304" pitchFamily="18" charset="0"/>
              <a:cs typeface="Times New Roman" panose="02020603050405020304" pitchFamily="18" charset="0"/>
            </a:endParaRPr>
          </a:p>
        </c:rich>
      </c:tx>
      <c:layout>
        <c:manualLayout>
          <c:xMode val="edge"/>
          <c:yMode val="edge"/>
          <c:x val="0.1690871175349656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2035790980673"/>
          <c:y val="0.23185730118754927"/>
          <c:w val="0.7997964209019327"/>
          <c:h val="0.66142372886992828"/>
        </c:manualLayout>
      </c:layout>
      <c:barChart>
        <c:barDir val="col"/>
        <c:grouping val="clustered"/>
        <c:varyColors val="0"/>
        <c:ser>
          <c:idx val="0"/>
          <c:order val="0"/>
          <c:tx>
            <c:strRef>
              <c:f>'05_PIVOT_TABLES'!$M$2</c:f>
              <c:strCache>
                <c:ptCount val="1"/>
                <c:pt idx="0">
                  <c:v>Total</c:v>
                </c:pt>
              </c:strCache>
            </c:strRef>
          </c:tx>
          <c:spPr>
            <a:solidFill>
              <a:srgbClr val="2E7D32"/>
            </a:solidFill>
            <a:ln>
              <a:solidFill>
                <a:srgbClr val="2E7D3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'05_PIVOT_TABLES'!$L$3:$L$6</c:f>
              <c:strCache>
                <c:ptCount val="3"/>
                <c:pt idx="0">
                  <c:v>Skincare</c:v>
                </c:pt>
                <c:pt idx="1">
                  <c:v>Haircare</c:v>
                </c:pt>
                <c:pt idx="2">
                  <c:v>Cosmetics</c:v>
                </c:pt>
              </c:strCache>
            </c:strRef>
          </c:cat>
          <c:val>
            <c:numRef>
              <c:f>'05_PIVOT_TABLES'!$M$3:$M$6</c:f>
              <c:numCache>
                <c:formatCode>_("$"* #,##0_);_("$"* \(#,##0\);_("$"* "-"??_);_(@_)</c:formatCode>
                <c:ptCount val="3"/>
                <c:pt idx="0">
                  <c:v>241628.16213306302</c:v>
                </c:pt>
                <c:pt idx="1">
                  <c:v>174455.39060546222</c:v>
                </c:pt>
                <c:pt idx="2">
                  <c:v>161521.26599948306</c:v>
                </c:pt>
              </c:numCache>
            </c:numRef>
          </c:val>
          <c:extLst>
            <c:ext xmlns:c16="http://schemas.microsoft.com/office/drawing/2014/chart" uri="{C3380CC4-5D6E-409C-BE32-E72D297353CC}">
              <c16:uniqueId val="{00000000-551B-431D-8A9F-65399A88F8D0}"/>
            </c:ext>
          </c:extLst>
        </c:ser>
        <c:dLbls>
          <c:dLblPos val="outEnd"/>
          <c:showLegendKey val="0"/>
          <c:showVal val="1"/>
          <c:showCatName val="0"/>
          <c:showSerName val="0"/>
          <c:showPercent val="0"/>
          <c:showBubbleSize val="0"/>
        </c:dLbls>
        <c:gapWidth val="219"/>
        <c:axId val="1219793520"/>
        <c:axId val="1219794480"/>
      </c:barChart>
      <c:catAx>
        <c:axId val="1219793520"/>
        <c:scaling>
          <c:orientation val="minMax"/>
        </c:scaling>
        <c:delete val="0"/>
        <c:axPos val="b"/>
        <c:numFmt formatCode="General" sourceLinked="1"/>
        <c:majorTickMark val="none"/>
        <c:minorTickMark val="none"/>
        <c:tickLblPos val="nextTo"/>
        <c:spPr>
          <a:noFill/>
          <a:ln w="9525" cap="flat" cmpd="sng" algn="ctr">
            <a:solidFill>
              <a:srgbClr val="EAEAEA">
                <a:alpha val="89804"/>
              </a:srgbClr>
            </a:solidFill>
            <a:round/>
          </a:ln>
          <a:effectLst/>
        </c:spPr>
        <c:txPr>
          <a:bodyPr rot="-60000000" spcFirstLastPara="1" vertOverflow="ellipsis" vert="horz" wrap="square" anchor="ctr" anchorCtr="1"/>
          <a:lstStyle/>
          <a:p>
            <a:pPr>
              <a:defRPr sz="11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219794480"/>
        <c:crosses val="autoZero"/>
        <c:auto val="1"/>
        <c:lblAlgn val="ctr"/>
        <c:lblOffset val="100"/>
        <c:noMultiLvlLbl val="0"/>
      </c:catAx>
      <c:valAx>
        <c:axId val="1219794480"/>
        <c:scaling>
          <c:orientation val="minMax"/>
          <c:max val="250000"/>
          <c:min val="150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219793520"/>
        <c:crosses val="autoZero"/>
        <c:crossBetween val="between"/>
        <c:majorUnit val="5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solidFill>
        <a:srgbClr val="DADAD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212121"/>
                </a:solidFill>
                <a:latin typeface="Times New Roman" panose="02020603050405020304" pitchFamily="18" charset="0"/>
                <a:cs typeface="Times New Roman" panose="02020603050405020304" pitchFamily="18" charset="0"/>
              </a:rPr>
              <a:t>Shipping Cost Distribution</a:t>
            </a:r>
            <a:r>
              <a:rPr lang="en-US" sz="1200" b="1" baseline="0">
                <a:solidFill>
                  <a:srgbClr val="212121"/>
                </a:solidFill>
                <a:latin typeface="Times New Roman" panose="02020603050405020304" pitchFamily="18" charset="0"/>
                <a:cs typeface="Times New Roman" panose="02020603050405020304" pitchFamily="18" charset="0"/>
              </a:rPr>
              <a:t> by </a:t>
            </a:r>
            <a:r>
              <a:rPr lang="en-US" sz="1200" b="1">
                <a:solidFill>
                  <a:srgbClr val="212121"/>
                </a:solidFill>
                <a:latin typeface="Times New Roman" panose="02020603050405020304" pitchFamily="18" charset="0"/>
                <a:cs typeface="Times New Roman" panose="02020603050405020304" pitchFamily="18" charset="0"/>
              </a:rPr>
              <a:t>Carrier</a:t>
            </a:r>
            <a:endParaRPr lang="en-US" sz="1200" b="1" baseline="0">
              <a:solidFill>
                <a:srgbClr val="212121"/>
              </a:solidFill>
              <a:latin typeface="Times New Roman" panose="02020603050405020304" pitchFamily="18" charset="0"/>
              <a:cs typeface="Times New Roman" panose="02020603050405020304" pitchFamily="18"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5D6A7"/>
          </a:solidFill>
          <a:ln>
            <a:solidFill>
              <a:srgbClr val="A5D6A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s>
    <c:plotArea>
      <c:layout>
        <c:manualLayout>
          <c:layoutTarget val="inner"/>
          <c:xMode val="edge"/>
          <c:yMode val="edge"/>
          <c:x val="0.17098458293008545"/>
          <c:y val="0.35425120537257843"/>
          <c:w val="0.77641486510926694"/>
          <c:h val="0.49171677832427541"/>
        </c:manualLayout>
      </c:layout>
      <c:barChart>
        <c:barDir val="col"/>
        <c:grouping val="clustered"/>
        <c:varyColors val="0"/>
        <c:ser>
          <c:idx val="0"/>
          <c:order val="0"/>
          <c:tx>
            <c:strRef>
              <c:f>'05_PIVOT_TABLES'!$AX$2</c:f>
              <c:strCache>
                <c:ptCount val="1"/>
                <c:pt idx="0">
                  <c:v>Total</c:v>
                </c:pt>
              </c:strCache>
            </c:strRef>
          </c:tx>
          <c:spPr>
            <a:solidFill>
              <a:srgbClr val="A5D6A7"/>
            </a:solidFill>
            <a:ln>
              <a:solidFill>
                <a:srgbClr val="A5D6A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'05_PIVOT_TABLES'!$AW$3:$AW$6</c:f>
              <c:strCache>
                <c:ptCount val="3"/>
                <c:pt idx="0">
                  <c:v>Carrier B</c:v>
                </c:pt>
                <c:pt idx="1">
                  <c:v>Carrier C</c:v>
                </c:pt>
                <c:pt idx="2">
                  <c:v>Carrier A</c:v>
                </c:pt>
              </c:strCache>
            </c:strRef>
          </c:cat>
          <c:val>
            <c:numRef>
              <c:f>'05_PIVOT_TABLES'!$AX$3:$AX$6</c:f>
              <c:numCache>
                <c:formatCode>_("$"* #,##0_);_("$"* \(#,##0\);_("$"* "-"??_);_(@_)</c:formatCode>
                <c:ptCount val="3"/>
                <c:pt idx="0">
                  <c:v>236.8976196639353</c:v>
                </c:pt>
                <c:pt idx="1">
                  <c:v>162.37945693178756</c:v>
                </c:pt>
                <c:pt idx="2">
                  <c:v>155.53783060623547</c:v>
                </c:pt>
              </c:numCache>
            </c:numRef>
          </c:val>
          <c:extLst>
            <c:ext xmlns:c16="http://schemas.microsoft.com/office/drawing/2014/chart" uri="{C3380CC4-5D6E-409C-BE32-E72D297353CC}">
              <c16:uniqueId val="{00000002-8425-4726-B0F9-95B79E0000FC}"/>
            </c:ext>
          </c:extLst>
        </c:ser>
        <c:dLbls>
          <c:dLblPos val="outEnd"/>
          <c:showLegendKey val="0"/>
          <c:showVal val="1"/>
          <c:showCatName val="0"/>
          <c:showSerName val="0"/>
          <c:showPercent val="0"/>
          <c:showBubbleSize val="0"/>
        </c:dLbls>
        <c:gapWidth val="219"/>
        <c:axId val="1500492224"/>
        <c:axId val="1500498464"/>
      </c:barChart>
      <c:catAx>
        <c:axId val="1500492224"/>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10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500498464"/>
        <c:crosses val="autoZero"/>
        <c:auto val="1"/>
        <c:lblAlgn val="ctr"/>
        <c:lblOffset val="100"/>
        <c:noMultiLvlLbl val="0"/>
      </c:catAx>
      <c:valAx>
        <c:axId val="1500498464"/>
        <c:scaling>
          <c:orientation val="minMax"/>
          <c:min val="1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500492224"/>
        <c:crosses val="autoZero"/>
        <c:crossBetween val="between"/>
      </c:valAx>
    </c:plotArea>
    <c:plotVisOnly val="1"/>
    <c:dispBlanksAs val="gap"/>
    <c:showDLblsOverMax val="0"/>
    <c:extLst/>
  </c:chart>
  <c:spPr>
    <a:solidFill>
      <a:srgbClr val="FFFFFF"/>
    </a:solidFill>
    <a:ln w="6350">
      <a:solidFill>
        <a:srgbClr val="DADADA"/>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[supply_chain_data.xlsx]05_PIVOT_TABLES!PivotTable17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12121"/>
                </a:solidFill>
                <a:latin typeface="Times New Roman" panose="02020603050405020304" pitchFamily="18" charset="0"/>
                <a:cs typeface="Times New Roman" panose="02020603050405020304" pitchFamily="18" charset="0"/>
              </a:rPr>
              <a:t>Average Transportation</a:t>
            </a:r>
            <a:r>
              <a:rPr lang="en-US" sz="1400" b="1" baseline="0">
                <a:solidFill>
                  <a:srgbClr val="212121"/>
                </a:solidFill>
                <a:latin typeface="Times New Roman" panose="02020603050405020304" pitchFamily="18" charset="0"/>
                <a:cs typeface="Times New Roman" panose="02020603050405020304" pitchFamily="18" charset="0"/>
              </a:rPr>
              <a:t>  Cost by Route</a:t>
            </a:r>
          </a:p>
        </c:rich>
      </c:tx>
      <c:layout>
        <c:manualLayout>
          <c:xMode val="edge"/>
          <c:yMode val="edge"/>
          <c:x val="0.1872851718588570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5D6A7"/>
          </a:solidFill>
          <a:ln>
            <a:solidFill>
              <a:srgbClr val="A5D6A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5D6A7"/>
          </a:solidFill>
          <a:ln>
            <a:solidFill>
              <a:srgbClr val="A5D6A7"/>
            </a:solidFill>
          </a:ln>
          <a:effectLst/>
        </c:spPr>
      </c:pivotFmt>
    </c:pivotFmts>
    <c:plotArea>
      <c:layout>
        <c:manualLayout>
          <c:layoutTarget val="inner"/>
          <c:xMode val="edge"/>
          <c:yMode val="edge"/>
          <c:x val="0.15337166013244161"/>
          <c:y val="0.30456140350877192"/>
          <c:w val="0.80060323526504795"/>
          <c:h val="0.52447907169498553"/>
        </c:manualLayout>
      </c:layout>
      <c:barChart>
        <c:barDir val="col"/>
        <c:grouping val="clustered"/>
        <c:varyColors val="0"/>
        <c:ser>
          <c:idx val="0"/>
          <c:order val="0"/>
          <c:tx>
            <c:strRef>
              <c:f>'05_PIVOT_TABLES'!$AT$2</c:f>
              <c:strCache>
                <c:ptCount val="1"/>
                <c:pt idx="0">
                  <c:v>Total</c:v>
                </c:pt>
              </c:strCache>
            </c:strRef>
          </c:tx>
          <c:spPr>
            <a:solidFill>
              <a:srgbClr val="A5D6A7"/>
            </a:solidFill>
            <a:ln>
              <a:solidFill>
                <a:srgbClr val="A5D6A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'05_PIVOT_TABLES'!$AS$3:$AS$6</c:f>
              <c:strCache>
                <c:ptCount val="3"/>
                <c:pt idx="0">
                  <c:v>Route B</c:v>
                </c:pt>
                <c:pt idx="1">
                  <c:v>Route C</c:v>
                </c:pt>
                <c:pt idx="2">
                  <c:v>Route A</c:v>
                </c:pt>
              </c:strCache>
            </c:strRef>
          </c:cat>
          <c:val>
            <c:numRef>
              <c:f>'05_PIVOT_TABLES'!$AT$3:$AT$6</c:f>
              <c:numCache>
                <c:formatCode>_("$"* #,##0_);_("$"* \(#,##0\);_("$"* "-"??_);_(@_)</c:formatCode>
                <c:ptCount val="3"/>
                <c:pt idx="0">
                  <c:v>595.65902771895503</c:v>
                </c:pt>
                <c:pt idx="1">
                  <c:v>500.4709847929779</c:v>
                </c:pt>
                <c:pt idx="2">
                  <c:v>485.48312777565491</c:v>
                </c:pt>
              </c:numCache>
            </c:numRef>
          </c:val>
          <c:extLst>
            <c:ext xmlns:c16="http://schemas.microsoft.com/office/drawing/2014/chart" uri="{C3380CC4-5D6E-409C-BE32-E72D297353CC}">
              <c16:uniqueId val="{00000000-44B6-4C5E-A8D1-5BF39EA0F498}"/>
            </c:ext>
          </c:extLst>
        </c:ser>
        <c:dLbls>
          <c:dLblPos val="outEnd"/>
          <c:showLegendKey val="0"/>
          <c:showVal val="1"/>
          <c:showCatName val="0"/>
          <c:showSerName val="0"/>
          <c:showPercent val="0"/>
          <c:showBubbleSize val="0"/>
        </c:dLbls>
        <c:gapWidth val="182"/>
        <c:axId val="1569885024"/>
        <c:axId val="1569897504"/>
      </c:barChart>
      <c:catAx>
        <c:axId val="1569885024"/>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105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569897504"/>
        <c:crosses val="autoZero"/>
        <c:auto val="1"/>
        <c:lblAlgn val="ctr"/>
        <c:lblOffset val="100"/>
        <c:noMultiLvlLbl val="0"/>
      </c:catAx>
      <c:valAx>
        <c:axId val="1569897504"/>
        <c:scaling>
          <c:orientation val="minMax"/>
          <c:max val="6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569885024"/>
        <c:crosses val="autoZero"/>
        <c:crossBetween val="between"/>
        <c:majorUnit val="2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solidFill>
        <a:srgbClr val="DADAD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212121"/>
                </a:solidFill>
                <a:latin typeface="Times New Roman" panose="02020603050405020304" pitchFamily="18" charset="0"/>
                <a:cs typeface="Times New Roman" panose="02020603050405020304" pitchFamily="18" charset="0"/>
              </a:rPr>
              <a:t>Profit Margin by Product Categories</a:t>
            </a:r>
          </a:p>
        </c:rich>
      </c:tx>
      <c:layout>
        <c:manualLayout>
          <c:xMode val="edge"/>
          <c:yMode val="edge"/>
          <c:x val="0.1659875676862099"/>
          <c:y val="2.1866510107289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BB6A">
              <a:alpha val="85098"/>
            </a:srgbClr>
          </a:solidFill>
          <a:ln>
            <a:solidFill>
              <a:srgbClr val="66BB6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BB6A">
              <a:alpha val="85098"/>
            </a:srgbClr>
          </a:solidFill>
          <a:ln>
            <a:solidFill>
              <a:srgbClr val="66BB6A"/>
            </a:solidFill>
          </a:ln>
          <a:effectLst/>
        </c:spPr>
      </c:pivotFmt>
    </c:pivotFmts>
    <c:plotArea>
      <c:layout/>
      <c:barChart>
        <c:barDir val="col"/>
        <c:grouping val="clustered"/>
        <c:varyColors val="0"/>
        <c:ser>
          <c:idx val="0"/>
          <c:order val="0"/>
          <c:tx>
            <c:strRef>
              <c:f>'05_PIVOT_TABLES'!$AB$2</c:f>
              <c:strCache>
                <c:ptCount val="1"/>
                <c:pt idx="0">
                  <c:v>Total</c:v>
                </c:pt>
              </c:strCache>
            </c:strRef>
          </c:tx>
          <c:spPr>
            <a:solidFill>
              <a:srgbClr val="66BB6A">
                <a:alpha val="85098"/>
              </a:srgbClr>
            </a:solidFill>
            <a:ln>
              <a:solidFill>
                <a:srgbClr val="66BB6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'05_PIVOT_TABLES'!$AA$3:$AA$6</c:f>
              <c:strCache>
                <c:ptCount val="3"/>
                <c:pt idx="0">
                  <c:v>Cosmetics</c:v>
                </c:pt>
                <c:pt idx="1">
                  <c:v>Skincare</c:v>
                </c:pt>
                <c:pt idx="2">
                  <c:v>Haircare</c:v>
                </c:pt>
              </c:strCache>
            </c:strRef>
          </c:cat>
          <c:val>
            <c:numRef>
              <c:f>'05_PIVOT_TABLES'!$AB$3:$AB$6</c:f>
              <c:numCache>
                <c:formatCode>0%</c:formatCode>
                <c:ptCount val="3"/>
                <c:pt idx="0">
                  <c:v>0.87262752749379324</c:v>
                </c:pt>
                <c:pt idx="1">
                  <c:v>0.85979637752863736</c:v>
                </c:pt>
                <c:pt idx="2">
                  <c:v>0.85254518659437639</c:v>
                </c:pt>
              </c:numCache>
            </c:numRef>
          </c:val>
          <c:extLst>
            <c:ext xmlns:c16="http://schemas.microsoft.com/office/drawing/2014/chart" uri="{C3380CC4-5D6E-409C-BE32-E72D297353CC}">
              <c16:uniqueId val="{00000000-66F0-49C4-ABD0-05909B4A2EAE}"/>
            </c:ext>
          </c:extLst>
        </c:ser>
        <c:dLbls>
          <c:dLblPos val="outEnd"/>
          <c:showLegendKey val="0"/>
          <c:showVal val="1"/>
          <c:showCatName val="0"/>
          <c:showSerName val="0"/>
          <c:showPercent val="0"/>
          <c:showBubbleSize val="0"/>
        </c:dLbls>
        <c:gapWidth val="219"/>
        <c:overlap val="-27"/>
        <c:axId val="943734192"/>
        <c:axId val="1216285328"/>
      </c:barChart>
      <c:catAx>
        <c:axId val="943734192"/>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105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216285328"/>
        <c:crosses val="autoZero"/>
        <c:auto val="1"/>
        <c:lblAlgn val="ctr"/>
        <c:lblOffset val="100"/>
        <c:noMultiLvlLbl val="0"/>
      </c:catAx>
      <c:valAx>
        <c:axId val="1216285328"/>
        <c:scaling>
          <c:orientation val="minMax"/>
          <c:min val="0.82000000000000006"/>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943734192"/>
        <c:crosses val="autoZero"/>
        <c:crossBetween val="between"/>
        <c:majorUnit val="2.0000000000000004E-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solidFill>
        <a:srgbClr val="DADAD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12121"/>
                </a:solidFill>
                <a:latin typeface="Times New Roman" panose="02020603050405020304" pitchFamily="18" charset="0"/>
                <a:cs typeface="Times New Roman" panose="02020603050405020304" pitchFamily="18" charset="0"/>
              </a:rPr>
              <a:t>Average</a:t>
            </a:r>
            <a:r>
              <a:rPr lang="en-US" b="1" baseline="0">
                <a:solidFill>
                  <a:srgbClr val="212121"/>
                </a:solidFill>
                <a:latin typeface="Times New Roman" panose="02020603050405020304" pitchFamily="18" charset="0"/>
                <a:cs typeface="Times New Roman" panose="02020603050405020304" pitchFamily="18" charset="0"/>
              </a:rPr>
              <a:t> Defect Rates by Transportation Mode</a:t>
            </a:r>
            <a:endParaRPr lang="en-US" b="1">
              <a:solidFill>
                <a:srgbClr val="21212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7377024124437"/>
          <c:y val="0.23286204285626377"/>
          <c:w val="0.82176523758308373"/>
          <c:h val="0.68490158149191593"/>
        </c:manualLayout>
      </c:layout>
      <c:barChart>
        <c:barDir val="col"/>
        <c:grouping val="clustered"/>
        <c:varyColors val="0"/>
        <c:ser>
          <c:idx val="0"/>
          <c:order val="0"/>
          <c:tx>
            <c:strRef>
              <c:f>'05_PIVOT_TABLES'!$AN$2:$AN$3</c:f>
              <c:strCache>
                <c:ptCount val="1"/>
                <c:pt idx="0">
                  <c:v>Cosmetics</c:v>
                </c:pt>
              </c:strCache>
            </c:strRef>
          </c:tx>
          <c:spPr>
            <a:solidFill>
              <a:schemeClr val="accent2"/>
            </a:solidFill>
            <a:ln>
              <a:solidFill>
                <a:schemeClr val="accent2"/>
              </a:solidFill>
            </a:ln>
            <a:effectLst/>
          </c:spPr>
          <c:invertIfNegative val="0"/>
          <c:cat>
            <c:strRef>
              <c:f>'05_PIVOT_TABLES'!$AM$4:$AM$8</c:f>
              <c:strCache>
                <c:ptCount val="4"/>
                <c:pt idx="0">
                  <c:v>Air</c:v>
                </c:pt>
                <c:pt idx="1">
                  <c:v>Rail</c:v>
                </c:pt>
                <c:pt idx="2">
                  <c:v>Road</c:v>
                </c:pt>
                <c:pt idx="3">
                  <c:v>Sea</c:v>
                </c:pt>
              </c:strCache>
            </c:strRef>
          </c:cat>
          <c:val>
            <c:numRef>
              <c:f>'05_PIVOT_TABLES'!$AN$4:$AN$8</c:f>
              <c:numCache>
                <c:formatCode>0.00</c:formatCode>
                <c:ptCount val="4"/>
                <c:pt idx="0">
                  <c:v>0.39938126329463858</c:v>
                </c:pt>
                <c:pt idx="1">
                  <c:v>2.158841021839244</c:v>
                </c:pt>
                <c:pt idx="2">
                  <c:v>2.7036749128426116</c:v>
                </c:pt>
                <c:pt idx="3">
                  <c:v>2.0421560742053551</c:v>
                </c:pt>
              </c:numCache>
            </c:numRef>
          </c:val>
          <c:extLst>
            <c:ext xmlns:c16="http://schemas.microsoft.com/office/drawing/2014/chart" uri="{C3380CC4-5D6E-409C-BE32-E72D297353CC}">
              <c16:uniqueId val="{00000000-9F08-4DAD-B970-0D5652443D74}"/>
            </c:ext>
          </c:extLst>
        </c:ser>
        <c:ser>
          <c:idx val="1"/>
          <c:order val="1"/>
          <c:tx>
            <c:strRef>
              <c:f>'05_PIVOT_TABLES'!$AO$2:$AO$3</c:f>
              <c:strCache>
                <c:ptCount val="1"/>
                <c:pt idx="0">
                  <c:v>Haircare</c:v>
                </c:pt>
              </c:strCache>
            </c:strRef>
          </c:tx>
          <c:spPr>
            <a:solidFill>
              <a:schemeClr val="bg2">
                <a:lumMod val="75000"/>
              </a:schemeClr>
            </a:solidFill>
            <a:ln>
              <a:solidFill>
                <a:schemeClr val="bg2">
                  <a:lumMod val="75000"/>
                </a:schemeClr>
              </a:solidFill>
            </a:ln>
            <a:effectLst/>
          </c:spPr>
          <c:invertIfNegative val="0"/>
          <c:cat>
            <c:strRef>
              <c:f>'05_PIVOT_TABLES'!$AM$4:$AM$8</c:f>
              <c:strCache>
                <c:ptCount val="4"/>
                <c:pt idx="0">
                  <c:v>Air</c:v>
                </c:pt>
                <c:pt idx="1">
                  <c:v>Rail</c:v>
                </c:pt>
                <c:pt idx="2">
                  <c:v>Road</c:v>
                </c:pt>
                <c:pt idx="3">
                  <c:v>Sea</c:v>
                </c:pt>
              </c:strCache>
            </c:strRef>
          </c:cat>
          <c:val>
            <c:numRef>
              <c:f>'05_PIVOT_TABLES'!$AO$4:$AO$8</c:f>
              <c:numCache>
                <c:formatCode>0.00</c:formatCode>
                <c:ptCount val="4"/>
                <c:pt idx="0">
                  <c:v>2.9247087934532416</c:v>
                </c:pt>
                <c:pt idx="1">
                  <c:v>1.9593179653067767</c:v>
                </c:pt>
                <c:pt idx="2">
                  <c:v>2.2387315556923384</c:v>
                </c:pt>
                <c:pt idx="3">
                  <c:v>3.6428694726088398</c:v>
                </c:pt>
              </c:numCache>
            </c:numRef>
          </c:val>
          <c:extLst>
            <c:ext xmlns:c16="http://schemas.microsoft.com/office/drawing/2014/chart" uri="{C3380CC4-5D6E-409C-BE32-E72D297353CC}">
              <c16:uniqueId val="{00000003-A4A0-4A7C-8831-B461CFCD20B1}"/>
            </c:ext>
          </c:extLst>
        </c:ser>
        <c:ser>
          <c:idx val="2"/>
          <c:order val="2"/>
          <c:tx>
            <c:strRef>
              <c:f>'05_PIVOT_TABLES'!$AP$2:$AP$3</c:f>
              <c:strCache>
                <c:ptCount val="1"/>
                <c:pt idx="0">
                  <c:v>Skincare</c:v>
                </c:pt>
              </c:strCache>
            </c:strRef>
          </c:tx>
          <c:spPr>
            <a:solidFill>
              <a:srgbClr val="2E7D32"/>
            </a:solidFill>
            <a:ln>
              <a:solidFill>
                <a:srgbClr val="2E7D32"/>
              </a:solidFill>
            </a:ln>
            <a:effectLst/>
          </c:spPr>
          <c:invertIfNegative val="0"/>
          <c:cat>
            <c:strRef>
              <c:f>'05_PIVOT_TABLES'!$AM$4:$AM$8</c:f>
              <c:strCache>
                <c:ptCount val="4"/>
                <c:pt idx="0">
                  <c:v>Air</c:v>
                </c:pt>
                <c:pt idx="1">
                  <c:v>Rail</c:v>
                </c:pt>
                <c:pt idx="2">
                  <c:v>Road</c:v>
                </c:pt>
                <c:pt idx="3">
                  <c:v>Sea</c:v>
                </c:pt>
              </c:strCache>
            </c:strRef>
          </c:cat>
          <c:val>
            <c:numRef>
              <c:f>'05_PIVOT_TABLES'!$AP$4:$AP$8</c:f>
              <c:numCache>
                <c:formatCode>0.00</c:formatCode>
                <c:ptCount val="4"/>
                <c:pt idx="0">
                  <c:v>1.6944181172651134</c:v>
                </c:pt>
                <c:pt idx="1">
                  <c:v>2.8782267320882076</c:v>
                </c:pt>
                <c:pt idx="2">
                  <c:v>2.9927625004564233</c:v>
                </c:pt>
                <c:pt idx="3">
                  <c:v>1.790766808706902</c:v>
                </c:pt>
              </c:numCache>
            </c:numRef>
          </c:val>
          <c:extLst>
            <c:ext xmlns:c16="http://schemas.microsoft.com/office/drawing/2014/chart" uri="{C3380CC4-5D6E-409C-BE32-E72D297353CC}">
              <c16:uniqueId val="{00000004-A4A0-4A7C-8831-B461CFCD20B1}"/>
            </c:ext>
          </c:extLst>
        </c:ser>
        <c:dLbls>
          <c:showLegendKey val="0"/>
          <c:showVal val="0"/>
          <c:showCatName val="0"/>
          <c:showSerName val="0"/>
          <c:showPercent val="0"/>
          <c:showBubbleSize val="0"/>
        </c:dLbls>
        <c:gapWidth val="219"/>
        <c:overlap val="-27"/>
        <c:axId val="1500488864"/>
        <c:axId val="1500497504"/>
      </c:barChart>
      <c:catAx>
        <c:axId val="1500488864"/>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105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500497504"/>
        <c:crosses val="autoZero"/>
        <c:auto val="1"/>
        <c:lblAlgn val="ctr"/>
        <c:lblOffset val="100"/>
        <c:noMultiLvlLbl val="0"/>
      </c:catAx>
      <c:valAx>
        <c:axId val="15004975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500488864"/>
        <c:crosses val="autoZero"/>
        <c:crossBetween val="between"/>
      </c:valAx>
      <c:spPr>
        <a:noFill/>
        <a:ln>
          <a:noFill/>
        </a:ln>
        <a:effectLst/>
      </c:spPr>
    </c:plotArea>
    <c:legend>
      <c:legendPos val="t"/>
      <c:layout>
        <c:manualLayout>
          <c:xMode val="edge"/>
          <c:yMode val="edge"/>
          <c:x val="0.21544986104678088"/>
          <c:y val="0.19597253844775428"/>
          <c:w val="0.5774023810163661"/>
          <c:h val="6.5266902232788762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solidFill>
        <a:srgbClr val="DADAD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212121"/>
                </a:solidFill>
                <a:latin typeface="Times New Roman" panose="02020603050405020304" pitchFamily="18" charset="0"/>
                <a:cs typeface="Times New Roman" panose="02020603050405020304" pitchFamily="18" charset="0"/>
              </a:rPr>
              <a:t>Cost vs Revenue </a:t>
            </a:r>
            <a:endParaRPr lang="en-US" b="1">
              <a:solidFill>
                <a:srgbClr val="212121"/>
              </a:solidFill>
              <a:latin typeface="Times New Roman" panose="02020603050405020304" pitchFamily="18" charset="0"/>
              <a:cs typeface="Times New Roman" panose="02020603050405020304" pitchFamily="18" charset="0"/>
            </a:endParaRPr>
          </a:p>
        </c:rich>
      </c:tx>
      <c:layout>
        <c:manualLayout>
          <c:xMode val="edge"/>
          <c:yMode val="edge"/>
          <c:x val="0.32165342567264105"/>
          <c:y val="1.57774166778475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5D6A7"/>
          </a:solidFill>
          <a:ln>
            <a:solidFill>
              <a:srgbClr val="A5D6A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5D6A7"/>
          </a:solidFill>
          <a:ln>
            <a:solidFill>
              <a:srgbClr val="A5D6A7"/>
            </a:solidFill>
          </a:ln>
          <a:effectLst/>
        </c:spPr>
        <c:dLbl>
          <c:idx val="0"/>
          <c:layout>
            <c:manualLayout>
              <c:x val="1.9888112921886383E-2"/>
              <c:y val="1.05884201868646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5D6A7"/>
          </a:solidFill>
          <a:ln>
            <a:solidFill>
              <a:srgbClr val="A5D6A7"/>
            </a:solidFill>
          </a:ln>
          <a:effectLst/>
        </c:spPr>
      </c:pivotFmt>
      <c:pivotFmt>
        <c:idx val="8"/>
        <c:spPr>
          <a:solidFill>
            <a:srgbClr val="A5D6A7"/>
          </a:solidFill>
          <a:ln>
            <a:solidFill>
              <a:srgbClr val="A5D6A7"/>
            </a:solidFill>
          </a:ln>
          <a:effectLst/>
        </c:spPr>
      </c:pivotFmt>
    </c:pivotFmts>
    <c:plotArea>
      <c:layout>
        <c:manualLayout>
          <c:layoutTarget val="inner"/>
          <c:xMode val="edge"/>
          <c:yMode val="edge"/>
          <c:x val="0.2016702719852326"/>
          <c:y val="0.22436170212765957"/>
          <c:w val="0.69385422975974154"/>
          <c:h val="0.64152538113586854"/>
        </c:manualLayout>
      </c:layout>
      <c:barChart>
        <c:barDir val="col"/>
        <c:grouping val="clustered"/>
        <c:varyColors val="0"/>
        <c:ser>
          <c:idx val="0"/>
          <c:order val="0"/>
          <c:tx>
            <c:strRef>
              <c:f>'05_PIVOT_TABLES'!$V$2</c:f>
              <c:strCache>
                <c:ptCount val="1"/>
                <c:pt idx="0">
                  <c:v>Revenue</c:v>
                </c:pt>
              </c:strCache>
            </c:strRef>
          </c:tx>
          <c:spPr>
            <a:solidFill>
              <a:srgbClr val="2E7D32"/>
            </a:solidFill>
            <a:ln>
              <a:solidFill>
                <a:srgbClr val="2E7D3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'05_PIVOT_TABLES'!$U$3:$U$6</c:f>
              <c:strCache>
                <c:ptCount val="3"/>
                <c:pt idx="0">
                  <c:v>Skincare</c:v>
                </c:pt>
                <c:pt idx="1">
                  <c:v>Haircare</c:v>
                </c:pt>
                <c:pt idx="2">
                  <c:v>Cosmetics</c:v>
                </c:pt>
              </c:strCache>
            </c:strRef>
          </c:cat>
          <c:val>
            <c:numRef>
              <c:f>'05_PIVOT_TABLES'!$V$3:$V$6</c:f>
              <c:numCache>
                <c:formatCode>_("$"* #,##0_);_("$"* \(#,##0\);_("$"* "-"??_);_(@_)</c:formatCode>
                <c:ptCount val="3"/>
                <c:pt idx="0">
                  <c:v>241628.16213306302</c:v>
                </c:pt>
                <c:pt idx="1">
                  <c:v>174455.39060546222</c:v>
                </c:pt>
                <c:pt idx="2">
                  <c:v>161521.26599948306</c:v>
                </c:pt>
              </c:numCache>
            </c:numRef>
          </c:val>
          <c:extLst>
            <c:ext xmlns:c16="http://schemas.microsoft.com/office/drawing/2014/chart" uri="{C3380CC4-5D6E-409C-BE32-E72D297353CC}">
              <c16:uniqueId val="{00000000-58E6-4DB3-96C4-0299F8D48024}"/>
            </c:ext>
          </c:extLst>
        </c:ser>
        <c:ser>
          <c:idx val="1"/>
          <c:order val="1"/>
          <c:tx>
            <c:strRef>
              <c:f>'05_PIVOT_TABLES'!$W$2</c:f>
              <c:strCache>
                <c:ptCount val="1"/>
                <c:pt idx="0">
                  <c:v>Total Cost</c:v>
                </c:pt>
              </c:strCache>
            </c:strRef>
          </c:tx>
          <c:spPr>
            <a:solidFill>
              <a:srgbClr val="A5D6A7"/>
            </a:solidFill>
            <a:ln>
              <a:solidFill>
                <a:srgbClr val="A5D6A7"/>
              </a:solidFill>
            </a:ln>
            <a:effectLst/>
          </c:spPr>
          <c:invertIfNegative val="0"/>
          <c:dLbls>
            <c:dLbl>
              <c:idx val="0"/>
              <c:layout>
                <c:manualLayout>
                  <c:x val="1.9888112921886383E-2"/>
                  <c:y val="1.05884201868646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F1-4942-9FA5-28EABC847B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'05_PIVOT_TABLES'!$U$3:$U$6</c:f>
              <c:strCache>
                <c:ptCount val="3"/>
                <c:pt idx="0">
                  <c:v>Skincare</c:v>
                </c:pt>
                <c:pt idx="1">
                  <c:v>Haircare</c:v>
                </c:pt>
                <c:pt idx="2">
                  <c:v>Cosmetics</c:v>
                </c:pt>
              </c:strCache>
            </c:strRef>
          </c:cat>
          <c:val>
            <c:numRef>
              <c:f>'05_PIVOT_TABLES'!$W$3:$W$6</c:f>
              <c:numCache>
                <c:formatCode>_("$"* #,##0_);_("$"* \(#,##0\);_("$"* "-"??_);_(@_)</c:formatCode>
                <c:ptCount val="3"/>
                <c:pt idx="0">
                  <c:v>24385.431872720292</c:v>
                </c:pt>
                <c:pt idx="1">
                  <c:v>19177.298375784489</c:v>
                </c:pt>
                <c:pt idx="2">
                  <c:v>14643.332198658225</c:v>
                </c:pt>
              </c:numCache>
            </c:numRef>
          </c:val>
          <c:extLst>
            <c:ext xmlns:c16="http://schemas.microsoft.com/office/drawing/2014/chart" uri="{C3380CC4-5D6E-409C-BE32-E72D297353CC}">
              <c16:uniqueId val="{00000001-58E6-4DB3-96C4-0299F8D48024}"/>
            </c:ext>
          </c:extLst>
        </c:ser>
        <c:dLbls>
          <c:dLblPos val="outEnd"/>
          <c:showLegendKey val="0"/>
          <c:showVal val="1"/>
          <c:showCatName val="0"/>
          <c:showSerName val="0"/>
          <c:showPercent val="0"/>
          <c:showBubbleSize val="0"/>
        </c:dLbls>
        <c:gapWidth val="219"/>
        <c:overlap val="-27"/>
        <c:axId val="943736592"/>
        <c:axId val="748957888"/>
      </c:barChart>
      <c:catAx>
        <c:axId val="943736592"/>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11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748957888"/>
        <c:crosses val="autoZero"/>
        <c:auto val="1"/>
        <c:lblAlgn val="ctr"/>
        <c:lblOffset val="100"/>
        <c:noMultiLvlLbl val="0"/>
      </c:catAx>
      <c:valAx>
        <c:axId val="74895788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943736592"/>
        <c:crosses val="autoZero"/>
        <c:crossBetween val="between"/>
        <c:majorUnit val="60000"/>
      </c:valAx>
      <c:spPr>
        <a:noFill/>
        <a:ln>
          <a:noFill/>
        </a:ln>
        <a:effectLst/>
      </c:spPr>
    </c:plotArea>
    <c:legend>
      <c:legendPos val="t"/>
      <c:layout>
        <c:manualLayout>
          <c:xMode val="edge"/>
          <c:yMode val="edge"/>
          <c:x val="0.53067498689263737"/>
          <c:y val="0.25982256020278832"/>
          <c:w val="0.46335043606645071"/>
          <c:h val="8.9586888616109292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solidFill>
        <a:srgbClr val="DADAD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12121"/>
                </a:solidFill>
                <a:latin typeface="Times New Roman" panose="02020603050405020304" pitchFamily="18" charset="0"/>
                <a:cs typeface="Times New Roman" panose="02020603050405020304" pitchFamily="18" charset="0"/>
              </a:rPr>
              <a:t>Top</a:t>
            </a:r>
            <a:r>
              <a:rPr lang="en-US" sz="1400" b="1" baseline="0">
                <a:solidFill>
                  <a:srgbClr val="212121"/>
                </a:solidFill>
                <a:latin typeface="Times New Roman" panose="02020603050405020304" pitchFamily="18" charset="0"/>
                <a:cs typeface="Times New Roman" panose="02020603050405020304" pitchFamily="18" charset="0"/>
              </a:rPr>
              <a:t> 10 SKUs by Inventory Levels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32"/>
          </a:solidFill>
          <a:ln>
            <a:solidFill>
              <a:srgbClr val="2E7D3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'05_PIVOT_TABLES'!$AJ$2</c:f>
              <c:strCache>
                <c:ptCount val="1"/>
                <c:pt idx="0">
                  <c:v>Total</c:v>
                </c:pt>
              </c:strCache>
            </c:strRef>
          </c:tx>
          <c:spPr>
            <a:solidFill>
              <a:srgbClr val="2E7D32"/>
            </a:solidFill>
            <a:ln>
              <a:solidFill>
                <a:srgbClr val="2E7D3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'05_PIVOT_TABLES'!$AI$3:$AI$14</c:f>
              <c:strCache>
                <c:ptCount val="11"/>
                <c:pt idx="0">
                  <c:v>SKU45</c:v>
                </c:pt>
                <c:pt idx="1">
                  <c:v>SKU7</c:v>
                </c:pt>
                <c:pt idx="2">
                  <c:v>SKU69</c:v>
                </c:pt>
                <c:pt idx="3">
                  <c:v>SKU53</c:v>
                </c:pt>
                <c:pt idx="4">
                  <c:v>SKU77</c:v>
                </c:pt>
                <c:pt idx="5">
                  <c:v>SKU55</c:v>
                </c:pt>
                <c:pt idx="6">
                  <c:v>SKU49</c:v>
                </c:pt>
                <c:pt idx="7">
                  <c:v>SKU91</c:v>
                </c:pt>
                <c:pt idx="8">
                  <c:v>SKU59</c:v>
                </c:pt>
                <c:pt idx="9">
                  <c:v>SKU12</c:v>
                </c:pt>
                <c:pt idx="10">
                  <c:v>SKU51</c:v>
                </c:pt>
              </c:strCache>
            </c:strRef>
          </c:cat>
          <c:val>
            <c:numRef>
              <c:f>'05_PIVOT_TABLES'!$AJ$3:$AJ$14</c:f>
              <c:numCache>
                <c:formatCode>0</c:formatCode>
                <c:ptCount val="11"/>
                <c:pt idx="0">
                  <c:v>93</c:v>
                </c:pt>
                <c:pt idx="1">
                  <c:v>93</c:v>
                </c:pt>
                <c:pt idx="2">
                  <c:v>95</c:v>
                </c:pt>
                <c:pt idx="3">
                  <c:v>96</c:v>
                </c:pt>
                <c:pt idx="4">
                  <c:v>96</c:v>
                </c:pt>
                <c:pt idx="5">
                  <c:v>97</c:v>
                </c:pt>
                <c:pt idx="6">
                  <c:v>97</c:v>
                </c:pt>
                <c:pt idx="7">
                  <c:v>98</c:v>
                </c:pt>
                <c:pt idx="8">
                  <c:v>100</c:v>
                </c:pt>
                <c:pt idx="9">
                  <c:v>100</c:v>
                </c:pt>
                <c:pt idx="10">
                  <c:v>100</c:v>
                </c:pt>
              </c:numCache>
            </c:numRef>
          </c:val>
          <c:extLst>
            <c:ext xmlns:c16="http://schemas.microsoft.com/office/drawing/2014/chart" uri="{C3380CC4-5D6E-409C-BE32-E72D297353CC}">
              <c16:uniqueId val="{00000000-D415-4EA0-8516-D14ACC3FE37C}"/>
            </c:ext>
          </c:extLst>
        </c:ser>
        <c:dLbls>
          <c:dLblPos val="outEnd"/>
          <c:showLegendKey val="0"/>
          <c:showVal val="1"/>
          <c:showCatName val="0"/>
          <c:showSerName val="0"/>
          <c:showPercent val="0"/>
          <c:showBubbleSize val="0"/>
        </c:dLbls>
        <c:gapWidth val="182"/>
        <c:axId val="1380436400"/>
        <c:axId val="1380430640"/>
      </c:barChart>
      <c:catAx>
        <c:axId val="1380436400"/>
        <c:scaling>
          <c:orientation val="minMax"/>
        </c:scaling>
        <c:delete val="0"/>
        <c:axPos val="l"/>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11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380430640"/>
        <c:crosses val="autoZero"/>
        <c:auto val="1"/>
        <c:lblAlgn val="ctr"/>
        <c:lblOffset val="100"/>
        <c:noMultiLvlLbl val="0"/>
      </c:catAx>
      <c:valAx>
        <c:axId val="1380430640"/>
        <c:scaling>
          <c:orientation val="minMax"/>
          <c:min val="9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38043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solidFill>
        <a:srgbClr val="DADAD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[supply_chain_data.xlsx]05_PIVOT_TABLES!PivotTable9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rgbClr val="212121"/>
                </a:solidFill>
                <a:latin typeface="Times New Roman" panose="02020603050405020304" pitchFamily="18" charset="0"/>
                <a:cs typeface="Times New Roman" panose="02020603050405020304" pitchFamily="18" charset="0"/>
              </a:rPr>
              <a:t>Profit by Product Categories</a:t>
            </a:r>
            <a:endParaRPr lang="en-US" sz="1400" b="1">
              <a:solidFill>
                <a:srgbClr val="212121"/>
              </a:solidFill>
              <a:latin typeface="Times New Roman" panose="02020603050405020304" pitchFamily="18" charset="0"/>
              <a:cs typeface="Times New Roman" panose="02020603050405020304" pitchFamily="18" charset="0"/>
            </a:endParaRPr>
          </a:p>
        </c:rich>
      </c:tx>
      <c:layout>
        <c:manualLayout>
          <c:xMode val="edge"/>
          <c:yMode val="edge"/>
          <c:x val="0.24583456604785295"/>
          <c:y val="2.11631571097792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BB64"/>
          </a:solidFill>
          <a:ln>
            <a:solidFill>
              <a:srgbClr val="66BB6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6747015818425"/>
          <c:y val="0.21882053311306188"/>
          <c:w val="0.7068349574119327"/>
          <c:h val="0.65252623472169125"/>
        </c:manualLayout>
      </c:layout>
      <c:barChart>
        <c:barDir val="col"/>
        <c:grouping val="clustered"/>
        <c:varyColors val="0"/>
        <c:ser>
          <c:idx val="0"/>
          <c:order val="0"/>
          <c:tx>
            <c:strRef>
              <c:f>'05_PIVOT_TABLES'!$Q$2</c:f>
              <c:strCache>
                <c:ptCount val="1"/>
                <c:pt idx="0">
                  <c:v>Total</c:v>
                </c:pt>
              </c:strCache>
            </c:strRef>
          </c:tx>
          <c:spPr>
            <a:solidFill>
              <a:srgbClr val="66BB64"/>
            </a:solidFill>
            <a:ln>
              <a:solidFill>
                <a:srgbClr val="66BB6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'05_PIVOT_TABLES'!$P$3:$P$6</c:f>
              <c:strCache>
                <c:ptCount val="3"/>
                <c:pt idx="0">
                  <c:v>Skincare</c:v>
                </c:pt>
                <c:pt idx="1">
                  <c:v>Haircare</c:v>
                </c:pt>
                <c:pt idx="2">
                  <c:v>Cosmetics</c:v>
                </c:pt>
              </c:strCache>
            </c:strRef>
          </c:cat>
          <c:val>
            <c:numRef>
              <c:f>'05_PIVOT_TABLES'!$Q$3:$Q$6</c:f>
              <c:numCache>
                <c:formatCode>_("$"* #,##0_);_("$"* \(#,##0\);_("$"* "-"??_);_(@_)</c:formatCode>
                <c:ptCount val="3"/>
                <c:pt idx="0">
                  <c:v>217242.73026034271</c:v>
                </c:pt>
                <c:pt idx="1">
                  <c:v>155278.09222967763</c:v>
                </c:pt>
                <c:pt idx="2">
                  <c:v>146877.93380082477</c:v>
                </c:pt>
              </c:numCache>
            </c:numRef>
          </c:val>
          <c:extLst>
            <c:ext xmlns:c16="http://schemas.microsoft.com/office/drawing/2014/chart" uri="{C3380CC4-5D6E-409C-BE32-E72D297353CC}">
              <c16:uniqueId val="{00000000-312B-41F6-AACF-F011A2AF6EFE}"/>
            </c:ext>
          </c:extLst>
        </c:ser>
        <c:dLbls>
          <c:dLblPos val="outEnd"/>
          <c:showLegendKey val="0"/>
          <c:showVal val="1"/>
          <c:showCatName val="0"/>
          <c:showSerName val="0"/>
          <c:showPercent val="0"/>
          <c:showBubbleSize val="0"/>
        </c:dLbls>
        <c:gapWidth val="182"/>
        <c:axId val="1219802640"/>
        <c:axId val="1219811760"/>
      </c:barChart>
      <c:catAx>
        <c:axId val="1219802640"/>
        <c:scaling>
          <c:orientation val="minMax"/>
        </c:scaling>
        <c:delete val="0"/>
        <c:axPos val="b"/>
        <c:numFmt formatCode="General" sourceLinked="1"/>
        <c:majorTickMark val="none"/>
        <c:minorTickMark val="none"/>
        <c:tickLblPos val="nextTo"/>
        <c:spPr>
          <a:noFill/>
          <a:ln w="9525" cap="flat" cmpd="sng" algn="ctr">
            <a:solidFill>
              <a:srgbClr val="EAEAEA"/>
            </a:solidFill>
            <a:round/>
          </a:ln>
          <a:effectLst/>
        </c:spPr>
        <c:txPr>
          <a:bodyPr rot="-60000000" spcFirstLastPara="1" vertOverflow="ellipsis" vert="horz" wrap="square" anchor="ctr" anchorCtr="1"/>
          <a:lstStyle/>
          <a:p>
            <a:pPr>
              <a:defRPr sz="110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219811760"/>
        <c:crosses val="autoZero"/>
        <c:auto val="1"/>
        <c:lblAlgn val="ctr"/>
        <c:lblOffset val="100"/>
        <c:noMultiLvlLbl val="0"/>
      </c:catAx>
      <c:valAx>
        <c:axId val="1219811760"/>
        <c:scaling>
          <c:orientation val="minMax"/>
          <c:min val="100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616161"/>
                </a:solidFill>
                <a:latin typeface="Times New Roman" panose="02020603050405020304" pitchFamily="18" charset="0"/>
                <a:ea typeface="+mn-ea"/>
                <a:cs typeface="Times New Roman" panose="02020603050405020304" pitchFamily="18" charset="0"/>
              </a:defRPr>
            </a:pPr>
            <a:endParaRPr lang="en-US"/>
          </a:p>
        </c:txPr>
        <c:crossAx val="1219802640"/>
        <c:crosses val="autoZero"/>
        <c:crossBetween val="between"/>
        <c:majorUnit val="5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6350" cap="flat" cmpd="sng" algn="ctr">
      <a:solidFill>
        <a:srgbClr val="DADAD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oneCellAnchor>
    <xdr:from>
      <xdr:col>0</xdr:col>
      <xdr:colOff>5810250</xdr:colOff>
      <xdr:row>14</xdr:row>
      <xdr:rowOff>9525</xdr:rowOff>
    </xdr:from>
    <xdr:ext cx="65" cy="172227"/>
    <xdr:sp macro="" textlink="">
      <xdr:nvSpPr>
        <xdr:cNvPr id="2" name="TextBox 1">
          <a:extLst>
            <a:ext uri="{FF2B5EF4-FFF2-40B4-BE49-F238E27FC236}">
              <a16:creationId xmlns:a16="http://schemas.microsoft.com/office/drawing/2014/main" id="{35D0A0D1-D266-A2F5-0ABD-BE317AAB85E2}"/>
            </a:ext>
          </a:extLst>
        </xdr:cNvPr>
        <xdr:cNvSpPr txBox="1"/>
      </xdr:nvSpPr>
      <xdr:spPr>
        <a:xfrm>
          <a:off x="5810250" y="1990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xdr:from>
      <xdr:col>0</xdr:col>
      <xdr:colOff>0</xdr:colOff>
      <xdr:row>1</xdr:row>
      <xdr:rowOff>104775</xdr:rowOff>
    </xdr:from>
    <xdr:to>
      <xdr:col>1</xdr:col>
      <xdr:colOff>4981575</xdr:colOff>
      <xdr:row>1</xdr:row>
      <xdr:rowOff>104775</xdr:rowOff>
    </xdr:to>
    <xdr:cxnSp macro="">
      <xdr:nvCxnSpPr>
        <xdr:cNvPr id="6" name="Straight Connector 5">
          <a:extLst>
            <a:ext uri="{FF2B5EF4-FFF2-40B4-BE49-F238E27FC236}">
              <a16:creationId xmlns:a16="http://schemas.microsoft.com/office/drawing/2014/main" id="{DB562CCA-CF54-B4B6-DD2B-C3A009CC7AB5}"/>
            </a:ext>
          </a:extLst>
        </xdr:cNvPr>
        <xdr:cNvCxnSpPr/>
      </xdr:nvCxnSpPr>
      <xdr:spPr>
        <a:xfrm>
          <a:off x="0" y="342900"/>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4</xdr:row>
      <xdr:rowOff>104775</xdr:rowOff>
    </xdr:from>
    <xdr:to>
      <xdr:col>1</xdr:col>
      <xdr:colOff>4981575</xdr:colOff>
      <xdr:row>4</xdr:row>
      <xdr:rowOff>104775</xdr:rowOff>
    </xdr:to>
    <xdr:cxnSp macro="">
      <xdr:nvCxnSpPr>
        <xdr:cNvPr id="11" name="Straight Connector 10">
          <a:extLst>
            <a:ext uri="{FF2B5EF4-FFF2-40B4-BE49-F238E27FC236}">
              <a16:creationId xmlns:a16="http://schemas.microsoft.com/office/drawing/2014/main" id="{42C8CB45-0898-44B2-A812-6BFFC42EC556}"/>
            </a:ext>
          </a:extLst>
        </xdr:cNvPr>
        <xdr:cNvCxnSpPr/>
      </xdr:nvCxnSpPr>
      <xdr:spPr>
        <a:xfrm>
          <a:off x="0" y="914400"/>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7</xdr:row>
      <xdr:rowOff>114300</xdr:rowOff>
    </xdr:from>
    <xdr:to>
      <xdr:col>1</xdr:col>
      <xdr:colOff>4981575</xdr:colOff>
      <xdr:row>7</xdr:row>
      <xdr:rowOff>114300</xdr:rowOff>
    </xdr:to>
    <xdr:cxnSp macro="">
      <xdr:nvCxnSpPr>
        <xdr:cNvPr id="12" name="Straight Connector 11">
          <a:extLst>
            <a:ext uri="{FF2B5EF4-FFF2-40B4-BE49-F238E27FC236}">
              <a16:creationId xmlns:a16="http://schemas.microsoft.com/office/drawing/2014/main" id="{EF8D5113-8D16-49C7-B820-E37A4A755147}"/>
            </a:ext>
          </a:extLst>
        </xdr:cNvPr>
        <xdr:cNvCxnSpPr/>
      </xdr:nvCxnSpPr>
      <xdr:spPr>
        <a:xfrm>
          <a:off x="0" y="1495425"/>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xdr:row>
      <xdr:rowOff>104775</xdr:rowOff>
    </xdr:from>
    <xdr:to>
      <xdr:col>1</xdr:col>
      <xdr:colOff>4981575</xdr:colOff>
      <xdr:row>10</xdr:row>
      <xdr:rowOff>104775</xdr:rowOff>
    </xdr:to>
    <xdr:cxnSp macro="">
      <xdr:nvCxnSpPr>
        <xdr:cNvPr id="13" name="Straight Connector 12">
          <a:extLst>
            <a:ext uri="{FF2B5EF4-FFF2-40B4-BE49-F238E27FC236}">
              <a16:creationId xmlns:a16="http://schemas.microsoft.com/office/drawing/2014/main" id="{03E768C7-C4B4-4696-A389-5173CAA93362}"/>
            </a:ext>
          </a:extLst>
        </xdr:cNvPr>
        <xdr:cNvCxnSpPr/>
      </xdr:nvCxnSpPr>
      <xdr:spPr>
        <a:xfrm>
          <a:off x="0" y="2057400"/>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20</xdr:row>
      <xdr:rowOff>104775</xdr:rowOff>
    </xdr:from>
    <xdr:to>
      <xdr:col>1</xdr:col>
      <xdr:colOff>4981575</xdr:colOff>
      <xdr:row>20</xdr:row>
      <xdr:rowOff>104775</xdr:rowOff>
    </xdr:to>
    <xdr:cxnSp macro="">
      <xdr:nvCxnSpPr>
        <xdr:cNvPr id="14" name="Straight Connector 13">
          <a:extLst>
            <a:ext uri="{FF2B5EF4-FFF2-40B4-BE49-F238E27FC236}">
              <a16:creationId xmlns:a16="http://schemas.microsoft.com/office/drawing/2014/main" id="{030803C2-6B1C-4113-AC23-E5234F518706}"/>
            </a:ext>
          </a:extLst>
        </xdr:cNvPr>
        <xdr:cNvCxnSpPr/>
      </xdr:nvCxnSpPr>
      <xdr:spPr>
        <a:xfrm>
          <a:off x="0" y="3962400"/>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27</xdr:row>
      <xdr:rowOff>114300</xdr:rowOff>
    </xdr:from>
    <xdr:to>
      <xdr:col>1</xdr:col>
      <xdr:colOff>4981575</xdr:colOff>
      <xdr:row>27</xdr:row>
      <xdr:rowOff>114300</xdr:rowOff>
    </xdr:to>
    <xdr:cxnSp macro="">
      <xdr:nvCxnSpPr>
        <xdr:cNvPr id="15" name="Straight Connector 14">
          <a:extLst>
            <a:ext uri="{FF2B5EF4-FFF2-40B4-BE49-F238E27FC236}">
              <a16:creationId xmlns:a16="http://schemas.microsoft.com/office/drawing/2014/main" id="{4AF64953-1D77-4238-B230-EC7B4189D644}"/>
            </a:ext>
          </a:extLst>
        </xdr:cNvPr>
        <xdr:cNvCxnSpPr/>
      </xdr:nvCxnSpPr>
      <xdr:spPr>
        <a:xfrm>
          <a:off x="0" y="5305425"/>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33</xdr:row>
      <xdr:rowOff>104775</xdr:rowOff>
    </xdr:from>
    <xdr:to>
      <xdr:col>1</xdr:col>
      <xdr:colOff>4981575</xdr:colOff>
      <xdr:row>33</xdr:row>
      <xdr:rowOff>104775</xdr:rowOff>
    </xdr:to>
    <xdr:cxnSp macro="">
      <xdr:nvCxnSpPr>
        <xdr:cNvPr id="16" name="Straight Connector 15">
          <a:extLst>
            <a:ext uri="{FF2B5EF4-FFF2-40B4-BE49-F238E27FC236}">
              <a16:creationId xmlns:a16="http://schemas.microsoft.com/office/drawing/2014/main" id="{8FC42B42-FA2F-40B6-B3A4-436292170403}"/>
            </a:ext>
          </a:extLst>
        </xdr:cNvPr>
        <xdr:cNvCxnSpPr/>
      </xdr:nvCxnSpPr>
      <xdr:spPr>
        <a:xfrm>
          <a:off x="0" y="6438900"/>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38</xdr:row>
      <xdr:rowOff>104775</xdr:rowOff>
    </xdr:from>
    <xdr:to>
      <xdr:col>1</xdr:col>
      <xdr:colOff>4981575</xdr:colOff>
      <xdr:row>38</xdr:row>
      <xdr:rowOff>104775</xdr:rowOff>
    </xdr:to>
    <xdr:cxnSp macro="">
      <xdr:nvCxnSpPr>
        <xdr:cNvPr id="17" name="Straight Connector 16">
          <a:extLst>
            <a:ext uri="{FF2B5EF4-FFF2-40B4-BE49-F238E27FC236}">
              <a16:creationId xmlns:a16="http://schemas.microsoft.com/office/drawing/2014/main" id="{3D772429-8ACD-490D-806D-8B1F6FFC378C}"/>
            </a:ext>
          </a:extLst>
        </xdr:cNvPr>
        <xdr:cNvCxnSpPr/>
      </xdr:nvCxnSpPr>
      <xdr:spPr>
        <a:xfrm>
          <a:off x="0" y="7391400"/>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45</xdr:row>
      <xdr:rowOff>95250</xdr:rowOff>
    </xdr:from>
    <xdr:to>
      <xdr:col>1</xdr:col>
      <xdr:colOff>4981575</xdr:colOff>
      <xdr:row>45</xdr:row>
      <xdr:rowOff>95250</xdr:rowOff>
    </xdr:to>
    <xdr:cxnSp macro="">
      <xdr:nvCxnSpPr>
        <xdr:cNvPr id="18" name="Straight Connector 17">
          <a:extLst>
            <a:ext uri="{FF2B5EF4-FFF2-40B4-BE49-F238E27FC236}">
              <a16:creationId xmlns:a16="http://schemas.microsoft.com/office/drawing/2014/main" id="{B098E32B-F954-44F2-8B81-859D3688FBCC}"/>
            </a:ext>
          </a:extLst>
        </xdr:cNvPr>
        <xdr:cNvCxnSpPr/>
      </xdr:nvCxnSpPr>
      <xdr:spPr>
        <a:xfrm>
          <a:off x="0" y="8715375"/>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51</xdr:row>
      <xdr:rowOff>104775</xdr:rowOff>
    </xdr:from>
    <xdr:to>
      <xdr:col>1</xdr:col>
      <xdr:colOff>4981575</xdr:colOff>
      <xdr:row>51</xdr:row>
      <xdr:rowOff>104775</xdr:rowOff>
    </xdr:to>
    <xdr:cxnSp macro="">
      <xdr:nvCxnSpPr>
        <xdr:cNvPr id="19" name="Straight Connector 18">
          <a:extLst>
            <a:ext uri="{FF2B5EF4-FFF2-40B4-BE49-F238E27FC236}">
              <a16:creationId xmlns:a16="http://schemas.microsoft.com/office/drawing/2014/main" id="{0D1D79A9-AFDA-4B48-ACF3-ABDEB17780F2}"/>
            </a:ext>
          </a:extLst>
        </xdr:cNvPr>
        <xdr:cNvCxnSpPr/>
      </xdr:nvCxnSpPr>
      <xdr:spPr>
        <a:xfrm>
          <a:off x="0" y="9867900"/>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59</xdr:row>
      <xdr:rowOff>114300</xdr:rowOff>
    </xdr:from>
    <xdr:to>
      <xdr:col>1</xdr:col>
      <xdr:colOff>4981575</xdr:colOff>
      <xdr:row>59</xdr:row>
      <xdr:rowOff>114300</xdr:rowOff>
    </xdr:to>
    <xdr:cxnSp macro="">
      <xdr:nvCxnSpPr>
        <xdr:cNvPr id="20" name="Straight Connector 19">
          <a:extLst>
            <a:ext uri="{FF2B5EF4-FFF2-40B4-BE49-F238E27FC236}">
              <a16:creationId xmlns:a16="http://schemas.microsoft.com/office/drawing/2014/main" id="{18F757F5-68A1-4B75-9BF1-3E16AD5EF42F}"/>
            </a:ext>
          </a:extLst>
        </xdr:cNvPr>
        <xdr:cNvCxnSpPr/>
      </xdr:nvCxnSpPr>
      <xdr:spPr>
        <a:xfrm>
          <a:off x="0" y="11401425"/>
          <a:ext cx="1492567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63</xdr:row>
      <xdr:rowOff>85725</xdr:rowOff>
    </xdr:from>
    <xdr:to>
      <xdr:col>1</xdr:col>
      <xdr:colOff>4981575</xdr:colOff>
      <xdr:row>63</xdr:row>
      <xdr:rowOff>85725</xdr:rowOff>
    </xdr:to>
    <xdr:cxnSp macro="">
      <xdr:nvCxnSpPr>
        <xdr:cNvPr id="21" name="Straight Connector 20">
          <a:extLst>
            <a:ext uri="{FF2B5EF4-FFF2-40B4-BE49-F238E27FC236}">
              <a16:creationId xmlns:a16="http://schemas.microsoft.com/office/drawing/2014/main" id="{2DD01FA5-98FE-422C-896D-BA95221E3545}"/>
            </a:ext>
          </a:extLst>
        </xdr:cNvPr>
        <xdr:cNvCxnSpPr/>
      </xdr:nvCxnSpPr>
      <xdr:spPr>
        <a:xfrm>
          <a:off x="0" y="12163425"/>
          <a:ext cx="1692592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67</xdr:row>
      <xdr:rowOff>95250</xdr:rowOff>
    </xdr:from>
    <xdr:to>
      <xdr:col>1</xdr:col>
      <xdr:colOff>4981575</xdr:colOff>
      <xdr:row>67</xdr:row>
      <xdr:rowOff>95250</xdr:rowOff>
    </xdr:to>
    <xdr:cxnSp macro="">
      <xdr:nvCxnSpPr>
        <xdr:cNvPr id="3" name="Straight Connector 2">
          <a:extLst>
            <a:ext uri="{FF2B5EF4-FFF2-40B4-BE49-F238E27FC236}">
              <a16:creationId xmlns:a16="http://schemas.microsoft.com/office/drawing/2014/main" id="{7CCA9203-F718-411B-85AE-136F1CC9745B}"/>
            </a:ext>
          </a:extLst>
        </xdr:cNvPr>
        <xdr:cNvCxnSpPr/>
      </xdr:nvCxnSpPr>
      <xdr:spPr>
        <a:xfrm>
          <a:off x="0" y="12906375"/>
          <a:ext cx="16925925"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266700</xdr:colOff>
      <xdr:row>6</xdr:row>
      <xdr:rowOff>133349</xdr:rowOff>
    </xdr:from>
    <xdr:to>
      <xdr:col>13</xdr:col>
      <xdr:colOff>466725</xdr:colOff>
      <xdr:row>23</xdr:row>
      <xdr:rowOff>47625</xdr:rowOff>
    </xdr:to>
    <xdr:graphicFrame macro="">
      <xdr:nvGraphicFramePr>
        <xdr:cNvPr id="5" name="Chart 4">
          <a:extLst>
            <a:ext uri="{FF2B5EF4-FFF2-40B4-BE49-F238E27FC236}">
              <a16:creationId xmlns:a16="http://schemas.microsoft.com/office/drawing/2014/main" id="{7ADB3AB6-5FEC-AF81-DB9F-79A7BA459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7</xdr:row>
      <xdr:rowOff>0</xdr:rowOff>
    </xdr:from>
    <xdr:to>
      <xdr:col>18</xdr:col>
      <xdr:colOff>342900</xdr:colOff>
      <xdr:row>20</xdr:row>
      <xdr:rowOff>133349</xdr:rowOff>
    </xdr:to>
    <xdr:graphicFrame macro="">
      <xdr:nvGraphicFramePr>
        <xdr:cNvPr id="15" name="Chart 14">
          <a:extLst>
            <a:ext uri="{FF2B5EF4-FFF2-40B4-BE49-F238E27FC236}">
              <a16:creationId xmlns:a16="http://schemas.microsoft.com/office/drawing/2014/main" id="{5B5A0E5A-02EC-49FC-B257-2425C6986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7</xdr:row>
      <xdr:rowOff>0</xdr:rowOff>
    </xdr:from>
    <xdr:to>
      <xdr:col>25</xdr:col>
      <xdr:colOff>333375</xdr:colOff>
      <xdr:row>23</xdr:row>
      <xdr:rowOff>76200</xdr:rowOff>
    </xdr:to>
    <xdr:graphicFrame macro="">
      <xdr:nvGraphicFramePr>
        <xdr:cNvPr id="16" name="Chart 15">
          <a:extLst>
            <a:ext uri="{FF2B5EF4-FFF2-40B4-BE49-F238E27FC236}">
              <a16:creationId xmlns:a16="http://schemas.microsoft.com/office/drawing/2014/main" id="{56935CD8-0D97-4D73-8B8E-D45859085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0</xdr:colOff>
      <xdr:row>7</xdr:row>
      <xdr:rowOff>0</xdr:rowOff>
    </xdr:from>
    <xdr:to>
      <xdr:col>29</xdr:col>
      <xdr:colOff>314325</xdr:colOff>
      <xdr:row>23</xdr:row>
      <xdr:rowOff>95250</xdr:rowOff>
    </xdr:to>
    <xdr:graphicFrame macro="">
      <xdr:nvGraphicFramePr>
        <xdr:cNvPr id="17" name="Chart 16">
          <a:extLst>
            <a:ext uri="{FF2B5EF4-FFF2-40B4-BE49-F238E27FC236}">
              <a16:creationId xmlns:a16="http://schemas.microsoft.com/office/drawing/2014/main" id="{100036F3-8D1E-46E6-96D2-E980FC704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0</xdr:colOff>
      <xdr:row>15</xdr:row>
      <xdr:rowOff>0</xdr:rowOff>
    </xdr:from>
    <xdr:to>
      <xdr:col>32</xdr:col>
      <xdr:colOff>962025</xdr:colOff>
      <xdr:row>31</xdr:row>
      <xdr:rowOff>123825</xdr:rowOff>
    </xdr:to>
    <xdr:graphicFrame macro="">
      <xdr:nvGraphicFramePr>
        <xdr:cNvPr id="18" name="Chart 17">
          <a:extLst>
            <a:ext uri="{FF2B5EF4-FFF2-40B4-BE49-F238E27FC236}">
              <a16:creationId xmlns:a16="http://schemas.microsoft.com/office/drawing/2014/main" id="{27C381B3-19F6-4652-A174-0E9DF8322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1</xdr:colOff>
      <xdr:row>15</xdr:row>
      <xdr:rowOff>0</xdr:rowOff>
    </xdr:from>
    <xdr:to>
      <xdr:col>36</xdr:col>
      <xdr:colOff>581025</xdr:colOff>
      <xdr:row>32</xdr:row>
      <xdr:rowOff>9525</xdr:rowOff>
    </xdr:to>
    <xdr:graphicFrame macro="">
      <xdr:nvGraphicFramePr>
        <xdr:cNvPr id="19" name="Chart 18">
          <a:extLst>
            <a:ext uri="{FF2B5EF4-FFF2-40B4-BE49-F238E27FC236}">
              <a16:creationId xmlns:a16="http://schemas.microsoft.com/office/drawing/2014/main" id="{D2559B11-569F-4B4E-B8C4-908AC17B0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1</xdr:colOff>
      <xdr:row>9</xdr:row>
      <xdr:rowOff>0</xdr:rowOff>
    </xdr:from>
    <xdr:to>
      <xdr:col>42</xdr:col>
      <xdr:colOff>504826</xdr:colOff>
      <xdr:row>25</xdr:row>
      <xdr:rowOff>152400</xdr:rowOff>
    </xdr:to>
    <xdr:graphicFrame macro="">
      <xdr:nvGraphicFramePr>
        <xdr:cNvPr id="20" name="Chart 19">
          <a:extLst>
            <a:ext uri="{FF2B5EF4-FFF2-40B4-BE49-F238E27FC236}">
              <a16:creationId xmlns:a16="http://schemas.microsoft.com/office/drawing/2014/main" id="{68D74048-2610-4EFA-BE15-824F1BD09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1</xdr:colOff>
      <xdr:row>9</xdr:row>
      <xdr:rowOff>0</xdr:rowOff>
    </xdr:from>
    <xdr:to>
      <xdr:col>47</xdr:col>
      <xdr:colOff>66675</xdr:colOff>
      <xdr:row>21</xdr:row>
      <xdr:rowOff>95250</xdr:rowOff>
    </xdr:to>
    <xdr:graphicFrame macro="">
      <xdr:nvGraphicFramePr>
        <xdr:cNvPr id="22" name="Chart 21">
          <a:extLst>
            <a:ext uri="{FF2B5EF4-FFF2-40B4-BE49-F238E27FC236}">
              <a16:creationId xmlns:a16="http://schemas.microsoft.com/office/drawing/2014/main" id="{35D767BD-26F0-4D3E-BA70-01C7AE881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0</xdr:colOff>
      <xdr:row>8</xdr:row>
      <xdr:rowOff>0</xdr:rowOff>
    </xdr:from>
    <xdr:to>
      <xdr:col>51</xdr:col>
      <xdr:colOff>76200</xdr:colOff>
      <xdr:row>23</xdr:row>
      <xdr:rowOff>85725</xdr:rowOff>
    </xdr:to>
    <xdr:graphicFrame macro="">
      <xdr:nvGraphicFramePr>
        <xdr:cNvPr id="23" name="Chart 22">
          <a:extLst>
            <a:ext uri="{FF2B5EF4-FFF2-40B4-BE49-F238E27FC236}">
              <a16:creationId xmlns:a16="http://schemas.microsoft.com/office/drawing/2014/main" id="{4DEA3C28-6B9B-4C13-A404-46F025A16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438150</xdr:colOff>
      <xdr:row>0</xdr:row>
      <xdr:rowOff>12700</xdr:rowOff>
    </xdr:from>
    <xdr:to>
      <xdr:col>16</xdr:col>
      <xdr:colOff>247650</xdr:colOff>
      <xdr:row>3</xdr:row>
      <xdr:rowOff>76200</xdr:rowOff>
    </xdr:to>
    <xdr:sp macro="" textlink="">
      <xdr:nvSpPr>
        <xdr:cNvPr id="17" name="Rectangle 16">
          <a:extLst>
            <a:ext uri="{FF2B5EF4-FFF2-40B4-BE49-F238E27FC236}">
              <a16:creationId xmlns:a16="http://schemas.microsoft.com/office/drawing/2014/main" id="{3AC98B16-CA8C-2FF6-DF33-C1833F5A1A22}"/>
            </a:ext>
          </a:extLst>
        </xdr:cNvPr>
        <xdr:cNvSpPr/>
      </xdr:nvSpPr>
      <xdr:spPr>
        <a:xfrm>
          <a:off x="5924550" y="12700"/>
          <a:ext cx="4076700" cy="558800"/>
        </a:xfrm>
        <a:prstGeom prst="rect">
          <a:avLst/>
        </a:prstGeom>
        <a:solidFill>
          <a:srgbClr val="FFFFFF"/>
        </a:solidFill>
        <a:ln w="6350">
          <a:solidFill>
            <a:srgbClr val="DADAD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a:solidFill>
                <a:srgbClr val="2E7D32"/>
              </a:solidFill>
              <a:latin typeface="Times New Roman" panose="02020603050405020304" pitchFamily="18" charset="0"/>
              <a:cs typeface="Times New Roman" panose="02020603050405020304" pitchFamily="18" charset="0"/>
            </a:rPr>
            <a:t>SUPPLY</a:t>
          </a:r>
          <a:r>
            <a:rPr lang="en-US" sz="2000" b="1" baseline="0">
              <a:solidFill>
                <a:srgbClr val="2E7D32"/>
              </a:solidFill>
              <a:latin typeface="Times New Roman" panose="02020603050405020304" pitchFamily="18" charset="0"/>
              <a:cs typeface="Times New Roman" panose="02020603050405020304" pitchFamily="18" charset="0"/>
            </a:rPr>
            <a:t> CHAIN ANALYSIS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rgbClr val="2E7D32"/>
              </a:solidFill>
              <a:effectLst/>
              <a:latin typeface="Times New Roman" panose="02020603050405020304" pitchFamily="18" charset="0"/>
              <a:ea typeface="+mn-ea"/>
              <a:cs typeface="Times New Roman" panose="02020603050405020304" pitchFamily="18" charset="0"/>
            </a:rPr>
            <a:t>Performance</a:t>
          </a:r>
          <a:r>
            <a:rPr lang="en-US" sz="1200" b="1" baseline="0">
              <a:solidFill>
                <a:srgbClr val="2E7D32"/>
              </a:solidFill>
              <a:effectLst/>
              <a:latin typeface="Times New Roman" panose="02020603050405020304" pitchFamily="18" charset="0"/>
              <a:ea typeface="+mn-ea"/>
              <a:cs typeface="Times New Roman" panose="02020603050405020304" pitchFamily="18" charset="0"/>
            </a:rPr>
            <a:t> Overview and Operational Insights</a:t>
          </a:r>
          <a:endParaRPr lang="en-US" sz="1200">
            <a:solidFill>
              <a:srgbClr val="2E7D32"/>
            </a:solidFill>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50800</xdr:colOff>
      <xdr:row>7</xdr:row>
      <xdr:rowOff>152399</xdr:rowOff>
    </xdr:from>
    <xdr:to>
      <xdr:col>4</xdr:col>
      <xdr:colOff>393700</xdr:colOff>
      <xdr:row>42</xdr:row>
      <xdr:rowOff>36575</xdr:rowOff>
    </xdr:to>
    <xdr:grpSp>
      <xdr:nvGrpSpPr>
        <xdr:cNvPr id="26" name="Group 25">
          <a:extLst>
            <a:ext uri="{FF2B5EF4-FFF2-40B4-BE49-F238E27FC236}">
              <a16:creationId xmlns:a16="http://schemas.microsoft.com/office/drawing/2014/main" id="{16EE84FD-B970-C40B-C2A0-F2DA72D6FF08}"/>
            </a:ext>
          </a:extLst>
        </xdr:cNvPr>
        <xdr:cNvGrpSpPr/>
      </xdr:nvGrpSpPr>
      <xdr:grpSpPr>
        <a:xfrm>
          <a:off x="50800" y="1435099"/>
          <a:ext cx="2781300" cy="5713476"/>
          <a:chOff x="25400" y="1638300"/>
          <a:chExt cx="3467100" cy="5739244"/>
        </a:xfrm>
      </xdr:grpSpPr>
      <xdr:graphicFrame macro="">
        <xdr:nvGraphicFramePr>
          <xdr:cNvPr id="14" name="Chart 13">
            <a:extLst>
              <a:ext uri="{FF2B5EF4-FFF2-40B4-BE49-F238E27FC236}">
                <a16:creationId xmlns:a16="http://schemas.microsoft.com/office/drawing/2014/main" id="{B1030E33-E261-4341-9A04-2102E446193D}"/>
              </a:ext>
            </a:extLst>
          </xdr:cNvPr>
          <xdr:cNvGraphicFramePr>
            <a:graphicFrameLocks/>
          </xdr:cNvGraphicFramePr>
        </xdr:nvGraphicFramePr>
        <xdr:xfrm>
          <a:off x="26162" y="4274236"/>
          <a:ext cx="3465575" cy="310330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D33C29E2-E382-444F-88D5-4275F3626A14}"/>
              </a:ext>
            </a:extLst>
          </xdr:cNvPr>
          <xdr:cNvGraphicFramePr>
            <a:graphicFrameLocks/>
          </xdr:cNvGraphicFramePr>
        </xdr:nvGraphicFramePr>
        <xdr:xfrm>
          <a:off x="25400" y="1638300"/>
          <a:ext cx="3467100" cy="24003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15</xdr:col>
      <xdr:colOff>242545</xdr:colOff>
      <xdr:row>7</xdr:row>
      <xdr:rowOff>152399</xdr:rowOff>
    </xdr:from>
    <xdr:to>
      <xdr:col>19</xdr:col>
      <xdr:colOff>542332</xdr:colOff>
      <xdr:row>42</xdr:row>
      <xdr:rowOff>38099</xdr:rowOff>
    </xdr:to>
    <xdr:grpSp>
      <xdr:nvGrpSpPr>
        <xdr:cNvPr id="9" name="Group 8">
          <a:extLst>
            <a:ext uri="{FF2B5EF4-FFF2-40B4-BE49-F238E27FC236}">
              <a16:creationId xmlns:a16="http://schemas.microsoft.com/office/drawing/2014/main" id="{D3330EB4-6DBB-96BA-2E01-9CA6AC200598}"/>
            </a:ext>
          </a:extLst>
        </xdr:cNvPr>
        <xdr:cNvGrpSpPr/>
      </xdr:nvGrpSpPr>
      <xdr:grpSpPr>
        <a:xfrm>
          <a:off x="9386545" y="1435099"/>
          <a:ext cx="2738187" cy="5715000"/>
          <a:chOff x="9402734" y="1449324"/>
          <a:chExt cx="2738187" cy="5699251"/>
        </a:xfrm>
      </xdr:grpSpPr>
      <xdr:graphicFrame macro="">
        <xdr:nvGraphicFramePr>
          <xdr:cNvPr id="10" name="Chart 9">
            <a:extLst>
              <a:ext uri="{FF2B5EF4-FFF2-40B4-BE49-F238E27FC236}">
                <a16:creationId xmlns:a16="http://schemas.microsoft.com/office/drawing/2014/main" id="{BEB7B41D-54D6-4ABD-9D2A-69069F68300D}"/>
              </a:ext>
            </a:extLst>
          </xdr:cNvPr>
          <xdr:cNvGraphicFramePr>
            <a:graphicFrameLocks/>
          </xdr:cNvGraphicFramePr>
        </xdr:nvGraphicFramePr>
        <xdr:xfrm>
          <a:off x="9408456" y="5421714"/>
          <a:ext cx="2726742" cy="172686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a:extLst>
              <a:ext uri="{FF2B5EF4-FFF2-40B4-BE49-F238E27FC236}">
                <a16:creationId xmlns:a16="http://schemas.microsoft.com/office/drawing/2014/main" id="{C0AF2CF2-0307-48CB-B32C-A82843F9C565}"/>
              </a:ext>
            </a:extLst>
          </xdr:cNvPr>
          <xdr:cNvGraphicFramePr>
            <a:graphicFrameLocks/>
          </xdr:cNvGraphicFramePr>
        </xdr:nvGraphicFramePr>
        <xdr:xfrm>
          <a:off x="9404164" y="3435519"/>
          <a:ext cx="2735326" cy="172585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9" name="Chart 18">
            <a:extLst>
              <a:ext uri="{FF2B5EF4-FFF2-40B4-BE49-F238E27FC236}">
                <a16:creationId xmlns:a16="http://schemas.microsoft.com/office/drawing/2014/main" id="{1C00AC89-B9C1-4E70-90E3-BCD06661DC4A}"/>
              </a:ext>
            </a:extLst>
          </xdr:cNvPr>
          <xdr:cNvGraphicFramePr>
            <a:graphicFrameLocks/>
          </xdr:cNvGraphicFramePr>
        </xdr:nvGraphicFramePr>
        <xdr:xfrm>
          <a:off x="9402734" y="1449324"/>
          <a:ext cx="2738187" cy="172585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511769</xdr:colOff>
      <xdr:row>7</xdr:row>
      <xdr:rowOff>152399</xdr:rowOff>
    </xdr:from>
    <xdr:to>
      <xdr:col>15</xdr:col>
      <xdr:colOff>47031</xdr:colOff>
      <xdr:row>42</xdr:row>
      <xdr:rowOff>36575</xdr:rowOff>
    </xdr:to>
    <xdr:grpSp>
      <xdr:nvGrpSpPr>
        <xdr:cNvPr id="28" name="Group 27">
          <a:extLst>
            <a:ext uri="{FF2B5EF4-FFF2-40B4-BE49-F238E27FC236}">
              <a16:creationId xmlns:a16="http://schemas.microsoft.com/office/drawing/2014/main" id="{AC9DA593-7867-9BD9-CE7F-FCD5CA87447C}"/>
            </a:ext>
          </a:extLst>
        </xdr:cNvPr>
        <xdr:cNvGrpSpPr/>
      </xdr:nvGrpSpPr>
      <xdr:grpSpPr>
        <a:xfrm>
          <a:off x="5998169" y="1435099"/>
          <a:ext cx="3192862" cy="5713476"/>
          <a:chOff x="7138881" y="1638300"/>
          <a:chExt cx="3730752" cy="5727826"/>
        </a:xfrm>
      </xdr:grpSpPr>
      <xdr:graphicFrame macro="">
        <xdr:nvGraphicFramePr>
          <xdr:cNvPr id="11" name="Chart 10">
            <a:extLst>
              <a:ext uri="{FF2B5EF4-FFF2-40B4-BE49-F238E27FC236}">
                <a16:creationId xmlns:a16="http://schemas.microsoft.com/office/drawing/2014/main" id="{7794166B-5EFA-4B6E-BCC8-A835DDDCC942}"/>
              </a:ext>
            </a:extLst>
          </xdr:cNvPr>
          <xdr:cNvGraphicFramePr>
            <a:graphicFrameLocks/>
          </xdr:cNvGraphicFramePr>
        </xdr:nvGraphicFramePr>
        <xdr:xfrm>
          <a:off x="7138881" y="4257166"/>
          <a:ext cx="3730752" cy="310896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0" name="Chart 19">
            <a:extLst>
              <a:ext uri="{FF2B5EF4-FFF2-40B4-BE49-F238E27FC236}">
                <a16:creationId xmlns:a16="http://schemas.microsoft.com/office/drawing/2014/main" id="{5119DA20-811F-44CE-B069-7F535FF0C545}"/>
              </a:ext>
            </a:extLst>
          </xdr:cNvPr>
          <xdr:cNvGraphicFramePr>
            <a:graphicFrameLocks/>
          </xdr:cNvGraphicFramePr>
        </xdr:nvGraphicFramePr>
        <xdr:xfrm>
          <a:off x="7138881" y="1638300"/>
          <a:ext cx="3730752" cy="240487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20</xdr:col>
      <xdr:colOff>128246</xdr:colOff>
      <xdr:row>7</xdr:row>
      <xdr:rowOff>152399</xdr:rowOff>
    </xdr:from>
    <xdr:to>
      <xdr:col>25</xdr:col>
      <xdr:colOff>254987</xdr:colOff>
      <xdr:row>38</xdr:row>
      <xdr:rowOff>152400</xdr:rowOff>
    </xdr:to>
    <xdr:sp macro="" textlink="">
      <xdr:nvSpPr>
        <xdr:cNvPr id="29" name="Rectangle 28">
          <a:extLst>
            <a:ext uri="{FF2B5EF4-FFF2-40B4-BE49-F238E27FC236}">
              <a16:creationId xmlns:a16="http://schemas.microsoft.com/office/drawing/2014/main" id="{AF6AEB73-8BE9-60F8-3B31-3855FE1C3CCE}"/>
            </a:ext>
          </a:extLst>
        </xdr:cNvPr>
        <xdr:cNvSpPr/>
      </xdr:nvSpPr>
      <xdr:spPr>
        <a:xfrm>
          <a:off x="12320246" y="1435099"/>
          <a:ext cx="3174741" cy="5168901"/>
        </a:xfrm>
        <a:prstGeom prst="rect">
          <a:avLst/>
        </a:prstGeom>
        <a:solidFill>
          <a:srgbClr val="FFFFFF"/>
        </a:solidFill>
        <a:ln w="6350">
          <a:solidFill>
            <a:srgbClr val="DADAD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700" b="1">
              <a:solidFill>
                <a:srgbClr val="212121"/>
              </a:solidFill>
              <a:latin typeface="Times New Roman" panose="02020603050405020304" pitchFamily="18" charset="0"/>
              <a:cs typeface="Times New Roman" panose="02020603050405020304" pitchFamily="18" charset="0"/>
            </a:rPr>
            <a:t>Key</a:t>
          </a:r>
          <a:r>
            <a:rPr lang="en-US" sz="1700" b="1" baseline="0">
              <a:solidFill>
                <a:srgbClr val="212121"/>
              </a:solidFill>
              <a:latin typeface="Times New Roman" panose="02020603050405020304" pitchFamily="18" charset="0"/>
              <a:cs typeface="Times New Roman" panose="02020603050405020304" pitchFamily="18" charset="0"/>
            </a:rPr>
            <a:t> Insights and Observations:</a:t>
          </a:r>
        </a:p>
        <a:p>
          <a:pPr algn="l"/>
          <a:r>
            <a:rPr lang="en-US" sz="1400" b="1">
              <a:solidFill>
                <a:srgbClr val="616161"/>
              </a:solidFill>
              <a:latin typeface="Times New Roman" panose="02020603050405020304" pitchFamily="18" charset="0"/>
              <a:cs typeface="Times New Roman" panose="02020603050405020304" pitchFamily="18" charset="0"/>
            </a:rPr>
            <a:t>•</a:t>
          </a:r>
          <a:r>
            <a:rPr lang="en-US" sz="1400" b="1" baseline="0">
              <a:solidFill>
                <a:srgbClr val="616161"/>
              </a:solidFill>
              <a:latin typeface="Times New Roman" panose="02020603050405020304" pitchFamily="18" charset="0"/>
              <a:cs typeface="Times New Roman" panose="02020603050405020304" pitchFamily="18" charset="0"/>
            </a:rPr>
            <a:t> </a:t>
          </a:r>
          <a:r>
            <a:rPr lang="en-US" sz="1400" b="0" baseline="0">
              <a:solidFill>
                <a:srgbClr val="616161"/>
              </a:solidFill>
              <a:latin typeface="Times New Roman" panose="02020603050405020304" pitchFamily="18" charset="0"/>
              <a:cs typeface="Times New Roman" panose="02020603050405020304" pitchFamily="18" charset="0"/>
            </a:rPr>
            <a:t>Skincare generates the highest revenue, making it the most dominant product category in the supply chain.</a:t>
          </a:r>
        </a:p>
        <a:p>
          <a:pPr algn="l"/>
          <a:endParaRPr lang="en-US" sz="1400" b="0" baseline="0">
            <a:solidFill>
              <a:srgbClr val="616161"/>
            </a:solidFill>
            <a:latin typeface="Times New Roman" panose="02020603050405020304" pitchFamily="18" charset="0"/>
            <a:cs typeface="Times New Roman" panose="02020603050405020304" pitchFamily="18" charset="0"/>
          </a:endParaRPr>
        </a:p>
        <a:p>
          <a:pPr algn="l"/>
          <a:r>
            <a:rPr lang="en-US" sz="1400" b="0" baseline="0">
              <a:solidFill>
                <a:srgbClr val="616161"/>
              </a:solidFill>
              <a:latin typeface="Times New Roman" panose="02020603050405020304" pitchFamily="18" charset="0"/>
              <a:cs typeface="Times New Roman" panose="02020603050405020304" pitchFamily="18" charset="0"/>
            </a:rPr>
            <a:t>• Carrier B incurs the highest shipping cost, yet does not demonstrate proportional cost efficiency, indicating potential inefficiencies.</a:t>
          </a:r>
        </a:p>
        <a:p>
          <a:pPr algn="l"/>
          <a:endParaRPr lang="en-US" sz="1400" b="0" baseline="0">
            <a:solidFill>
              <a:srgbClr val="616161"/>
            </a:solidFill>
            <a:latin typeface="Times New Roman" panose="02020603050405020304" pitchFamily="18" charset="0"/>
            <a:cs typeface="Times New Roman" panose="02020603050405020304" pitchFamily="18" charset="0"/>
          </a:endParaRPr>
        </a:p>
        <a:p>
          <a:pPr algn="l"/>
          <a:r>
            <a:rPr lang="en-US" sz="1400" b="0" baseline="0">
              <a:solidFill>
                <a:srgbClr val="616161"/>
              </a:solidFill>
              <a:latin typeface="Times New Roman" panose="02020603050405020304" pitchFamily="18" charset="0"/>
              <a:cs typeface="Times New Roman" panose="02020603050405020304" pitchFamily="18" charset="0"/>
            </a:rPr>
            <a:t>• SKU12 and other high-stock items are not among top revenue generators, suggesting overstocking and inefficient inventory allocation.</a:t>
          </a:r>
        </a:p>
        <a:p>
          <a:pPr algn="l"/>
          <a:endParaRPr lang="en-US" sz="1400" b="0" baseline="0">
            <a:solidFill>
              <a:srgbClr val="616161"/>
            </a:solidFill>
            <a:latin typeface="Times New Roman" panose="02020603050405020304" pitchFamily="18" charset="0"/>
            <a:cs typeface="Times New Roman" panose="02020603050405020304" pitchFamily="18" charset="0"/>
          </a:endParaRPr>
        </a:p>
        <a:p>
          <a:pPr algn="l"/>
          <a:r>
            <a:rPr lang="en-US" sz="1400" b="0" baseline="0">
              <a:solidFill>
                <a:srgbClr val="616161"/>
              </a:solidFill>
              <a:latin typeface="Times New Roman" panose="02020603050405020304" pitchFamily="18" charset="0"/>
              <a:cs typeface="Times New Roman" panose="02020603050405020304" pitchFamily="18" charset="0"/>
            </a:rPr>
            <a:t>• Air and Sea transportation modes show higher defect rates, particularly for Haircare products, highlighting potential logistics and handling issues.</a:t>
          </a:r>
        </a:p>
        <a:p>
          <a:pPr algn="l"/>
          <a:endParaRPr lang="en-US" sz="1400" b="0" baseline="0">
            <a:solidFill>
              <a:srgbClr val="616161"/>
            </a:solidFill>
            <a:latin typeface="Times New Roman" panose="02020603050405020304" pitchFamily="18" charset="0"/>
            <a:cs typeface="Times New Roman" panose="02020603050405020304" pitchFamily="18" charset="0"/>
          </a:endParaRPr>
        </a:p>
        <a:p>
          <a:pPr algn="l"/>
          <a:r>
            <a:rPr lang="en-US" sz="1400" b="0" baseline="0">
              <a:solidFill>
                <a:srgbClr val="616161"/>
              </a:solidFill>
              <a:latin typeface="Times New Roman" panose="02020603050405020304" pitchFamily="18" charset="0"/>
              <a:cs typeface="Times New Roman" panose="02020603050405020304" pitchFamily="18" charset="0"/>
            </a:rPr>
            <a:t>• Profit margins are significantly high across all product categories, though this may be influenced by limited cost variables in the dataset.</a:t>
          </a:r>
        </a:p>
        <a:p>
          <a:pPr algn="l"/>
          <a:endParaRPr lang="en-US" sz="1200" b="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25</xdr:col>
      <xdr:colOff>450500</xdr:colOff>
      <xdr:row>7</xdr:row>
      <xdr:rowOff>165099</xdr:rowOff>
    </xdr:from>
    <xdr:to>
      <xdr:col>27</xdr:col>
      <xdr:colOff>319436</xdr:colOff>
      <xdr:row>38</xdr:row>
      <xdr:rowOff>152400</xdr:rowOff>
    </xdr:to>
    <xdr:grpSp>
      <xdr:nvGrpSpPr>
        <xdr:cNvPr id="16" name="Group 15">
          <a:extLst>
            <a:ext uri="{FF2B5EF4-FFF2-40B4-BE49-F238E27FC236}">
              <a16:creationId xmlns:a16="http://schemas.microsoft.com/office/drawing/2014/main" id="{E2403850-DA4F-0787-CE75-69C8486D0111}"/>
            </a:ext>
          </a:extLst>
        </xdr:cNvPr>
        <xdr:cNvGrpSpPr/>
      </xdr:nvGrpSpPr>
      <xdr:grpSpPr>
        <a:xfrm>
          <a:off x="15690500" y="1447799"/>
          <a:ext cx="1088136" cy="5156201"/>
          <a:chOff x="15690500" y="1447799"/>
          <a:chExt cx="1088136" cy="5156201"/>
        </a:xfrm>
      </xdr:grpSpPr>
      <mc:AlternateContent xmlns:mc="http://schemas.openxmlformats.org/markup-compatibility/2006">
        <mc:Choice xmlns:a14="http://schemas.microsoft.com/office/drawing/2010/main" Requires="a14">
          <xdr:graphicFrame macro="">
            <xdr:nvGraphicFramePr>
              <xdr:cNvPr id="30" name="Product_Type">
                <a:extLst>
                  <a:ext uri="{FF2B5EF4-FFF2-40B4-BE49-F238E27FC236}">
                    <a16:creationId xmlns:a16="http://schemas.microsoft.com/office/drawing/2014/main" id="{26C0CB67-AA94-6E0F-5382-387871F29D10}"/>
                  </a:ext>
                </a:extLst>
              </xdr:cNvPr>
              <xdr:cNvGraphicFramePr/>
            </xdr:nvGraphicFramePr>
            <xdr:xfrm>
              <a:off x="15690500" y="2528824"/>
              <a:ext cx="1088136" cy="794246"/>
            </xdr:xfrm>
            <a:graphic>
              <a:graphicData uri="http://schemas.microsoft.com/office/drawing/2010/slicer">
                <sle:slicer xmlns:sle="http://schemas.microsoft.com/office/drawing/2010/slicer" name="Product_Type"/>
              </a:graphicData>
            </a:graphic>
          </xdr:graphicFrame>
        </mc:Choice>
        <mc:Fallback>
          <xdr:sp macro="" textlink="">
            <xdr:nvSpPr>
              <xdr:cNvPr id="0" name=""/>
              <xdr:cNvSpPr>
                <a:spLocks noTextEdit="1"/>
              </xdr:cNvSpPr>
            </xdr:nvSpPr>
            <xdr:spPr>
              <a:xfrm>
                <a:off x="15690500" y="2528824"/>
                <a:ext cx="1088136" cy="794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SKU">
                <a:extLst>
                  <a:ext uri="{FF2B5EF4-FFF2-40B4-BE49-F238E27FC236}">
                    <a16:creationId xmlns:a16="http://schemas.microsoft.com/office/drawing/2014/main" id="{D7BB56D7-3F8D-8E25-FADE-D141FCB13AC0}"/>
                  </a:ext>
                </a:extLst>
              </xdr:cNvPr>
              <xdr:cNvGraphicFramePr/>
            </xdr:nvGraphicFramePr>
            <xdr:xfrm>
              <a:off x="15690500" y="1447799"/>
              <a:ext cx="1088136" cy="794246"/>
            </xdr:xfrm>
            <a:graphic>
              <a:graphicData uri="http://schemas.microsoft.com/office/drawing/2010/slicer">
                <sle:slicer xmlns:sle="http://schemas.microsoft.com/office/drawing/2010/slicer" name="SKU"/>
              </a:graphicData>
            </a:graphic>
          </xdr:graphicFrame>
        </mc:Choice>
        <mc:Fallback>
          <xdr:sp macro="" textlink="">
            <xdr:nvSpPr>
              <xdr:cNvPr id="0" name=""/>
              <xdr:cNvSpPr>
                <a:spLocks noTextEdit="1"/>
              </xdr:cNvSpPr>
            </xdr:nvSpPr>
            <xdr:spPr>
              <a:xfrm>
                <a:off x="15690500" y="1447799"/>
                <a:ext cx="1088136" cy="794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2" name="Shipping_Carriers">
                <a:extLst>
                  <a:ext uri="{FF2B5EF4-FFF2-40B4-BE49-F238E27FC236}">
                    <a16:creationId xmlns:a16="http://schemas.microsoft.com/office/drawing/2014/main" id="{245A9A9E-3482-F9C5-3FC0-70E2C9D5617A}"/>
                  </a:ext>
                </a:extLst>
              </xdr:cNvPr>
              <xdr:cNvGraphicFramePr/>
            </xdr:nvGraphicFramePr>
            <xdr:xfrm>
              <a:off x="15690500" y="3622549"/>
              <a:ext cx="1088136" cy="794246"/>
            </xdr:xfrm>
            <a:graphic>
              <a:graphicData uri="http://schemas.microsoft.com/office/drawing/2010/slicer">
                <sle:slicer xmlns:sle="http://schemas.microsoft.com/office/drawing/2010/slicer" name="Shipping_Carriers"/>
              </a:graphicData>
            </a:graphic>
          </xdr:graphicFrame>
        </mc:Choice>
        <mc:Fallback>
          <xdr:sp macro="" textlink="">
            <xdr:nvSpPr>
              <xdr:cNvPr id="0" name=""/>
              <xdr:cNvSpPr>
                <a:spLocks noTextEdit="1"/>
              </xdr:cNvSpPr>
            </xdr:nvSpPr>
            <xdr:spPr>
              <a:xfrm>
                <a:off x="15690500" y="3622549"/>
                <a:ext cx="1088136" cy="794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3" name="Transportation_Modes">
                <a:extLst>
                  <a:ext uri="{FF2B5EF4-FFF2-40B4-BE49-F238E27FC236}">
                    <a16:creationId xmlns:a16="http://schemas.microsoft.com/office/drawing/2014/main" id="{2B20423E-798B-AE91-7213-66FDADB98B22}"/>
                  </a:ext>
                </a:extLst>
              </xdr:cNvPr>
              <xdr:cNvGraphicFramePr/>
            </xdr:nvGraphicFramePr>
            <xdr:xfrm>
              <a:off x="15690500" y="4716274"/>
              <a:ext cx="1088136" cy="794246"/>
            </xdr:xfrm>
            <a:graphic>
              <a:graphicData uri="http://schemas.microsoft.com/office/drawing/2010/slicer">
                <sle:slicer xmlns:sle="http://schemas.microsoft.com/office/drawing/2010/slicer" name="Transportation_Modes"/>
              </a:graphicData>
            </a:graphic>
          </xdr:graphicFrame>
        </mc:Choice>
        <mc:Fallback>
          <xdr:sp macro="" textlink="">
            <xdr:nvSpPr>
              <xdr:cNvPr id="0" name=""/>
              <xdr:cNvSpPr>
                <a:spLocks noTextEdit="1"/>
              </xdr:cNvSpPr>
            </xdr:nvSpPr>
            <xdr:spPr>
              <a:xfrm>
                <a:off x="15690500" y="4716274"/>
                <a:ext cx="1088136" cy="794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4" name="Routes">
                <a:extLst>
                  <a:ext uri="{FF2B5EF4-FFF2-40B4-BE49-F238E27FC236}">
                    <a16:creationId xmlns:a16="http://schemas.microsoft.com/office/drawing/2014/main" id="{27A5544E-ACD2-67D7-5CDD-3F71BCEA4454}"/>
                  </a:ext>
                </a:extLst>
              </xdr:cNvPr>
              <xdr:cNvGraphicFramePr/>
            </xdr:nvGraphicFramePr>
            <xdr:xfrm>
              <a:off x="15691643" y="5809998"/>
              <a:ext cx="1085850" cy="794002"/>
            </xdr:xfrm>
            <a:graphic>
              <a:graphicData uri="http://schemas.microsoft.com/office/drawing/2010/slicer">
                <sle:slicer xmlns:sle="http://schemas.microsoft.com/office/drawing/2010/slicer" name="Routes"/>
              </a:graphicData>
            </a:graphic>
          </xdr:graphicFrame>
        </mc:Choice>
        <mc:Fallback>
          <xdr:sp macro="" textlink="">
            <xdr:nvSpPr>
              <xdr:cNvPr id="0" name=""/>
              <xdr:cNvSpPr>
                <a:spLocks noTextEdit="1"/>
              </xdr:cNvSpPr>
            </xdr:nvSpPr>
            <xdr:spPr>
              <a:xfrm>
                <a:off x="15691643" y="5809998"/>
                <a:ext cx="1085850" cy="794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twoCellAnchor>
    <xdr:from>
      <xdr:col>6</xdr:col>
      <xdr:colOff>418511</xdr:colOff>
      <xdr:row>3</xdr:row>
      <xdr:rowOff>134493</xdr:rowOff>
    </xdr:from>
    <xdr:to>
      <xdr:col>9</xdr:col>
      <xdr:colOff>574309</xdr:colOff>
      <xdr:row>5</xdr:row>
      <xdr:rowOff>151765</xdr:rowOff>
    </xdr:to>
    <xdr:sp macro="" textlink="">
      <xdr:nvSpPr>
        <xdr:cNvPr id="3" name="Rectangle 2">
          <a:extLst>
            <a:ext uri="{FF2B5EF4-FFF2-40B4-BE49-F238E27FC236}">
              <a16:creationId xmlns:a16="http://schemas.microsoft.com/office/drawing/2014/main" id="{BC75CB8E-4685-4E46-A5E8-037E459021A5}"/>
            </a:ext>
          </a:extLst>
        </xdr:cNvPr>
        <xdr:cNvSpPr/>
      </xdr:nvSpPr>
      <xdr:spPr>
        <a:xfrm>
          <a:off x="4076111" y="629793"/>
          <a:ext cx="1984598" cy="347472"/>
        </a:xfrm>
        <a:prstGeom prst="rect">
          <a:avLst/>
        </a:prstGeom>
        <a:solidFill>
          <a:srgbClr val="FFFFFF">
            <a:alpha val="89804"/>
          </a:srgbClr>
        </a:solidFill>
        <a:ln>
          <a:solidFill>
            <a:srgbClr val="DADADA">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616161"/>
              </a:solidFill>
              <a:latin typeface="Times New Roman" panose="02020603050405020304" pitchFamily="18" charset="0"/>
              <a:cs typeface="Times New Roman" panose="02020603050405020304" pitchFamily="18" charset="0"/>
            </a:rPr>
            <a:t>Total</a:t>
          </a:r>
          <a:r>
            <a:rPr lang="en-US" sz="1400" b="1" baseline="0">
              <a:solidFill>
                <a:srgbClr val="616161"/>
              </a:solidFill>
              <a:latin typeface="Times New Roman" panose="02020603050405020304" pitchFamily="18" charset="0"/>
              <a:cs typeface="Times New Roman" panose="02020603050405020304" pitchFamily="18" charset="0"/>
            </a:rPr>
            <a:t> Operational Cost</a:t>
          </a:r>
          <a:endParaRPr lang="en-US" sz="1400" b="1">
            <a:solidFill>
              <a:srgbClr val="61616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180020</xdr:colOff>
      <xdr:row>3</xdr:row>
      <xdr:rowOff>134493</xdr:rowOff>
    </xdr:from>
    <xdr:to>
      <xdr:col>15</xdr:col>
      <xdr:colOff>193414</xdr:colOff>
      <xdr:row>5</xdr:row>
      <xdr:rowOff>151765</xdr:rowOff>
    </xdr:to>
    <xdr:sp macro="" textlink="">
      <xdr:nvSpPr>
        <xdr:cNvPr id="4" name="Rectangle 3">
          <a:extLst>
            <a:ext uri="{FF2B5EF4-FFF2-40B4-BE49-F238E27FC236}">
              <a16:creationId xmlns:a16="http://schemas.microsoft.com/office/drawing/2014/main" id="{3834B54C-FD71-4B95-B466-430E2200FC6B}"/>
            </a:ext>
          </a:extLst>
        </xdr:cNvPr>
        <xdr:cNvSpPr/>
      </xdr:nvSpPr>
      <xdr:spPr>
        <a:xfrm>
          <a:off x="7495220" y="629793"/>
          <a:ext cx="1842194" cy="347472"/>
        </a:xfrm>
        <a:prstGeom prst="rect">
          <a:avLst/>
        </a:prstGeom>
        <a:solidFill>
          <a:srgbClr val="FFFFFF"/>
        </a:solidFill>
        <a:ln>
          <a:solidFill>
            <a:srgbClr val="DADAD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rgbClr val="616161"/>
              </a:solidFill>
              <a:latin typeface="Times New Roman" panose="02020603050405020304" pitchFamily="18" charset="0"/>
              <a:cs typeface="Times New Roman" panose="02020603050405020304" pitchFamily="18" charset="0"/>
            </a:rPr>
            <a:t>Net Profit Generated</a:t>
          </a:r>
          <a:endParaRPr lang="en-US" sz="1400" b="1">
            <a:solidFill>
              <a:srgbClr val="61616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408725</xdr:colOff>
      <xdr:row>3</xdr:row>
      <xdr:rowOff>134493</xdr:rowOff>
    </xdr:from>
    <xdr:to>
      <xdr:col>21</xdr:col>
      <xdr:colOff>15025</xdr:colOff>
      <xdr:row>5</xdr:row>
      <xdr:rowOff>151765</xdr:rowOff>
    </xdr:to>
    <xdr:sp macro="" textlink="">
      <xdr:nvSpPr>
        <xdr:cNvPr id="5" name="Rectangle 4">
          <a:extLst>
            <a:ext uri="{FF2B5EF4-FFF2-40B4-BE49-F238E27FC236}">
              <a16:creationId xmlns:a16="http://schemas.microsoft.com/office/drawing/2014/main" id="{0731B2BC-459C-4F41-9B16-EDBD494BBF4D}"/>
            </a:ext>
          </a:extLst>
        </xdr:cNvPr>
        <xdr:cNvSpPr/>
      </xdr:nvSpPr>
      <xdr:spPr>
        <a:xfrm>
          <a:off x="10771925" y="629793"/>
          <a:ext cx="2044700" cy="347472"/>
        </a:xfrm>
        <a:prstGeom prst="rect">
          <a:avLst/>
        </a:prstGeom>
        <a:solidFill>
          <a:srgbClr val="FFFFFF"/>
        </a:solidFill>
        <a:ln>
          <a:solidFill>
            <a:srgbClr val="DADAD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rgbClr val="616161"/>
              </a:solidFill>
              <a:latin typeface="Times New Roman" panose="02020603050405020304" pitchFamily="18" charset="0"/>
              <a:cs typeface="Times New Roman" panose="02020603050405020304" pitchFamily="18" charset="0"/>
            </a:rPr>
            <a:t>Total Units Sold</a:t>
          </a:r>
          <a:endParaRPr lang="en-US" sz="1400" b="1">
            <a:solidFill>
              <a:srgbClr val="61616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254000</xdr:colOff>
      <xdr:row>3</xdr:row>
      <xdr:rowOff>134493</xdr:rowOff>
    </xdr:from>
    <xdr:to>
      <xdr:col>4</xdr:col>
      <xdr:colOff>203200</xdr:colOff>
      <xdr:row>5</xdr:row>
      <xdr:rowOff>147193</xdr:rowOff>
    </xdr:to>
    <xdr:sp macro="" textlink="">
      <xdr:nvSpPr>
        <xdr:cNvPr id="8" name="Rectangle 7">
          <a:extLst>
            <a:ext uri="{FF2B5EF4-FFF2-40B4-BE49-F238E27FC236}">
              <a16:creationId xmlns:a16="http://schemas.microsoft.com/office/drawing/2014/main" id="{BB3B87B4-DD05-DBD1-13DA-3812FCA47D07}"/>
            </a:ext>
          </a:extLst>
        </xdr:cNvPr>
        <xdr:cNvSpPr/>
      </xdr:nvSpPr>
      <xdr:spPr>
        <a:xfrm>
          <a:off x="254000" y="629793"/>
          <a:ext cx="2387600" cy="342900"/>
        </a:xfrm>
        <a:prstGeom prst="rect">
          <a:avLst/>
        </a:prstGeom>
        <a:solidFill>
          <a:srgbClr val="FFFFFF"/>
        </a:solidFill>
        <a:ln>
          <a:solidFill>
            <a:srgbClr val="DADAD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616161"/>
              </a:solidFill>
              <a:latin typeface="Times New Roman" panose="02020603050405020304" pitchFamily="18" charset="0"/>
              <a:cs typeface="Times New Roman" panose="02020603050405020304" pitchFamily="18" charset="0"/>
            </a:rPr>
            <a:t>Total</a:t>
          </a:r>
          <a:r>
            <a:rPr lang="en-US" sz="1400" b="1" baseline="0">
              <a:solidFill>
                <a:srgbClr val="616161"/>
              </a:solidFill>
              <a:latin typeface="Times New Roman" panose="02020603050405020304" pitchFamily="18" charset="0"/>
              <a:cs typeface="Times New Roman" panose="02020603050405020304" pitchFamily="18" charset="0"/>
            </a:rPr>
            <a:t> Revenue Generated</a:t>
          </a:r>
        </a:p>
      </xdr:txBody>
    </xdr:sp>
    <xdr:clientData/>
  </xdr:twoCellAnchor>
  <xdr:twoCellAnchor>
    <xdr:from>
      <xdr:col>23</xdr:col>
      <xdr:colOff>230336</xdr:colOff>
      <xdr:row>3</xdr:row>
      <xdr:rowOff>134493</xdr:rowOff>
    </xdr:from>
    <xdr:to>
      <xdr:col>27</xdr:col>
      <xdr:colOff>63500</xdr:colOff>
      <xdr:row>5</xdr:row>
      <xdr:rowOff>151765</xdr:rowOff>
    </xdr:to>
    <xdr:sp macro="" textlink="">
      <xdr:nvSpPr>
        <xdr:cNvPr id="15" name="Rectangle 14">
          <a:extLst>
            <a:ext uri="{FF2B5EF4-FFF2-40B4-BE49-F238E27FC236}">
              <a16:creationId xmlns:a16="http://schemas.microsoft.com/office/drawing/2014/main" id="{1EFADE0B-5116-432A-A8E8-5BEDF61A1035}"/>
            </a:ext>
          </a:extLst>
        </xdr:cNvPr>
        <xdr:cNvSpPr/>
      </xdr:nvSpPr>
      <xdr:spPr>
        <a:xfrm>
          <a:off x="14251136" y="629793"/>
          <a:ext cx="2271564" cy="347472"/>
        </a:xfrm>
        <a:prstGeom prst="rect">
          <a:avLst/>
        </a:prstGeom>
        <a:solidFill>
          <a:srgbClr val="FFFFFF"/>
        </a:solidFill>
        <a:ln>
          <a:solidFill>
            <a:srgbClr val="DADAD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rgbClr val="616161"/>
              </a:solidFill>
              <a:latin typeface="Times New Roman" panose="02020603050405020304" pitchFamily="18" charset="0"/>
              <a:cs typeface="Times New Roman" panose="02020603050405020304" pitchFamily="18" charset="0"/>
            </a:rPr>
            <a:t>Overall Profit Margin (%)</a:t>
          </a:r>
        </a:p>
      </xdr:txBody>
    </xdr:sp>
    <xdr:clientData/>
  </xdr:twoCellAnchor>
  <xdr:twoCellAnchor>
    <xdr:from>
      <xdr:col>20</xdr:col>
      <xdr:colOff>76200</xdr:colOff>
      <xdr:row>39</xdr:row>
      <xdr:rowOff>38100</xdr:rowOff>
    </xdr:from>
    <xdr:to>
      <xdr:col>27</xdr:col>
      <xdr:colOff>368300</xdr:colOff>
      <xdr:row>42</xdr:row>
      <xdr:rowOff>50800</xdr:rowOff>
    </xdr:to>
    <xdr:sp macro="" textlink="">
      <xdr:nvSpPr>
        <xdr:cNvPr id="25" name="Rectangle 24">
          <a:extLst>
            <a:ext uri="{FF2B5EF4-FFF2-40B4-BE49-F238E27FC236}">
              <a16:creationId xmlns:a16="http://schemas.microsoft.com/office/drawing/2014/main" id="{16EDFA48-2214-4CA0-82AA-5DD272876956}"/>
            </a:ext>
          </a:extLst>
        </xdr:cNvPr>
        <xdr:cNvSpPr/>
      </xdr:nvSpPr>
      <xdr:spPr>
        <a:xfrm>
          <a:off x="12268200" y="6654800"/>
          <a:ext cx="4559300" cy="508000"/>
        </a:xfrm>
        <a:prstGeom prst="rect">
          <a:avLst/>
        </a:prstGeom>
        <a:solidFill>
          <a:srgbClr val="FFFFFF"/>
        </a:solidFill>
        <a:ln w="6350">
          <a:solidFill>
            <a:srgbClr val="DADAD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2E7D32"/>
              </a:solidFill>
              <a:effectLst/>
              <a:latin typeface="Times New Roman" panose="02020603050405020304" pitchFamily="18" charset="0"/>
              <a:cs typeface="Times New Roman" panose="02020603050405020304" pitchFamily="18" charset="0"/>
            </a:rPr>
            <a:t>Created by: Mgbonye</a:t>
          </a:r>
          <a:r>
            <a:rPr lang="en-US" sz="1200" b="1" baseline="0">
              <a:solidFill>
                <a:srgbClr val="2E7D32"/>
              </a:solidFill>
              <a:effectLst/>
              <a:latin typeface="Times New Roman" panose="02020603050405020304" pitchFamily="18" charset="0"/>
              <a:cs typeface="Times New Roman" panose="02020603050405020304" pitchFamily="18" charset="0"/>
            </a:rPr>
            <a:t> Winnifred Ebele</a:t>
          </a:r>
        </a:p>
        <a:p>
          <a:pPr algn="l"/>
          <a:r>
            <a:rPr lang="en-US" sz="1200" b="1" baseline="0">
              <a:solidFill>
                <a:srgbClr val="2E7D32"/>
              </a:solidFill>
              <a:effectLst/>
              <a:latin typeface="Times New Roman" panose="02020603050405020304" pitchFamily="18" charset="0"/>
              <a:cs typeface="Times New Roman" panose="02020603050405020304" pitchFamily="18" charset="0"/>
            </a:rPr>
            <a:t>Tools Used: Microsoft Excel | Pivot Tables | Dashboarding</a:t>
          </a:r>
          <a:endParaRPr lang="en-US" sz="1200" b="1">
            <a:solidFill>
              <a:srgbClr val="2E7D32"/>
            </a:solidFill>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589214</xdr:colOff>
      <xdr:row>7</xdr:row>
      <xdr:rowOff>152399</xdr:rowOff>
    </xdr:from>
    <xdr:to>
      <xdr:col>9</xdr:col>
      <xdr:colOff>316255</xdr:colOff>
      <xdr:row>42</xdr:row>
      <xdr:rowOff>36575</xdr:rowOff>
    </xdr:to>
    <xdr:grpSp>
      <xdr:nvGrpSpPr>
        <xdr:cNvPr id="43" name="Group 42">
          <a:extLst>
            <a:ext uri="{FF2B5EF4-FFF2-40B4-BE49-F238E27FC236}">
              <a16:creationId xmlns:a16="http://schemas.microsoft.com/office/drawing/2014/main" id="{6118F7E0-0350-2502-EA45-CA101ED4BDBD}"/>
            </a:ext>
          </a:extLst>
        </xdr:cNvPr>
        <xdr:cNvGrpSpPr/>
      </xdr:nvGrpSpPr>
      <xdr:grpSpPr>
        <a:xfrm>
          <a:off x="3027614" y="1435099"/>
          <a:ext cx="2775041" cy="5713476"/>
          <a:chOff x="3697795" y="1333500"/>
          <a:chExt cx="3977639" cy="5762297"/>
        </a:xfrm>
      </xdr:grpSpPr>
      <xdr:graphicFrame macro="">
        <xdr:nvGraphicFramePr>
          <xdr:cNvPr id="13" name="Chart 12">
            <a:extLst>
              <a:ext uri="{FF2B5EF4-FFF2-40B4-BE49-F238E27FC236}">
                <a16:creationId xmlns:a16="http://schemas.microsoft.com/office/drawing/2014/main" id="{1FC0B2C2-B5BE-4941-A38C-FF9FBC81ECFA}"/>
              </a:ext>
            </a:extLst>
          </xdr:cNvPr>
          <xdr:cNvGraphicFramePr>
            <a:graphicFrameLocks/>
          </xdr:cNvGraphicFramePr>
        </xdr:nvGraphicFramePr>
        <xdr:xfrm>
          <a:off x="3698017" y="3978256"/>
          <a:ext cx="3977196" cy="3117541"/>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 name="Chart 1">
            <a:extLst>
              <a:ext uri="{FF2B5EF4-FFF2-40B4-BE49-F238E27FC236}">
                <a16:creationId xmlns:a16="http://schemas.microsoft.com/office/drawing/2014/main" id="{AA934B37-31C0-4661-8791-D214260B08A2}"/>
              </a:ext>
            </a:extLst>
          </xdr:cNvPr>
          <xdr:cNvGraphicFramePr>
            <a:graphicFrameLocks/>
          </xdr:cNvGraphicFramePr>
        </xdr:nvGraphicFramePr>
        <xdr:xfrm>
          <a:off x="3697795" y="1333500"/>
          <a:ext cx="3977639" cy="2404872"/>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5.522522685184" createdVersion="8" refreshedVersion="8" minRefreshableVersion="3" recordCount="100" xr:uid="{00000000-000A-0000-FFFF-FFFF00000000}">
  <cacheSource type="worksheet">
    <worksheetSource name="Table2"/>
  </cacheSource>
  <cacheFields count="27">
    <cacheField name="Product_Type" numFmtId="49">
      <sharedItems count="3">
        <s v="Haircare"/>
        <s v="Skincare"/>
        <s v="Cosmetics"/>
      </sharedItems>
    </cacheField>
    <cacheField name="SKU" numFmtId="49">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44">
      <sharedItems containsSemiMixedTypes="0" containsString="0" containsNumber="1" minValue="1.6999760138659299" maxValue="99.171328638624104"/>
    </cacheField>
    <cacheField name="Availability" numFmtId="1">
      <sharedItems containsSemiMixedTypes="0" containsString="0" containsNumber="1" containsInteger="1" minValue="1" maxValue="100"/>
    </cacheField>
    <cacheField name="Number_of_Products _Sold" numFmtId="1">
      <sharedItems containsSemiMixedTypes="0" containsString="0" containsNumber="1" containsInteger="1" minValue="8" maxValue="996"/>
    </cacheField>
    <cacheField name="Revenue_Generated" numFmtId="44">
      <sharedItems containsSemiMixedTypes="0" containsString="0" containsNumber="1" minValue="1061.6185230132801" maxValue="9866.4654579796897"/>
    </cacheField>
    <cacheField name="Customer_Demographics" numFmtId="49">
      <sharedItems/>
    </cacheField>
    <cacheField name="Stock_Levels" numFmtId="1">
      <sharedItems containsSemiMixedTypes="0" containsString="0" containsNumber="1" containsInteger="1" minValue="0" maxValue="100"/>
    </cacheField>
    <cacheField name="Lead_Times" numFmtId="1">
      <sharedItems containsSemiMixedTypes="0" containsString="0" containsNumber="1" containsInteger="1" minValue="1" maxValue="30"/>
    </cacheField>
    <cacheField name="Order_Quantities" numFmtId="1">
      <sharedItems containsSemiMixedTypes="0" containsString="0" containsNumber="1" containsInteger="1" minValue="1" maxValue="96"/>
    </cacheField>
    <cacheField name="Shipping_Times" numFmtId="1">
      <sharedItems containsSemiMixedTypes="0" containsString="0" containsNumber="1" containsInteger="1" minValue="1" maxValue="10"/>
    </cacheField>
    <cacheField name="Shipping_Carriers" numFmtId="49">
      <sharedItems count="3">
        <s v="Carrier B"/>
        <s v="Carrier A"/>
        <s v="Carrier C"/>
      </sharedItems>
    </cacheField>
    <cacheField name="Shipping_Costs" numFmtId="44">
      <sharedItems containsSemiMixedTypes="0" containsString="0" containsNumber="1" minValue="1.0134865660958901" maxValue="9.9298162452772498"/>
    </cacheField>
    <cacheField name="Supplier_Name" numFmtId="49">
      <sharedItems/>
    </cacheField>
    <cacheField name="Location" numFmtId="49">
      <sharedItems/>
    </cacheField>
    <cacheField name="Lead_Time" numFmtId="1">
      <sharedItems containsSemiMixedTypes="0" containsString="0" containsNumber="1" containsInteger="1" minValue="1" maxValue="30"/>
    </cacheField>
    <cacheField name="Production_Volumes" numFmtId="1">
      <sharedItems containsSemiMixedTypes="0" containsString="0" containsNumber="1" containsInteger="1" minValue="104" maxValue="985"/>
    </cacheField>
    <cacheField name="Manufacturing_Lead_Time" numFmtId="1">
      <sharedItems containsSemiMixedTypes="0" containsString="0" containsNumber="1" containsInteger="1" minValue="1" maxValue="30"/>
    </cacheField>
    <cacheField name="Manufacturing_Costs" numFmtId="44">
      <sharedItems containsSemiMixedTypes="0" containsString="0" containsNumber="1" minValue="1.0850685695870601" maxValue="99.466108603599096"/>
    </cacheField>
    <cacheField name="Inspection_Results" numFmtId="49">
      <sharedItems/>
    </cacheField>
    <cacheField name="Defect_Rates" numFmtId="2">
      <sharedItems containsSemiMixedTypes="0" containsString="0" containsNumber="1" minValue="1.8607567631014899E-2" maxValue="4.9392552886209398"/>
    </cacheField>
    <cacheField name="Transportation_Modes" numFmtId="49">
      <sharedItems count="4">
        <s v="Road"/>
        <s v="Air"/>
        <s v="Rail"/>
        <s v="Sea"/>
      </sharedItems>
    </cacheField>
    <cacheField name="Routes" numFmtId="49">
      <sharedItems count="3">
        <s v="Route B"/>
        <s v="Route C"/>
        <s v="Route A"/>
      </sharedItems>
    </cacheField>
    <cacheField name="Costs" numFmtId="44">
      <sharedItems containsSemiMixedTypes="0" containsString="0" containsNumber="1" minValue="103.916247960704" maxValue="997.41345013319403"/>
    </cacheField>
    <cacheField name="Total_Cost" numFmtId="44">
      <sharedItems containsSemiMixedTypes="0" containsString="0" containsNumber="1" minValue="139.33492873357" maxValue="1083.4288665497199"/>
    </cacheField>
    <cacheField name="Profit" numFmtId="44">
      <sharedItems containsSemiMixedTypes="0" containsString="0" containsNumber="1" minValue="739.84976456280003" maxValue="9397.0868454871907"/>
    </cacheField>
    <cacheField name="Profit_Margin" numFmtId="9">
      <sharedItems containsSemiMixedTypes="0" containsString="0" containsNumber="1" minValue="0.46051103425228401" maxValue="0.982190151951844"/>
    </cacheField>
  </cacheFields>
  <extLst>
    <ext xmlns:x14="http://schemas.microsoft.com/office/spreadsheetml/2009/9/main" uri="{725AE2AE-9491-48be-B2B4-4EB974FC3084}">
      <x14:pivotCacheDefinition pivotCacheId="1653091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694"/>
    <n v="55"/>
    <n v="802"/>
    <n v="8661.9967923923796"/>
    <s v="Non-binary"/>
    <n v="58"/>
    <n v="7"/>
    <n v="96"/>
    <n v="4"/>
    <x v="0"/>
    <n v="2.9565721394308002"/>
    <s v="Supplier 3"/>
    <s v="Mumbai"/>
    <n v="29"/>
    <n v="215"/>
    <n v="29"/>
    <n v="46.279879240508301"/>
    <s v="Pending"/>
    <n v="0.226410360849925"/>
    <x v="0"/>
    <x v="0"/>
    <n v="187.75207545920301"/>
    <n v="236.988526839142"/>
    <n v="8425.0082655532406"/>
    <n v="0.97264042777673598"/>
  </r>
  <r>
    <x v="1"/>
    <x v="1"/>
    <n v="14.8435232750843"/>
    <n v="95"/>
    <n v="736"/>
    <n v="7460.9000654458396"/>
    <s v="Female"/>
    <n v="53"/>
    <n v="30"/>
    <n v="37"/>
    <n v="2"/>
    <x v="1"/>
    <n v="9.7165747714313095"/>
    <s v="Supplier 3"/>
    <s v="Mumbai"/>
    <n v="23"/>
    <n v="517"/>
    <n v="30"/>
    <n v="33.616768953730002"/>
    <s v="Pending"/>
    <n v="4.8540680263886999"/>
    <x v="0"/>
    <x v="0"/>
    <n v="503.06557914966902"/>
    <n v="546.39892287482996"/>
    <n v="6914.50114257101"/>
    <n v="0.92676501252102195"/>
  </r>
  <r>
    <x v="0"/>
    <x v="2"/>
    <n v="11.319683293090501"/>
    <n v="34"/>
    <n v="8"/>
    <n v="9577.7496258687297"/>
    <s v="Unknown"/>
    <n v="1"/>
    <n v="10"/>
    <n v="88"/>
    <n v="2"/>
    <x v="0"/>
    <n v="8.0544792617321495"/>
    <s v="Supplier 1"/>
    <s v="Mumbai"/>
    <n v="12"/>
    <n v="971"/>
    <n v="27"/>
    <n v="30.6880193482842"/>
    <s v="Pending"/>
    <n v="4.5805926191992201"/>
    <x v="1"/>
    <x v="1"/>
    <n v="141.920281771519"/>
    <n v="180.66278038153499"/>
    <n v="9397.0868454871907"/>
    <n v="0.98113724126870305"/>
  </r>
  <r>
    <x v="1"/>
    <x v="3"/>
    <n v="61.1633430164377"/>
    <n v="68"/>
    <n v="83"/>
    <n v="7766.8364256852301"/>
    <s v="Non-binary"/>
    <n v="23"/>
    <n v="13"/>
    <n v="59"/>
    <n v="6"/>
    <x v="2"/>
    <n v="1.7295685635434199"/>
    <s v="Supplier 5"/>
    <s v="Kolkata"/>
    <n v="24"/>
    <n v="937"/>
    <n v="18"/>
    <n v="35.624741397125"/>
    <s v="Fail"/>
    <n v="4.7466486206477496"/>
    <x v="2"/>
    <x v="2"/>
    <n v="254.776159219286"/>
    <n v="292.13046917995399"/>
    <n v="7474.7059565052796"/>
    <n v="0.96238745698134298"/>
  </r>
  <r>
    <x v="1"/>
    <x v="4"/>
    <n v="4.8054960363458896"/>
    <n v="26"/>
    <n v="871"/>
    <n v="2686.50515156744"/>
    <s v="Non-binary"/>
    <n v="5"/>
    <n v="3"/>
    <n v="56"/>
    <n v="8"/>
    <x v="1"/>
    <n v="3.8905479158706702"/>
    <s v="Supplier 1"/>
    <s v="Delhi"/>
    <n v="5"/>
    <n v="414"/>
    <n v="3"/>
    <n v="92.065160598712794"/>
    <s v="Fail"/>
    <n v="3.1455795228330001"/>
    <x v="1"/>
    <x v="2"/>
    <n v="923.44063171192204"/>
    <n v="1019.39634022651"/>
    <n v="1667.1088113409301"/>
    <n v="0.6205492702548"/>
  </r>
  <r>
    <x v="0"/>
    <x v="5"/>
    <n v="1.6999760138659299"/>
    <n v="87"/>
    <n v="147"/>
    <n v="2828.3487459757498"/>
    <s v="Non-binary"/>
    <n v="90"/>
    <n v="27"/>
    <n v="66"/>
    <n v="3"/>
    <x v="0"/>
    <n v="4.4440988643822896"/>
    <s v="Supplier 4"/>
    <s v="Bangalore"/>
    <n v="10"/>
    <n v="104"/>
    <n v="17"/>
    <n v="56.766475557431797"/>
    <s v="Fail"/>
    <n v="2.7791935115711599"/>
    <x v="0"/>
    <x v="2"/>
    <n v="235.461236735537"/>
    <n v="296.67181115735099"/>
    <n v="2531.6769348183998"/>
    <n v="0.89510776859485097"/>
  </r>
  <r>
    <x v="1"/>
    <x v="6"/>
    <n v="4.0783328631079403"/>
    <n v="48"/>
    <n v="65"/>
    <n v="7823.4765595317303"/>
    <s v="Male"/>
    <n v="11"/>
    <n v="15"/>
    <n v="58"/>
    <n v="8"/>
    <x v="2"/>
    <n v="3.8807633029519999"/>
    <s v="Supplier 3"/>
    <s v="Kolkata"/>
    <n v="14"/>
    <n v="314"/>
    <n v="24"/>
    <n v="1.0850685695870601"/>
    <s v="Pending"/>
    <n v="1.0009106193041299"/>
    <x v="3"/>
    <x v="2"/>
    <n v="134.36909686103101"/>
    <n v="139.33492873357"/>
    <n v="7684.1416307981599"/>
    <n v="0.982190151951844"/>
  </r>
  <r>
    <x v="2"/>
    <x v="7"/>
    <n v="42.958384382459997"/>
    <n v="59"/>
    <n v="426"/>
    <n v="8496.1038130898305"/>
    <s v="Female"/>
    <n v="93"/>
    <n v="17"/>
    <n v="11"/>
    <n v="1"/>
    <x v="0"/>
    <n v="2.3483387844177801"/>
    <s v="Supplier 4"/>
    <s v="Bangalore"/>
    <n v="22"/>
    <n v="564"/>
    <n v="1"/>
    <n v="99.466108603599096"/>
    <s v="Fail"/>
    <n v="0.39817718685065001"/>
    <x v="0"/>
    <x v="1"/>
    <n v="802.05631181755803"/>
    <n v="903.87075920557504"/>
    <n v="7592.2330538842598"/>
    <n v="0.89361349871773099"/>
  </r>
  <r>
    <x v="2"/>
    <x v="8"/>
    <n v="68.717596748527299"/>
    <n v="78"/>
    <n v="150"/>
    <n v="7517.3632106311197"/>
    <s v="Female"/>
    <n v="5"/>
    <n v="10"/>
    <n v="15"/>
    <n v="7"/>
    <x v="2"/>
    <n v="3.4047338570830199"/>
    <s v="Supplier 4"/>
    <s v="Mumbai"/>
    <n v="13"/>
    <n v="769"/>
    <n v="8"/>
    <n v="11.423027139565599"/>
    <s v="Pending"/>
    <n v="2.7098626911099601"/>
    <x v="3"/>
    <x v="0"/>
    <n v="505.55713422546398"/>
    <n v="520.38489522211296"/>
    <n v="6996.9783154090101"/>
    <n v="0.93077560832950301"/>
  </r>
  <r>
    <x v="1"/>
    <x v="9"/>
    <n v="64.0157329412785"/>
    <n v="35"/>
    <n v="980"/>
    <n v="4971.1459875855498"/>
    <s v="Unknown"/>
    <n v="14"/>
    <n v="27"/>
    <n v="83"/>
    <n v="1"/>
    <x v="1"/>
    <n v="7.1666452910482104"/>
    <s v="Supplier 2"/>
    <s v="Chennai"/>
    <n v="29"/>
    <n v="963"/>
    <n v="23"/>
    <n v="47.957601634951502"/>
    <s v="Pending"/>
    <n v="3.8446144787675798"/>
    <x v="2"/>
    <x v="0"/>
    <n v="995.92946149864099"/>
    <n v="1051.05370842464"/>
    <n v="3920.09227916091"/>
    <n v="0.78856913254017502"/>
  </r>
  <r>
    <x v="1"/>
    <x v="10"/>
    <n v="15.707795681912099"/>
    <n v="11"/>
    <n v="996"/>
    <n v="2330.9658020919401"/>
    <s v="Non-binary"/>
    <n v="51"/>
    <n v="13"/>
    <n v="80"/>
    <n v="2"/>
    <x v="2"/>
    <n v="8.6732112112786108"/>
    <s v="Supplier 5"/>
    <s v="Kolkata"/>
    <n v="18"/>
    <n v="830"/>
    <n v="5"/>
    <n v="96.527352785310896"/>
    <s v="Pass"/>
    <n v="1.72731392835594"/>
    <x v="0"/>
    <x v="0"/>
    <n v="806.10317770292295"/>
    <n v="911.30374169951199"/>
    <n v="1419.66206039243"/>
    <n v="0.60904456818643304"/>
  </r>
  <r>
    <x v="1"/>
    <x v="11"/>
    <n v="90.635459982288594"/>
    <n v="95"/>
    <n v="960"/>
    <n v="6099.9441155814502"/>
    <s v="Female"/>
    <n v="46"/>
    <n v="23"/>
    <n v="60"/>
    <n v="1"/>
    <x v="1"/>
    <n v="4.5239431243166601"/>
    <s v="Supplier 2"/>
    <s v="Kolkata"/>
    <n v="28"/>
    <n v="362"/>
    <n v="11"/>
    <n v="27.5923630866636"/>
    <s v="Pending"/>
    <n v="2.1169821372994301E-2"/>
    <x v="1"/>
    <x v="2"/>
    <n v="126.72303340940699"/>
    <n v="158.83933962038699"/>
    <n v="5941.1047759610601"/>
    <n v="0.97396052543913403"/>
  </r>
  <r>
    <x v="0"/>
    <x v="12"/>
    <n v="71.213389075359999"/>
    <n v="41"/>
    <n v="336"/>
    <n v="2873.74144602144"/>
    <s v="Unknown"/>
    <n v="100"/>
    <n v="30"/>
    <n v="85"/>
    <n v="4"/>
    <x v="1"/>
    <n v="1.32527401018452"/>
    <s v="Supplier 4"/>
    <s v="Kolkata"/>
    <n v="3"/>
    <n v="563"/>
    <n v="3"/>
    <n v="32.321286213424003"/>
    <s v="Fail"/>
    <n v="2.1612537475559099"/>
    <x v="0"/>
    <x v="0"/>
    <n v="402.96878907376998"/>
    <n v="436.61534929737797"/>
    <n v="2437.1260967240601"/>
    <n v="0.84806728180022894"/>
  </r>
  <r>
    <x v="1"/>
    <x v="13"/>
    <n v="16.160393317379899"/>
    <n v="5"/>
    <n v="249"/>
    <n v="4052.7384162378598"/>
    <s v="Male"/>
    <n v="80"/>
    <n v="8"/>
    <n v="48"/>
    <n v="9"/>
    <x v="1"/>
    <n v="9.5372830611083295"/>
    <s v="Supplier 5"/>
    <s v="Bangalore"/>
    <n v="23"/>
    <n v="173"/>
    <n v="10"/>
    <n v="97.829050110173199"/>
    <s v="Pending"/>
    <n v="1.63107423007153"/>
    <x v="0"/>
    <x v="0"/>
    <n v="547.24100516096803"/>
    <n v="654.60733833225004"/>
    <n v="3398.1310779056098"/>
    <n v="0.83847777203940099"/>
  </r>
  <r>
    <x v="1"/>
    <x v="14"/>
    <n v="99.171328638624104"/>
    <n v="26"/>
    <n v="562"/>
    <n v="8653.5709264697998"/>
    <s v="Non-binary"/>
    <n v="54"/>
    <n v="29"/>
    <n v="78"/>
    <n v="5"/>
    <x v="0"/>
    <n v="2.0397701894493299"/>
    <s v="Supplier 1"/>
    <s v="Kolkata"/>
    <n v="25"/>
    <n v="558"/>
    <n v="14"/>
    <n v="5.7914366298629796"/>
    <s v="Pending"/>
    <n v="0.100682851565093"/>
    <x v="1"/>
    <x v="0"/>
    <n v="929.23528996088896"/>
    <n v="937.06649678020096"/>
    <n v="7716.5044296896003"/>
    <n v="0.89171331641670903"/>
  </r>
  <r>
    <x v="1"/>
    <x v="15"/>
    <n v="36.989244928626903"/>
    <n v="94"/>
    <n v="469"/>
    <n v="5442.0867853976697"/>
    <s v="Non-binary"/>
    <n v="9"/>
    <n v="8"/>
    <n v="69"/>
    <n v="7"/>
    <x v="0"/>
    <n v="2.4220397232752"/>
    <s v="Supplier 1"/>
    <s v="Bangalore"/>
    <n v="14"/>
    <n v="580"/>
    <n v="7"/>
    <n v="97.121281751474299"/>
    <s v="Pass"/>
    <n v="2.2644057611985402"/>
    <x v="3"/>
    <x v="0"/>
    <n v="127.861800001625"/>
    <n v="227.405121476375"/>
    <n v="5214.6816639212902"/>
    <n v="0.95821361723106802"/>
  </r>
  <r>
    <x v="1"/>
    <x v="16"/>
    <n v="7.5471721097912701"/>
    <n v="74"/>
    <n v="280"/>
    <n v="6453.7979681762799"/>
    <s v="Female"/>
    <n v="2"/>
    <n v="5"/>
    <n v="78"/>
    <n v="1"/>
    <x v="0"/>
    <n v="4.1913245857054999"/>
    <s v="Supplier 1"/>
    <s v="Bangalore"/>
    <n v="3"/>
    <n v="399"/>
    <n v="21"/>
    <n v="77.106342497849994"/>
    <s v="Pass"/>
    <n v="1.01256308925804"/>
    <x v="1"/>
    <x v="2"/>
    <n v="865.52577977123997"/>
    <n v="946.82344685479598"/>
    <n v="5506.9745213214801"/>
    <n v="0.85329205352823401"/>
  </r>
  <r>
    <x v="2"/>
    <x v="17"/>
    <n v="81.462534369237005"/>
    <n v="82"/>
    <n v="126"/>
    <n v="2629.39643484526"/>
    <s v="Female"/>
    <n v="45"/>
    <n v="17"/>
    <n v="85"/>
    <n v="9"/>
    <x v="2"/>
    <n v="3.5854189582323399"/>
    <s v="Supplier 1"/>
    <s v="Chennai"/>
    <n v="7"/>
    <n v="453"/>
    <n v="16"/>
    <n v="47.679680368355299"/>
    <s v="Fail"/>
    <n v="0.102020754918176"/>
    <x v="1"/>
    <x v="1"/>
    <n v="670.93439079241"/>
    <n v="722.19949011899803"/>
    <n v="1907.19694472626"/>
    <n v="0.72533640019121004"/>
  </r>
  <r>
    <x v="0"/>
    <x v="18"/>
    <n v="36.4436277704609"/>
    <n v="23"/>
    <n v="620"/>
    <n v="9364.6735050761708"/>
    <s v="Unknown"/>
    <n v="10"/>
    <n v="10"/>
    <n v="46"/>
    <n v="8"/>
    <x v="2"/>
    <n v="4.3392247141107001"/>
    <s v="Supplier 2"/>
    <s v="Kolkata"/>
    <n v="18"/>
    <n v="374"/>
    <n v="17"/>
    <n v="27.107980854843898"/>
    <s v="Pending"/>
    <n v="2.2319391107292601"/>
    <x v="3"/>
    <x v="2"/>
    <n v="593.48025872065102"/>
    <n v="624.92746428960595"/>
    <n v="8739.7460407865692"/>
    <n v="0.933267565179837"/>
  </r>
  <r>
    <x v="1"/>
    <x v="19"/>
    <n v="51.123870087964697"/>
    <n v="100"/>
    <n v="187"/>
    <n v="2553.4955849912099"/>
    <s v="Unknown"/>
    <n v="48"/>
    <n v="11"/>
    <n v="94"/>
    <n v="3"/>
    <x v="1"/>
    <n v="4.7426358828418698"/>
    <s v="Supplier 4"/>
    <s v="Chennai"/>
    <n v="20"/>
    <n v="694"/>
    <n v="16"/>
    <n v="82.373320587990193"/>
    <s v="Fail"/>
    <n v="3.64645086541702"/>
    <x v="0"/>
    <x v="1"/>
    <n v="477.30763109090299"/>
    <n v="564.42358756173496"/>
    <n v="1989.07199742947"/>
    <n v="0.77896042159646905"/>
  </r>
  <r>
    <x v="1"/>
    <x v="20"/>
    <n v="96.341072439963298"/>
    <n v="22"/>
    <n v="320"/>
    <n v="8128.0276968511898"/>
    <s v="Unknown"/>
    <n v="27"/>
    <n v="12"/>
    <n v="68"/>
    <n v="6"/>
    <x v="1"/>
    <n v="8.8783346509268402"/>
    <s v="Supplier 1"/>
    <s v="Chennai"/>
    <n v="29"/>
    <n v="309"/>
    <n v="6"/>
    <n v="65.686259608488598"/>
    <s v="Pass"/>
    <n v="4.2314165735345304"/>
    <x v="1"/>
    <x v="0"/>
    <n v="493.871215316205"/>
    <n v="568.43580957562006"/>
    <n v="7559.5918872755701"/>
    <n v="0.93006473024251202"/>
  </r>
  <r>
    <x v="2"/>
    <x v="21"/>
    <n v="84.893868984950799"/>
    <n v="60"/>
    <n v="601"/>
    <n v="7087.0526963574302"/>
    <s v="Unknown"/>
    <n v="69"/>
    <n v="25"/>
    <n v="7"/>
    <n v="6"/>
    <x v="0"/>
    <n v="6.0378837692182898"/>
    <s v="Supplier 5"/>
    <s v="Chennai"/>
    <n v="19"/>
    <n v="791"/>
    <n v="4"/>
    <n v="61.735728954160898"/>
    <s v="Pending"/>
    <n v="1.8607567631014899E-2"/>
    <x v="1"/>
    <x v="1"/>
    <n v="523.36091472015801"/>
    <n v="591.13452744353697"/>
    <n v="6495.9181689138904"/>
    <n v="0.91658951149786605"/>
  </r>
  <r>
    <x v="0"/>
    <x v="22"/>
    <n v="27.679780886501899"/>
    <n v="55"/>
    <n v="884"/>
    <n v="2390.8078665561702"/>
    <s v="Unknown"/>
    <n v="71"/>
    <n v="1"/>
    <n v="63"/>
    <n v="10"/>
    <x v="1"/>
    <n v="9.5676489209230393"/>
    <s v="Supplier 4"/>
    <s v="Kolkata"/>
    <n v="22"/>
    <n v="780"/>
    <n v="28"/>
    <n v="50.120839612977299"/>
    <s v="Fail"/>
    <n v="2.5912754732111098"/>
    <x v="2"/>
    <x v="1"/>
    <n v="205.57199582694699"/>
    <n v="265.26048436084699"/>
    <n v="2125.5473821953201"/>
    <n v="0.88904985295077699"/>
  </r>
  <r>
    <x v="2"/>
    <x v="23"/>
    <n v="4.3243411858641601"/>
    <n v="30"/>
    <n v="391"/>
    <n v="8858.3675710114803"/>
    <s v="Unknown"/>
    <n v="84"/>
    <n v="5"/>
    <n v="29"/>
    <n v="7"/>
    <x v="1"/>
    <n v="2.92485760114555"/>
    <s v="Supplier 5"/>
    <s v="Kolkata"/>
    <n v="11"/>
    <n v="568"/>
    <n v="29"/>
    <n v="98.6099572427038"/>
    <s v="Pending"/>
    <n v="1.3422915627227301"/>
    <x v="2"/>
    <x v="2"/>
    <n v="196.329446112412"/>
    <n v="297.86426095626098"/>
    <n v="8560.5033100552191"/>
    <n v="0.96637481357953503"/>
  </r>
  <r>
    <x v="0"/>
    <x v="24"/>
    <n v="4.1563083593111001"/>
    <n v="32"/>
    <n v="209"/>
    <n v="9049.0778609398894"/>
    <s v="Male"/>
    <n v="4"/>
    <n v="26"/>
    <n v="2"/>
    <n v="8"/>
    <x v="2"/>
    <n v="9.7412916892843597"/>
    <s v="Supplier 2"/>
    <s v="Bangalore"/>
    <n v="28"/>
    <n v="447"/>
    <n v="3"/>
    <n v="40.382359702924802"/>
    <s v="Pending"/>
    <n v="3.69131029262872"/>
    <x v="1"/>
    <x v="2"/>
    <n v="758.72477260293795"/>
    <n v="808.84842399514696"/>
    <n v="8240.2294369447409"/>
    <n v="0.91061537579574603"/>
  </r>
  <r>
    <x v="0"/>
    <x v="25"/>
    <n v="39.629343985092603"/>
    <n v="73"/>
    <n v="142"/>
    <n v="2174.7770543506499"/>
    <s v="Male"/>
    <n v="82"/>
    <n v="11"/>
    <n v="52"/>
    <n v="3"/>
    <x v="2"/>
    <n v="2.2310736812817198"/>
    <s v="Supplier 4"/>
    <s v="Kolkata"/>
    <n v="19"/>
    <n v="934"/>
    <n v="23"/>
    <n v="78.280383118415301"/>
    <s v="Pending"/>
    <n v="3.79723121711418"/>
    <x v="0"/>
    <x v="0"/>
    <n v="458.53594573920901"/>
    <n v="539.047402538906"/>
    <n v="1635.72965181174"/>
    <n v="0.75213670685896805"/>
  </r>
  <r>
    <x v="0"/>
    <x v="26"/>
    <n v="97.446946617892806"/>
    <n v="9"/>
    <n v="353"/>
    <n v="3716.49332589403"/>
    <s v="Male"/>
    <n v="59"/>
    <n v="16"/>
    <n v="48"/>
    <n v="4"/>
    <x v="0"/>
    <n v="6.5075486210785503"/>
    <s v="Supplier 2"/>
    <s v="Bangalore"/>
    <n v="26"/>
    <n v="171"/>
    <n v="4"/>
    <n v="15.972229757181699"/>
    <s v="Pass"/>
    <n v="2.1193197367249201"/>
    <x v="2"/>
    <x v="2"/>
    <n v="617.86691645837698"/>
    <n v="640.34669483663697"/>
    <n v="3076.1466310573901"/>
    <n v="0.82770137366448904"/>
  </r>
  <r>
    <x v="2"/>
    <x v="27"/>
    <n v="92.557360812401996"/>
    <n v="42"/>
    <n v="352"/>
    <n v="2686.4572235759802"/>
    <s v="Unknown"/>
    <n v="47"/>
    <n v="9"/>
    <n v="62"/>
    <n v="8"/>
    <x v="2"/>
    <n v="7.4067509529980704"/>
    <s v="Supplier 5"/>
    <s v="Mumbai"/>
    <n v="25"/>
    <n v="291"/>
    <n v="4"/>
    <n v="10.5282450700421"/>
    <s v="Fail"/>
    <n v="2.8646678378833701"/>
    <x v="3"/>
    <x v="0"/>
    <n v="762.45918215568304"/>
    <n v="780.394178178723"/>
    <n v="1906.0630453972601"/>
    <n v="0.709508057180255"/>
  </r>
  <r>
    <x v="2"/>
    <x v="28"/>
    <n v="2.3972747055971402"/>
    <n v="12"/>
    <n v="394"/>
    <n v="6117.3246150839896"/>
    <s v="Female"/>
    <n v="48"/>
    <n v="15"/>
    <n v="24"/>
    <n v="4"/>
    <x v="0"/>
    <n v="9.8981405080692202"/>
    <s v="Supplier 1"/>
    <s v="Mumbai"/>
    <n v="13"/>
    <n v="171"/>
    <n v="7"/>
    <n v="59.429381810691503"/>
    <s v="Fail"/>
    <n v="0.81575707929567198"/>
    <x v="1"/>
    <x v="2"/>
    <n v="123.437027511827"/>
    <n v="192.76454983058801"/>
    <n v="5924.5600652534004"/>
    <n v="0.968488749255635"/>
  </r>
  <r>
    <x v="2"/>
    <x v="29"/>
    <n v="63.447559185207297"/>
    <n v="3"/>
    <n v="253"/>
    <n v="8318.9031946171708"/>
    <s v="Female"/>
    <n v="45"/>
    <n v="5"/>
    <n v="67"/>
    <n v="7"/>
    <x v="0"/>
    <n v="8.1009731453970293"/>
    <s v="Supplier 1"/>
    <s v="Kolkata"/>
    <n v="16"/>
    <n v="329"/>
    <n v="7"/>
    <n v="39.292875586065698"/>
    <s v="Pass"/>
    <n v="3.8780989365884802"/>
    <x v="0"/>
    <x v="0"/>
    <n v="764.93537594070801"/>
    <n v="812.32922467217099"/>
    <n v="7506.5739699449996"/>
    <n v="0.90235140310350104"/>
  </r>
  <r>
    <x v="0"/>
    <x v="30"/>
    <n v="8.0228592105263896"/>
    <n v="10"/>
    <n v="327"/>
    <n v="2766.3423668660798"/>
    <s v="Male"/>
    <n v="60"/>
    <n v="26"/>
    <n v="35"/>
    <n v="7"/>
    <x v="0"/>
    <n v="8.9545283153180097"/>
    <s v="Supplier 4"/>
    <s v="Kolkata"/>
    <n v="27"/>
    <n v="806"/>
    <n v="30"/>
    <n v="51.634893400109299"/>
    <s v="Pending"/>
    <n v="0.96539470535239302"/>
    <x v="0"/>
    <x v="1"/>
    <n v="880.08098824716103"/>
    <n v="940.670409962588"/>
    <n v="1825.6719569034899"/>
    <n v="0.65995878846035605"/>
  </r>
  <r>
    <x v="1"/>
    <x v="31"/>
    <n v="50.847393051718697"/>
    <n v="28"/>
    <n v="168"/>
    <n v="9655.1351027193905"/>
    <s v="Male"/>
    <n v="6"/>
    <n v="17"/>
    <n v="44"/>
    <n v="4"/>
    <x v="0"/>
    <n v="2.6796609649813998"/>
    <s v="Supplier 3"/>
    <s v="Chennai"/>
    <n v="24"/>
    <n v="461"/>
    <n v="8"/>
    <n v="60.251145661598002"/>
    <s v="Pending"/>
    <n v="2.9890000066550702"/>
    <x v="2"/>
    <x v="1"/>
    <n v="609.379206618426"/>
    <n v="672.31001324500505"/>
    <n v="8982.8250894743906"/>
    <n v="0.93036762240068005"/>
  </r>
  <r>
    <x v="1"/>
    <x v="32"/>
    <n v="79.209936015656695"/>
    <n v="43"/>
    <n v="781"/>
    <n v="9571.5504873278096"/>
    <s v="Unknown"/>
    <n v="89"/>
    <n v="13"/>
    <n v="64"/>
    <n v="4"/>
    <x v="2"/>
    <n v="6.5991049012385803"/>
    <s v="Supplier 3"/>
    <s v="Kolkata"/>
    <n v="30"/>
    <n v="737"/>
    <n v="7"/>
    <n v="29.6924671537497"/>
    <s v="Pass"/>
    <n v="1.94603611938611"/>
    <x v="0"/>
    <x v="2"/>
    <n v="761.17390951487698"/>
    <n v="797.46548156986501"/>
    <n v="8774.0850057579391"/>
    <n v="0.91668377211971397"/>
  </r>
  <r>
    <x v="2"/>
    <x v="33"/>
    <n v="64.795435000155607"/>
    <n v="63"/>
    <n v="616"/>
    <n v="5149.9983504080301"/>
    <s v="Non-binary"/>
    <n v="4"/>
    <n v="17"/>
    <n v="95"/>
    <n v="9"/>
    <x v="2"/>
    <n v="4.85827050343664"/>
    <s v="Supplier 5"/>
    <s v="Chennai"/>
    <n v="1"/>
    <n v="251"/>
    <n v="23"/>
    <n v="23.853427512896101"/>
    <s v="Fail"/>
    <n v="3.54104601225092"/>
    <x v="3"/>
    <x v="2"/>
    <n v="371.25529551987103"/>
    <n v="399.96699353620397"/>
    <n v="4750.0313568718302"/>
    <n v="0.92233648123314205"/>
  </r>
  <r>
    <x v="1"/>
    <x v="34"/>
    <n v="37.467592329842397"/>
    <n v="96"/>
    <n v="602"/>
    <n v="9061.7108955077201"/>
    <s v="Unknown"/>
    <n v="1"/>
    <n v="26"/>
    <n v="21"/>
    <n v="7"/>
    <x v="1"/>
    <n v="1.0194875708221101"/>
    <s v="Supplier 1"/>
    <s v="Chennai"/>
    <n v="4"/>
    <n v="452"/>
    <n v="10"/>
    <n v="10.754272815029299"/>
    <s v="Pass"/>
    <n v="0.64660455937205397"/>
    <x v="0"/>
    <x v="0"/>
    <n v="510.35800043352299"/>
    <n v="522.13176081937399"/>
    <n v="8539.5791346883507"/>
    <n v="0.94238044373295804"/>
  </r>
  <r>
    <x v="2"/>
    <x v="35"/>
    <n v="84.957786816350406"/>
    <n v="11"/>
    <n v="449"/>
    <n v="6541.3293448024597"/>
    <s v="Female"/>
    <n v="42"/>
    <n v="27"/>
    <n v="85"/>
    <n v="8"/>
    <x v="2"/>
    <n v="5.2881899903273997"/>
    <s v="Supplier 1"/>
    <s v="Delhi"/>
    <n v="3"/>
    <n v="367"/>
    <n v="2"/>
    <n v="58.004787044743701"/>
    <s v="Pass"/>
    <n v="0.54115409806058101"/>
    <x v="3"/>
    <x v="1"/>
    <n v="553.42047123035502"/>
    <n v="616.713448265426"/>
    <n v="5924.6158965370296"/>
    <n v="0.90572047121347798"/>
  </r>
  <r>
    <x v="1"/>
    <x v="36"/>
    <n v="9.81300257875405"/>
    <n v="34"/>
    <n v="963"/>
    <n v="7573.4024578487297"/>
    <s v="Female"/>
    <n v="18"/>
    <n v="23"/>
    <n v="28"/>
    <n v="3"/>
    <x v="0"/>
    <n v="2.1079512671590801"/>
    <s v="Supplier 2"/>
    <s v="Delhi"/>
    <n v="26"/>
    <n v="671"/>
    <n v="19"/>
    <n v="45.531364237162101"/>
    <s v="Fail"/>
    <n v="3.8055333792433501"/>
    <x v="1"/>
    <x v="1"/>
    <n v="403.80897424817999"/>
    <n v="451.44828975250101"/>
    <n v="7121.9541680962302"/>
    <n v="0.94039029455187095"/>
  </r>
  <r>
    <x v="1"/>
    <x v="37"/>
    <n v="23.3998447526143"/>
    <n v="5"/>
    <n v="963"/>
    <n v="2438.3399304700201"/>
    <s v="Female"/>
    <n v="25"/>
    <n v="8"/>
    <n v="21"/>
    <n v="9"/>
    <x v="1"/>
    <n v="1.53265527359043"/>
    <s v="Supplier 3"/>
    <s v="Kolkata"/>
    <n v="24"/>
    <n v="867"/>
    <n v="15"/>
    <n v="34.343277465075303"/>
    <s v="Pending"/>
    <n v="2.61028808484811"/>
    <x v="3"/>
    <x v="2"/>
    <n v="183.932968043594"/>
    <n v="219.80890078226"/>
    <n v="2218.5310296877601"/>
    <n v="0.90985305287606499"/>
  </r>
  <r>
    <x v="2"/>
    <x v="38"/>
    <n v="52.075930682707799"/>
    <n v="75"/>
    <n v="705"/>
    <n v="9692.3180402184298"/>
    <s v="Non-binary"/>
    <n v="69"/>
    <n v="1"/>
    <n v="88"/>
    <n v="5"/>
    <x v="0"/>
    <n v="9.2359314372492207"/>
    <s v="Supplier 5"/>
    <s v="Mumbai"/>
    <n v="10"/>
    <n v="841"/>
    <n v="12"/>
    <n v="5.9306936455283097"/>
    <s v="Pending"/>
    <n v="0.613326899164507"/>
    <x v="1"/>
    <x v="0"/>
    <n v="339.67286994860598"/>
    <n v="354.83949503138399"/>
    <n v="9337.4785451870503"/>
    <n v="0.96338961499622999"/>
  </r>
  <r>
    <x v="1"/>
    <x v="39"/>
    <n v="19.127477265823199"/>
    <n v="26"/>
    <n v="176"/>
    <n v="1912.4656631007599"/>
    <s v="Female"/>
    <n v="78"/>
    <n v="29"/>
    <n v="34"/>
    <n v="3"/>
    <x v="1"/>
    <n v="5.5625037788303802"/>
    <s v="Supplier 2"/>
    <s v="Kolkata"/>
    <n v="30"/>
    <n v="791"/>
    <n v="6"/>
    <n v="9.0058074287816403"/>
    <s v="Fail"/>
    <n v="1.4519722039968099"/>
    <x v="1"/>
    <x v="0"/>
    <n v="653.67299455203295"/>
    <n v="668.241305759645"/>
    <n v="1244.2243573411099"/>
    <n v="0.65058650795528605"/>
  </r>
  <r>
    <x v="1"/>
    <x v="40"/>
    <n v="80.541424170940303"/>
    <n v="97"/>
    <n v="933"/>
    <n v="5724.9593504562599"/>
    <s v="Female"/>
    <n v="90"/>
    <n v="20"/>
    <n v="39"/>
    <n v="8"/>
    <x v="2"/>
    <n v="7.2295951397364702"/>
    <s v="Supplier 1"/>
    <s v="Kolkata"/>
    <n v="18"/>
    <n v="793"/>
    <n v="1"/>
    <n v="88.179407104217404"/>
    <s v="Pending"/>
    <n v="4.2132694305865597"/>
    <x v="0"/>
    <x v="2"/>
    <n v="529.80872398069096"/>
    <n v="625.21772622464505"/>
    <n v="5099.7416242316103"/>
    <n v="0.890790888117866"/>
  </r>
  <r>
    <x v="1"/>
    <x v="41"/>
    <n v="99.113291615317095"/>
    <n v="35"/>
    <n v="556"/>
    <n v="5521.2052590109697"/>
    <s v="Female"/>
    <n v="64"/>
    <n v="19"/>
    <n v="38"/>
    <n v="8"/>
    <x v="0"/>
    <n v="5.7732637437666501"/>
    <s v="Supplier 4"/>
    <s v="Chennai"/>
    <n v="18"/>
    <n v="892"/>
    <n v="7"/>
    <n v="95.332064548772493"/>
    <s v="Fail"/>
    <n v="4.5302262398259602E-2"/>
    <x v="3"/>
    <x v="2"/>
    <n v="275.52437113130901"/>
    <n v="376.62969942384802"/>
    <n v="5144.5755595871196"/>
    <n v="0.931784876353009"/>
  </r>
  <r>
    <x v="1"/>
    <x v="42"/>
    <n v="46.529167614516702"/>
    <n v="98"/>
    <n v="155"/>
    <n v="1839.60942585676"/>
    <s v="Female"/>
    <n v="22"/>
    <n v="27"/>
    <n v="57"/>
    <n v="4"/>
    <x v="2"/>
    <n v="7.5262483268515004"/>
    <s v="Supplier 5"/>
    <s v="Bangalore"/>
    <n v="26"/>
    <n v="179"/>
    <n v="7"/>
    <n v="96.422820639571796"/>
    <s v="Fail"/>
    <n v="4.9392552886209398"/>
    <x v="0"/>
    <x v="2"/>
    <n v="635.65712050199102"/>
    <n v="739.60618946841396"/>
    <n v="1100.0032363883499"/>
    <n v="0.59795477285948495"/>
  </r>
  <r>
    <x v="0"/>
    <x v="43"/>
    <n v="11.7432717763092"/>
    <n v="6"/>
    <n v="598"/>
    <n v="5737.4255991190203"/>
    <s v="Unknown"/>
    <n v="36"/>
    <n v="29"/>
    <n v="85"/>
    <n v="9"/>
    <x v="0"/>
    <n v="3.6940212683884499"/>
    <s v="Supplier 5"/>
    <s v="Mumbai"/>
    <n v="1"/>
    <n v="206"/>
    <n v="23"/>
    <n v="26.2773659573324"/>
    <s v="Pending"/>
    <n v="0.37230476798509698"/>
    <x v="1"/>
    <x v="2"/>
    <n v="716.04411975933999"/>
    <n v="746.01550698506105"/>
    <n v="4991.4100921339596"/>
    <n v="0.869973824654108"/>
  </r>
  <r>
    <x v="2"/>
    <x v="44"/>
    <n v="51.355790913110297"/>
    <n v="34"/>
    <n v="919"/>
    <n v="7152.28604943551"/>
    <s v="Female"/>
    <n v="13"/>
    <n v="19"/>
    <n v="72"/>
    <n v="6"/>
    <x v="2"/>
    <n v="7.5774496573766896"/>
    <s v="Supplier 2"/>
    <s v="Delhi"/>
    <n v="7"/>
    <n v="834"/>
    <n v="18"/>
    <n v="22.554106620887701"/>
    <s v="Fail"/>
    <n v="2.9626263204548802"/>
    <x v="2"/>
    <x v="2"/>
    <n v="610.45326961922694"/>
    <n v="640.58482589749099"/>
    <n v="6511.7012235380198"/>
    <n v="0.91043635259134403"/>
  </r>
  <r>
    <x v="0"/>
    <x v="45"/>
    <n v="33.784138033065503"/>
    <n v="1"/>
    <n v="24"/>
    <n v="5267.9568075105199"/>
    <s v="Male"/>
    <n v="93"/>
    <n v="7"/>
    <n v="52"/>
    <n v="6"/>
    <x v="0"/>
    <n v="5.2151550087119096"/>
    <s v="Supplier 2"/>
    <s v="Chennai"/>
    <n v="25"/>
    <n v="794"/>
    <n v="25"/>
    <n v="66.312544439991598"/>
    <s v="Pass"/>
    <n v="3.2196046120841002"/>
    <x v="2"/>
    <x v="2"/>
    <n v="495.30569702847299"/>
    <n v="566.83339647717696"/>
    <n v="4701.1234110333398"/>
    <n v="0.89239976385739495"/>
  </r>
  <r>
    <x v="0"/>
    <x v="46"/>
    <n v="27.082207199888899"/>
    <n v="75"/>
    <n v="859"/>
    <n v="2556.7673606335902"/>
    <s v="Non-binary"/>
    <n v="92"/>
    <n v="29"/>
    <n v="6"/>
    <n v="8"/>
    <x v="0"/>
    <n v="4.0709558370840799"/>
    <s v="Supplier 3"/>
    <s v="Chennai"/>
    <n v="18"/>
    <n v="870"/>
    <n v="23"/>
    <n v="77.322353211051606"/>
    <s v="Pending"/>
    <n v="3.6486105925361998"/>
    <x v="0"/>
    <x v="0"/>
    <n v="380.43593711196399"/>
    <n v="461.82924616010001"/>
    <n v="2094.9381144734898"/>
    <n v="0.81936986005419998"/>
  </r>
  <r>
    <x v="1"/>
    <x v="47"/>
    <n v="95.712135880936003"/>
    <n v="93"/>
    <n v="910"/>
    <n v="7089.4742499341801"/>
    <s v="Male"/>
    <n v="4"/>
    <n v="15"/>
    <n v="51"/>
    <n v="9"/>
    <x v="0"/>
    <n v="8.9787507559499709"/>
    <s v="Supplier 1"/>
    <s v="Kolkata"/>
    <n v="10"/>
    <n v="964"/>
    <n v="20"/>
    <n v="19.7129929112936"/>
    <s v="Pending"/>
    <n v="0.38057358671321301"/>
    <x v="2"/>
    <x v="2"/>
    <n v="581.60235505058597"/>
    <n v="610.29409871783002"/>
    <n v="6479.1801512163502"/>
    <n v="0.91391546436274895"/>
  </r>
  <r>
    <x v="0"/>
    <x v="48"/>
    <n v="76.035544426891704"/>
    <n v="28"/>
    <n v="29"/>
    <n v="7397.0710045871801"/>
    <s v="Non-binary"/>
    <n v="30"/>
    <n v="16"/>
    <n v="9"/>
    <n v="3"/>
    <x v="2"/>
    <n v="7.0958331565551296"/>
    <s v="Supplier 2"/>
    <s v="Mumbai"/>
    <n v="9"/>
    <n v="109"/>
    <n v="18"/>
    <n v="23.126363582464698"/>
    <s v="Fail"/>
    <n v="1.6981125407144"/>
    <x v="2"/>
    <x v="0"/>
    <n v="768.65191395437"/>
    <n v="798.87411069338998"/>
    <n v="6598.1968938937898"/>
    <n v="0.89200129210629697"/>
  </r>
  <r>
    <x v="2"/>
    <x v="49"/>
    <n v="78.897913205639995"/>
    <n v="19"/>
    <n v="99"/>
    <n v="8001.6132065190004"/>
    <s v="Unknown"/>
    <n v="97"/>
    <n v="24"/>
    <n v="9"/>
    <n v="6"/>
    <x v="2"/>
    <n v="2.5056210329009101"/>
    <s v="Supplier 5"/>
    <s v="Delhi"/>
    <n v="28"/>
    <n v="177"/>
    <n v="28"/>
    <n v="14.1478154439792"/>
    <s v="Pass"/>
    <n v="2.8258139854001301"/>
    <x v="2"/>
    <x v="2"/>
    <n v="336.89016851997701"/>
    <n v="353.54360499685703"/>
    <n v="7648.0696015221401"/>
    <n v="0.95581595912324002"/>
  </r>
  <r>
    <x v="2"/>
    <x v="50"/>
    <n v="14.203484264803"/>
    <n v="91"/>
    <n v="633"/>
    <n v="5910.8853896688897"/>
    <s v="Female"/>
    <n v="31"/>
    <n v="23"/>
    <n v="82"/>
    <n v="10"/>
    <x v="1"/>
    <n v="6.2478609149759903"/>
    <s v="Supplier 2"/>
    <s v="Delhi"/>
    <n v="20"/>
    <n v="306"/>
    <n v="21"/>
    <n v="45.178757924634503"/>
    <s v="Fail"/>
    <n v="4.7548008046711798"/>
    <x v="2"/>
    <x v="0"/>
    <n v="496.24865029194001"/>
    <n v="547.67526913155098"/>
    <n v="5363.2101205373401"/>
    <n v="0.90734463062187198"/>
  </r>
  <r>
    <x v="0"/>
    <x v="51"/>
    <n v="26.700760972461701"/>
    <n v="61"/>
    <n v="154"/>
    <n v="9866.4654579796897"/>
    <s v="Male"/>
    <n v="100"/>
    <n v="4"/>
    <n v="52"/>
    <n v="1"/>
    <x v="1"/>
    <n v="4.78300055794766"/>
    <s v="Supplier 5"/>
    <s v="Bangalore"/>
    <n v="18"/>
    <n v="673"/>
    <n v="28"/>
    <n v="14.190328344569901"/>
    <s v="Pending"/>
    <n v="1.77295117208355"/>
    <x v="0"/>
    <x v="2"/>
    <n v="694.98231757944495"/>
    <n v="713.95564648196296"/>
    <n v="9152.50981149773"/>
    <n v="0.92763815476549005"/>
  </r>
  <r>
    <x v="1"/>
    <x v="52"/>
    <n v="98.031829656465007"/>
    <n v="1"/>
    <n v="820"/>
    <n v="9435.7626089121295"/>
    <s v="Male"/>
    <n v="64"/>
    <n v="11"/>
    <n v="11"/>
    <n v="1"/>
    <x v="0"/>
    <n v="8.6310521797689397"/>
    <s v="Supplier 1"/>
    <s v="Mumbai"/>
    <n v="10"/>
    <n v="727"/>
    <n v="27"/>
    <n v="9.1668491485971497"/>
    <s v="Pending"/>
    <n v="2.1224716191438202"/>
    <x v="1"/>
    <x v="1"/>
    <n v="602.89849883838303"/>
    <n v="620.69640016674896"/>
    <n v="8815.0662087453802"/>
    <n v="0.934218735051632"/>
  </r>
  <r>
    <x v="1"/>
    <x v="53"/>
    <n v="30.3414707112142"/>
    <n v="93"/>
    <n v="242"/>
    <n v="8232.3348294258194"/>
    <s v="Male"/>
    <n v="96"/>
    <n v="25"/>
    <n v="54"/>
    <n v="3"/>
    <x v="0"/>
    <n v="1.0134865660958901"/>
    <s v="Supplier 1"/>
    <s v="Delhi"/>
    <n v="1"/>
    <n v="631"/>
    <n v="17"/>
    <n v="83.344058991677898"/>
    <s v="Pending"/>
    <n v="1.41034757607602"/>
    <x v="1"/>
    <x v="0"/>
    <n v="750.73784066827"/>
    <n v="835.09538622604396"/>
    <n v="7397.23944319978"/>
    <n v="0.89855910825674101"/>
  </r>
  <r>
    <x v="0"/>
    <x v="54"/>
    <n v="31.1462431602408"/>
    <n v="11"/>
    <n v="622"/>
    <n v="6088.0214799408504"/>
    <s v="Non-binary"/>
    <n v="33"/>
    <n v="22"/>
    <n v="61"/>
    <n v="3"/>
    <x v="0"/>
    <n v="4.3051034712876302"/>
    <s v="Supplier 1"/>
    <s v="Kolkata"/>
    <n v="26"/>
    <n v="497"/>
    <n v="29"/>
    <n v="30.186023375822501"/>
    <s v="Pass"/>
    <n v="2.4787719755397402"/>
    <x v="0"/>
    <x v="0"/>
    <n v="814.06999658218695"/>
    <n v="848.56112342929703"/>
    <n v="5239.4603565115503"/>
    <n v="0.86061791565204204"/>
  </r>
  <r>
    <x v="0"/>
    <x v="55"/>
    <n v="79.855058340789398"/>
    <n v="16"/>
    <n v="701"/>
    <n v="2925.6751703038099"/>
    <s v="Male"/>
    <n v="97"/>
    <n v="11"/>
    <n v="11"/>
    <n v="5"/>
    <x v="1"/>
    <n v="5.0143649550309002"/>
    <s v="Supplier 2"/>
    <s v="Delhi"/>
    <n v="27"/>
    <n v="918"/>
    <n v="5"/>
    <n v="30.323545256616502"/>
    <s v="Fail"/>
    <n v="4.5489196593963799"/>
    <x v="3"/>
    <x v="0"/>
    <n v="323.01292795247798"/>
    <n v="358.35083816412498"/>
    <n v="2567.3243321396799"/>
    <n v="0.87751516579780997"/>
  </r>
  <r>
    <x v="1"/>
    <x v="56"/>
    <n v="20.9863860370433"/>
    <n v="90"/>
    <n v="93"/>
    <n v="4767.0204843441297"/>
    <s v="Non-binary"/>
    <n v="25"/>
    <n v="23"/>
    <n v="83"/>
    <n v="5"/>
    <x v="2"/>
    <n v="1.77442971407173"/>
    <s v="Supplier 1"/>
    <s v="Mumbai"/>
    <n v="24"/>
    <n v="826"/>
    <n v="28"/>
    <n v="12.8362845728327"/>
    <s v="Pass"/>
    <n v="1.1737554953874501"/>
    <x v="1"/>
    <x v="0"/>
    <n v="832.210808706021"/>
    <n v="846.821522992925"/>
    <n v="3920.1989613512001"/>
    <n v="0.82235832093147898"/>
  </r>
  <r>
    <x v="0"/>
    <x v="57"/>
    <n v="49.263205350734097"/>
    <n v="65"/>
    <n v="227"/>
    <n v="1605.8669003924001"/>
    <s v="Unknown"/>
    <n v="5"/>
    <n v="18"/>
    <n v="51"/>
    <n v="1"/>
    <x v="0"/>
    <n v="9.1605585353818704"/>
    <s v="Supplier 2"/>
    <s v="Delhi"/>
    <n v="21"/>
    <n v="588"/>
    <n v="25"/>
    <n v="67.779622987078099"/>
    <s v="Pending"/>
    <n v="2.5111748302126999"/>
    <x v="2"/>
    <x v="2"/>
    <n v="482.19123860252802"/>
    <n v="559.13142012498804"/>
    <n v="1046.7354802674099"/>
    <n v="0.65181957484249697"/>
  </r>
  <r>
    <x v="1"/>
    <x v="58"/>
    <n v="59.841561377289302"/>
    <n v="81"/>
    <n v="896"/>
    <n v="2021.1498103371"/>
    <s v="Non-binary"/>
    <n v="10"/>
    <n v="5"/>
    <n v="44"/>
    <n v="7"/>
    <x v="1"/>
    <n v="4.9384385647120901"/>
    <s v="Supplier 3"/>
    <s v="Delhi"/>
    <n v="18"/>
    <n v="396"/>
    <n v="7"/>
    <n v="65.047415094691402"/>
    <s v="Fail"/>
    <n v="1.7303747198591899"/>
    <x v="0"/>
    <x v="0"/>
    <n v="110.364335231364"/>
    <n v="180.35018889076699"/>
    <n v="1840.7996214463301"/>
    <n v="0.91076851999373198"/>
  </r>
  <r>
    <x v="2"/>
    <x v="59"/>
    <n v="63.828398347710902"/>
    <n v="30"/>
    <n v="484"/>
    <n v="1061.6185230132801"/>
    <s v="Non-binary"/>
    <n v="100"/>
    <n v="16"/>
    <n v="26"/>
    <n v="7"/>
    <x v="0"/>
    <n v="7.2937225968677204"/>
    <s v="Supplier 1"/>
    <s v="Kolkata"/>
    <n v="11"/>
    <n v="176"/>
    <n v="4"/>
    <n v="1.90076224351945"/>
    <s v="Fail"/>
    <n v="0.44719401546382298"/>
    <x v="1"/>
    <x v="2"/>
    <n v="312.57427361009297"/>
    <n v="321.76875845047999"/>
    <n v="739.84976456280003"/>
    <n v="0.69690736222538996"/>
  </r>
  <r>
    <x v="1"/>
    <x v="60"/>
    <n v="17.028027920188698"/>
    <n v="16"/>
    <n v="380"/>
    <n v="8864.0843495864301"/>
    <s v="Female"/>
    <n v="41"/>
    <n v="27"/>
    <n v="72"/>
    <n v="8"/>
    <x v="2"/>
    <n v="4.3813681581023101"/>
    <s v="Supplier 4"/>
    <s v="Mumbai"/>
    <n v="29"/>
    <n v="929"/>
    <n v="24"/>
    <n v="87.213057815135599"/>
    <s v="Fail"/>
    <n v="2.8530906166490499"/>
    <x v="2"/>
    <x v="2"/>
    <n v="430.16909697513597"/>
    <n v="521.76352294837397"/>
    <n v="8342.3208266380607"/>
    <n v="0.94113734680641703"/>
  </r>
  <r>
    <x v="0"/>
    <x v="61"/>
    <n v="52.028749903294901"/>
    <n v="23"/>
    <n v="117"/>
    <n v="6885.5893508962499"/>
    <s v="Unknown"/>
    <n v="32"/>
    <n v="23"/>
    <n v="36"/>
    <n v="7"/>
    <x v="2"/>
    <n v="9.0303404225219399"/>
    <s v="Supplier 4"/>
    <s v="Kolkata"/>
    <n v="14"/>
    <n v="480"/>
    <n v="12"/>
    <n v="78.702393968878894"/>
    <s v="Fail"/>
    <n v="4.3674705382050503"/>
    <x v="1"/>
    <x v="2"/>
    <n v="164.366528243419"/>
    <n v="252.09926263482001"/>
    <n v="6633.4900882614302"/>
    <n v="0.96338740959014602"/>
  </r>
  <r>
    <x v="2"/>
    <x v="62"/>
    <n v="72.796353955587307"/>
    <n v="89"/>
    <n v="270"/>
    <n v="3899.7468337292198"/>
    <s v="Unknown"/>
    <n v="86"/>
    <n v="2"/>
    <n v="40"/>
    <n v="7"/>
    <x v="2"/>
    <n v="7.2917013887767697"/>
    <s v="Supplier 2"/>
    <s v="Mumbai"/>
    <n v="13"/>
    <n v="751"/>
    <n v="14"/>
    <n v="21.048642725168602"/>
    <s v="Pass"/>
    <n v="1.87400140404437"/>
    <x v="3"/>
    <x v="1"/>
    <n v="320.84651575911101"/>
    <n v="349.18685987305599"/>
    <n v="3550.55997385616"/>
    <n v="0.91045909522820501"/>
  </r>
  <r>
    <x v="1"/>
    <x v="63"/>
    <n v="13.0173767852878"/>
    <n v="55"/>
    <n v="246"/>
    <n v="4256.9491408502199"/>
    <s v="Non-binary"/>
    <n v="54"/>
    <n v="19"/>
    <n v="10"/>
    <n v="4"/>
    <x v="1"/>
    <n v="2.45793352798733"/>
    <s v="Supplier 3"/>
    <s v="Bangalore"/>
    <n v="18"/>
    <n v="736"/>
    <n v="10"/>
    <n v="20.075003975630398"/>
    <s v="Pending"/>
    <n v="3.6328432903821302"/>
    <x v="3"/>
    <x v="2"/>
    <n v="687.28617786641701"/>
    <n v="709.81911537003498"/>
    <n v="3547.1300254801899"/>
    <n v="0.83325637871532898"/>
  </r>
  <r>
    <x v="1"/>
    <x v="64"/>
    <n v="89.634095608135297"/>
    <n v="11"/>
    <n v="134"/>
    <n v="8458.7308783671706"/>
    <s v="Female"/>
    <n v="73"/>
    <n v="27"/>
    <n v="75"/>
    <n v="6"/>
    <x v="2"/>
    <n v="4.5853534681946497"/>
    <s v="Supplier 1"/>
    <s v="Delhi"/>
    <n v="17"/>
    <n v="328"/>
    <n v="6"/>
    <n v="8.6930424258772803"/>
    <s v="Fail"/>
    <n v="0.15948631471751401"/>
    <x v="1"/>
    <x v="1"/>
    <n v="771.225084681157"/>
    <n v="784.50348057522899"/>
    <n v="7674.2273977919403"/>
    <n v="0.90725517907401898"/>
  </r>
  <r>
    <x v="1"/>
    <x v="65"/>
    <n v="33.697717206643098"/>
    <n v="72"/>
    <n v="457"/>
    <n v="8354.5796864819895"/>
    <s v="Male"/>
    <n v="57"/>
    <n v="24"/>
    <n v="54"/>
    <n v="8"/>
    <x v="2"/>
    <n v="6.5805413478845898"/>
    <s v="Supplier 5"/>
    <s v="Kolkata"/>
    <n v="16"/>
    <n v="358"/>
    <n v="21"/>
    <n v="1.59722274305067"/>
    <s v="Fail"/>
    <n v="4.9110959548423301"/>
    <x v="2"/>
    <x v="1"/>
    <n v="555.85910367174301"/>
    <n v="564.03686776267796"/>
    <n v="7790.5428187193102"/>
    <n v="0.93248770268176295"/>
  </r>
  <r>
    <x v="1"/>
    <x v="66"/>
    <n v="26.034869773962001"/>
    <n v="52"/>
    <n v="704"/>
    <n v="8367.7216180201503"/>
    <s v="Female"/>
    <n v="13"/>
    <n v="17"/>
    <n v="19"/>
    <n v="8"/>
    <x v="1"/>
    <n v="2.2161427287713602"/>
    <s v="Supplier 5"/>
    <s v="Kolkata"/>
    <n v="24"/>
    <n v="867"/>
    <n v="28"/>
    <n v="42.084436738309897"/>
    <s v="Fail"/>
    <n v="3.44806328834026"/>
    <x v="0"/>
    <x v="2"/>
    <n v="393.84334857842703"/>
    <n v="438.14392804550801"/>
    <n v="7929.5776899746397"/>
    <n v="0.94763880204834405"/>
  </r>
  <r>
    <x v="1"/>
    <x v="67"/>
    <n v="87.755432354001002"/>
    <n v="16"/>
    <n v="513"/>
    <n v="9473.7980325083299"/>
    <s v="Unknown"/>
    <n v="12"/>
    <n v="9"/>
    <n v="71"/>
    <n v="9"/>
    <x v="2"/>
    <n v="9.1478115447106294"/>
    <s v="Supplier 1"/>
    <s v="Mumbai"/>
    <n v="10"/>
    <n v="198"/>
    <n v="11"/>
    <n v="7.0578761469782298"/>
    <s v="Pass"/>
    <n v="0.131955444311814"/>
    <x v="3"/>
    <x v="1"/>
    <n v="169.27180138478599"/>
    <n v="185.477489076475"/>
    <n v="9288.3205434318606"/>
    <n v="0.98042205581752695"/>
  </r>
  <r>
    <x v="0"/>
    <x v="68"/>
    <n v="37.931812382790298"/>
    <n v="29"/>
    <n v="163"/>
    <n v="3550.21843278099"/>
    <s v="Non-binary"/>
    <n v="0"/>
    <n v="8"/>
    <n v="58"/>
    <n v="8"/>
    <x v="0"/>
    <n v="1.19425186488499"/>
    <s v="Supplier 2"/>
    <s v="Bangalore"/>
    <n v="2"/>
    <n v="375"/>
    <n v="18"/>
    <n v="97.113581563462205"/>
    <s v="Fail"/>
    <n v="1.9834678721741801"/>
    <x v="2"/>
    <x v="2"/>
    <n v="299.70630311810299"/>
    <n v="398.01413654645"/>
    <n v="3152.2042962345399"/>
    <n v="0.88789023997188998"/>
  </r>
  <r>
    <x v="1"/>
    <x v="69"/>
    <n v="54.865528517069698"/>
    <n v="62"/>
    <n v="511"/>
    <n v="1752.3810874841199"/>
    <s v="Non-binary"/>
    <n v="95"/>
    <n v="1"/>
    <n v="27"/>
    <n v="3"/>
    <x v="0"/>
    <n v="9.7052867901203399"/>
    <s v="Supplier 4"/>
    <s v="Kolkata"/>
    <n v="9"/>
    <n v="862"/>
    <n v="7"/>
    <n v="77.627765812748095"/>
    <s v="Pending"/>
    <n v="1.3623879886490999"/>
    <x v="1"/>
    <x v="2"/>
    <n v="207.66320620857499"/>
    <n v="294.996258811443"/>
    <n v="1457.38482867268"/>
    <n v="0.831659756591549"/>
  </r>
  <r>
    <x v="0"/>
    <x v="70"/>
    <n v="47.914541824058702"/>
    <n v="90"/>
    <n v="32"/>
    <n v="7014.8879872033804"/>
    <s v="Female"/>
    <n v="10"/>
    <n v="12"/>
    <n v="22"/>
    <n v="4"/>
    <x v="0"/>
    <n v="6.3157177546007199"/>
    <s v="Supplier 1"/>
    <s v="Bangalore"/>
    <n v="22"/>
    <n v="775"/>
    <n v="16"/>
    <n v="11.440781823761199"/>
    <s v="Pass"/>
    <n v="1.8305755986122301"/>
    <x v="0"/>
    <x v="1"/>
    <n v="183.27289874871099"/>
    <n v="201.02939832707301"/>
    <n v="6813.85858887631"/>
    <n v="0.97134246495542198"/>
  </r>
  <r>
    <x v="2"/>
    <x v="71"/>
    <n v="6.3815331627479601"/>
    <n v="14"/>
    <n v="637"/>
    <n v="8180.3370854254399"/>
    <s v="Female"/>
    <n v="76"/>
    <n v="2"/>
    <n v="26"/>
    <n v="6"/>
    <x v="1"/>
    <n v="9.2281903170525101"/>
    <s v="Supplier 2"/>
    <s v="Bangalore"/>
    <n v="2"/>
    <n v="258"/>
    <n v="10"/>
    <n v="30.661677477859499"/>
    <s v="Pending"/>
    <n v="2.07875060787496"/>
    <x v="0"/>
    <x v="2"/>
    <n v="405.167067888855"/>
    <n v="445.05693568376699"/>
    <n v="7735.2801497416704"/>
    <n v="0.94559430362879504"/>
  </r>
  <r>
    <x v="2"/>
    <x v="72"/>
    <n v="90.204427520528"/>
    <n v="88"/>
    <n v="478"/>
    <n v="2633.1219813122502"/>
    <s v="Non-binary"/>
    <n v="57"/>
    <n v="29"/>
    <n v="77"/>
    <n v="9"/>
    <x v="1"/>
    <n v="6.5996141596895397"/>
    <s v="Supplier 1"/>
    <s v="Bangalore"/>
    <n v="21"/>
    <n v="152"/>
    <n v="11"/>
    <n v="55.760492895244198"/>
    <s v="Pending"/>
    <n v="3.2133296074383"/>
    <x v="2"/>
    <x v="0"/>
    <n v="677.94456984618296"/>
    <n v="740.30467690111698"/>
    <n v="1892.81730441113"/>
    <n v="0.71884907643656704"/>
  </r>
  <r>
    <x v="2"/>
    <x v="73"/>
    <n v="83.851017681304597"/>
    <n v="41"/>
    <n v="375"/>
    <n v="7910.8869161406801"/>
    <s v="Male"/>
    <n v="17"/>
    <n v="25"/>
    <n v="66"/>
    <n v="5"/>
    <x v="0"/>
    <n v="1.5129368369160701"/>
    <s v="Supplier 4"/>
    <s v="Chennai"/>
    <n v="13"/>
    <n v="444"/>
    <n v="4"/>
    <n v="46.870238797617098"/>
    <s v="Fail"/>
    <n v="4.6205460645137002"/>
    <x v="0"/>
    <x v="2"/>
    <n v="866.472800129657"/>
    <n v="914.85597576419002"/>
    <n v="6996.0309403764904"/>
    <n v="0.884354815653148"/>
  </r>
  <r>
    <x v="0"/>
    <x v="74"/>
    <n v="3.1700114135661499"/>
    <n v="64"/>
    <n v="904"/>
    <n v="5709.9452959692799"/>
    <s v="Female"/>
    <n v="41"/>
    <n v="6"/>
    <n v="1"/>
    <n v="5"/>
    <x v="1"/>
    <n v="5.2376546500374399"/>
    <s v="Supplier 4"/>
    <s v="Delhi"/>
    <n v="1"/>
    <n v="919"/>
    <n v="9"/>
    <n v="80.580852156447804"/>
    <s v="Fail"/>
    <n v="0.39661272410993498"/>
    <x v="2"/>
    <x v="2"/>
    <n v="341.55265678322297"/>
    <n v="427.37116358970798"/>
    <n v="5282.5741323795701"/>
    <n v="0.92515319474402102"/>
  </r>
  <r>
    <x v="1"/>
    <x v="75"/>
    <n v="92.996884233970604"/>
    <n v="29"/>
    <n v="106"/>
    <n v="1889.07358977933"/>
    <s v="Non-binary"/>
    <n v="16"/>
    <n v="20"/>
    <n v="56"/>
    <n v="10"/>
    <x v="2"/>
    <n v="2.47389776104546"/>
    <s v="Supplier 1"/>
    <s v="Chennai"/>
    <n v="25"/>
    <n v="759"/>
    <n v="11"/>
    <n v="48.064782640006499"/>
    <s v="Pass"/>
    <n v="2.0300690886687498"/>
    <x v="1"/>
    <x v="1"/>
    <n v="873.12964801765099"/>
    <n v="923.66832841870303"/>
    <n v="965.40526136062704"/>
    <n v="0.51104693146093905"/>
  </r>
  <r>
    <x v="0"/>
    <x v="76"/>
    <n v="69.108799547430294"/>
    <n v="23"/>
    <n v="241"/>
    <n v="5328.3759842977497"/>
    <s v="Male"/>
    <n v="38"/>
    <n v="1"/>
    <n v="22"/>
    <n v="10"/>
    <x v="1"/>
    <n v="7.0545383368369201"/>
    <s v="Supplier 2"/>
    <s v="Bangalore"/>
    <n v="25"/>
    <n v="985"/>
    <n v="24"/>
    <n v="64.323597795600193"/>
    <s v="Pending"/>
    <n v="2.1800374515822099"/>
    <x v="2"/>
    <x v="2"/>
    <n v="997.41345013319403"/>
    <n v="1068.79158626563"/>
    <n v="4259.5843980321197"/>
    <n v="0.79941513335108805"/>
  </r>
  <r>
    <x v="0"/>
    <x v="77"/>
    <n v="57.449742958971399"/>
    <n v="14"/>
    <n v="359"/>
    <n v="2483.7601775427902"/>
    <s v="Unknown"/>
    <n v="96"/>
    <n v="28"/>
    <n v="57"/>
    <n v="4"/>
    <x v="0"/>
    <n v="6.7809466256178901"/>
    <s v="Supplier 1"/>
    <s v="Kolkata"/>
    <n v="26"/>
    <n v="334"/>
    <n v="5"/>
    <n v="42.952444748991802"/>
    <s v="Pass"/>
    <n v="3.0551418183075398"/>
    <x v="0"/>
    <x v="0"/>
    <n v="852.56809891984994"/>
    <n v="902.30149029446"/>
    <n v="1581.4586872483301"/>
    <n v="0.63671955994273299"/>
  </r>
  <r>
    <x v="0"/>
    <x v="78"/>
    <n v="6.30688317611191"/>
    <n v="50"/>
    <n v="946"/>
    <n v="1292.45841793775"/>
    <s v="Unknown"/>
    <n v="5"/>
    <n v="4"/>
    <n v="51"/>
    <n v="5"/>
    <x v="0"/>
    <n v="8.4670497708619905"/>
    <s v="Supplier 5"/>
    <s v="Mumbai"/>
    <n v="25"/>
    <n v="858"/>
    <n v="21"/>
    <n v="71.126514720403307"/>
    <s v="Pending"/>
    <n v="4.0968813324704501"/>
    <x v="3"/>
    <x v="1"/>
    <n v="323.59220343132199"/>
    <n v="403.18576792258699"/>
    <n v="889.27265001516298"/>
    <n v="0.68804739686255301"/>
  </r>
  <r>
    <x v="0"/>
    <x v="79"/>
    <n v="57.057031221103202"/>
    <n v="56"/>
    <n v="198"/>
    <n v="7888.7232684270803"/>
    <s v="Non-binary"/>
    <n v="31"/>
    <n v="25"/>
    <n v="20"/>
    <n v="1"/>
    <x v="0"/>
    <n v="6.49632536429504"/>
    <s v="Supplier 3"/>
    <s v="Bangalore"/>
    <n v="5"/>
    <n v="228"/>
    <n v="12"/>
    <n v="57.870902924036201"/>
    <s v="Pending"/>
    <n v="0.16587162748060799"/>
    <x v="1"/>
    <x v="1"/>
    <n v="351.50421933503799"/>
    <n v="415.87144762336902"/>
    <n v="7472.8518208037103"/>
    <n v="0.94728279425293005"/>
  </r>
  <r>
    <x v="1"/>
    <x v="80"/>
    <n v="91.128318350444303"/>
    <n v="75"/>
    <n v="872"/>
    <n v="8651.67268298206"/>
    <s v="Unknown"/>
    <n v="39"/>
    <n v="14"/>
    <n v="41"/>
    <n v="2"/>
    <x v="2"/>
    <n v="2.8331846794189701"/>
    <s v="Supplier 3"/>
    <s v="Chennai"/>
    <n v="8"/>
    <n v="202"/>
    <n v="5"/>
    <n v="76.961228023819999"/>
    <s v="Fail"/>
    <n v="2.8496621985053299"/>
    <x v="3"/>
    <x v="0"/>
    <n v="787.77985049434403"/>
    <n v="867.57426319758304"/>
    <n v="7784.09841978448"/>
    <n v="0.89972178849251805"/>
  </r>
  <r>
    <x v="0"/>
    <x v="81"/>
    <n v="72.819206930318202"/>
    <n v="9"/>
    <n v="774"/>
    <n v="4384.4134000458598"/>
    <s v="Unknown"/>
    <n v="48"/>
    <n v="6"/>
    <n v="8"/>
    <n v="5"/>
    <x v="0"/>
    <n v="4.0662775015120403"/>
    <s v="Supplier 3"/>
    <s v="Delhi"/>
    <n v="28"/>
    <n v="698"/>
    <n v="1"/>
    <n v="19.789592941903599"/>
    <s v="Pending"/>
    <n v="2.54754712154871"/>
    <x v="2"/>
    <x v="0"/>
    <n v="276.77833594679799"/>
    <n v="300.63420639021399"/>
    <n v="4083.77919365565"/>
    <n v="0.93143114506787394"/>
  </r>
  <r>
    <x v="1"/>
    <x v="82"/>
    <n v="17.034930739467899"/>
    <n v="13"/>
    <n v="336"/>
    <n v="2943.3818676094502"/>
    <s v="Unknown"/>
    <n v="42"/>
    <n v="19"/>
    <n v="72"/>
    <n v="1"/>
    <x v="1"/>
    <n v="4.7081818735419301"/>
    <s v="Supplier 2"/>
    <s v="Mumbai"/>
    <n v="6"/>
    <n v="955"/>
    <n v="26"/>
    <n v="4.4652784349432402"/>
    <s v="Pending"/>
    <n v="4.1378770486223502"/>
    <x v="0"/>
    <x v="1"/>
    <n v="589.97855562804"/>
    <n v="599.152015936525"/>
    <n v="2344.2298516729302"/>
    <n v="0.79644095027902595"/>
  </r>
  <r>
    <x v="0"/>
    <x v="83"/>
    <n v="68.911246211606297"/>
    <n v="82"/>
    <n v="663"/>
    <n v="2411.7546321104901"/>
    <s v="Unknown"/>
    <n v="65"/>
    <n v="24"/>
    <n v="7"/>
    <n v="8"/>
    <x v="0"/>
    <n v="4.94983957799694"/>
    <s v="Supplier 1"/>
    <s v="Bangalore"/>
    <n v="20"/>
    <n v="443"/>
    <n v="5"/>
    <n v="97.730593800533001"/>
    <s v="Fail"/>
    <n v="0.77300613406724705"/>
    <x v="0"/>
    <x v="2"/>
    <n v="682.97101822609295"/>
    <n v="785.65145160462305"/>
    <n v="1626.1031805058699"/>
    <n v="0.67424072036834404"/>
  </r>
  <r>
    <x v="0"/>
    <x v="84"/>
    <n v="89.104367292102197"/>
    <n v="99"/>
    <n v="618"/>
    <n v="2048.2900998487098"/>
    <s v="Unknown"/>
    <n v="73"/>
    <n v="26"/>
    <n v="80"/>
    <n v="10"/>
    <x v="1"/>
    <n v="8.3816156249226292"/>
    <s v="Supplier 5"/>
    <s v="Chennai"/>
    <n v="24"/>
    <n v="589"/>
    <n v="22"/>
    <n v="33.808636513209002"/>
    <s v="Pass"/>
    <n v="4.8434565771180402"/>
    <x v="1"/>
    <x v="0"/>
    <n v="465.45700596368698"/>
    <n v="507.64725810181898"/>
    <n v="1540.6428417468901"/>
    <n v="0.75216046880306897"/>
  </r>
  <r>
    <x v="2"/>
    <x v="85"/>
    <n v="76.962994415193805"/>
    <n v="83"/>
    <n v="25"/>
    <n v="8684.6130592538502"/>
    <s v="Female"/>
    <n v="15"/>
    <n v="18"/>
    <n v="66"/>
    <n v="2"/>
    <x v="2"/>
    <n v="8.2491687048717193"/>
    <s v="Supplier 5"/>
    <s v="Chennai"/>
    <n v="4"/>
    <n v="211"/>
    <n v="2"/>
    <n v="69.929345518672307"/>
    <s v="Fail"/>
    <n v="1.3744289997457499"/>
    <x v="0"/>
    <x v="0"/>
    <n v="842.68683000464102"/>
    <n v="920.86534422818499"/>
    <n v="7763.74771502567"/>
    <n v="0.89396587528479898"/>
  </r>
  <r>
    <x v="1"/>
    <x v="86"/>
    <n v="19.9981769404042"/>
    <n v="18"/>
    <n v="223"/>
    <n v="1229.59102856498"/>
    <s v="Unknown"/>
    <n v="32"/>
    <n v="14"/>
    <n v="22"/>
    <n v="6"/>
    <x v="0"/>
    <n v="1.4543053101535499"/>
    <s v="Supplier 1"/>
    <s v="Mumbai"/>
    <n v="4"/>
    <n v="569"/>
    <n v="18"/>
    <n v="74.608969995194599"/>
    <s v="Pass"/>
    <n v="2.0515129307662399"/>
    <x v="2"/>
    <x v="2"/>
    <n v="264.25488983586598"/>
    <n v="340.31816514121402"/>
    <n v="889.27286342376601"/>
    <n v="0.72322653855209895"/>
  </r>
  <r>
    <x v="0"/>
    <x v="87"/>
    <n v="80.414036650355698"/>
    <n v="24"/>
    <n v="79"/>
    <n v="5133.8467010866898"/>
    <s v="Male"/>
    <n v="5"/>
    <n v="7"/>
    <n v="55"/>
    <n v="10"/>
    <x v="1"/>
    <n v="6.5758037975485299"/>
    <s v="Supplier 3"/>
    <s v="Chennai"/>
    <n v="27"/>
    <n v="523"/>
    <n v="17"/>
    <n v="28.696996824143099"/>
    <s v="Fail"/>
    <n v="3.6937377878392699"/>
    <x v="3"/>
    <x v="0"/>
    <n v="879.35921773492396"/>
    <n v="914.63201835661596"/>
    <n v="4219.2146827300703"/>
    <n v="0.82184274840870997"/>
  </r>
  <r>
    <x v="2"/>
    <x v="88"/>
    <n v="75.270406975724995"/>
    <n v="58"/>
    <n v="737"/>
    <n v="9444.7420330629793"/>
    <s v="Male"/>
    <n v="60"/>
    <n v="18"/>
    <n v="85"/>
    <n v="7"/>
    <x v="1"/>
    <n v="3.8012531329310701"/>
    <s v="Supplier 2"/>
    <s v="Mumbai"/>
    <n v="21"/>
    <n v="953"/>
    <n v="11"/>
    <n v="68.1849190570411"/>
    <s v="Pending"/>
    <n v="0.722204401882931"/>
    <x v="3"/>
    <x v="2"/>
    <n v="103.916247960704"/>
    <n v="175.90242015067599"/>
    <n v="9268.8396129122993"/>
    <n v="0.98137562470897599"/>
  </r>
  <r>
    <x v="2"/>
    <x v="89"/>
    <n v="97.760085581938597"/>
    <n v="10"/>
    <n v="134"/>
    <n v="5924.6825668532301"/>
    <s v="Unknown"/>
    <n v="90"/>
    <n v="1"/>
    <n v="27"/>
    <n v="8"/>
    <x v="0"/>
    <n v="9.9298162452772498"/>
    <s v="Supplier 1"/>
    <s v="Kolkata"/>
    <n v="23"/>
    <n v="370"/>
    <n v="11"/>
    <n v="46.603873381644398"/>
    <s v="Pending"/>
    <n v="1.9076657339590699"/>
    <x v="2"/>
    <x v="0"/>
    <n v="517.49997392906005"/>
    <n v="574.033663555982"/>
    <n v="5350.6489032972504"/>
    <n v="0.903111490433678"/>
  </r>
  <r>
    <x v="1"/>
    <x v="90"/>
    <n v="13.881913501359101"/>
    <n v="56"/>
    <n v="320"/>
    <n v="9592.6335702803099"/>
    <s v="Non-binary"/>
    <n v="66"/>
    <n v="18"/>
    <n v="96"/>
    <n v="7"/>
    <x v="0"/>
    <n v="7.6744307081126903"/>
    <s v="Supplier 3"/>
    <s v="Bangalore"/>
    <n v="8"/>
    <n v="585"/>
    <n v="8"/>
    <n v="85.675963335797903"/>
    <s v="Pass"/>
    <n v="1.2193822244013801"/>
    <x v="2"/>
    <x v="0"/>
    <n v="990.07847250581096"/>
    <n v="1083.4288665497199"/>
    <n v="8509.2047037305892"/>
    <n v="0.88705616047855995"/>
  </r>
  <r>
    <x v="2"/>
    <x v="91"/>
    <n v="62.111965463961702"/>
    <n v="90"/>
    <n v="916"/>
    <n v="1935.20679350759"/>
    <s v="Male"/>
    <n v="98"/>
    <n v="22"/>
    <n v="85"/>
    <n v="7"/>
    <x v="0"/>
    <n v="7.4715140844011403"/>
    <s v="Supplier 4"/>
    <s v="Delhi"/>
    <n v="5"/>
    <n v="207"/>
    <n v="28"/>
    <n v="39.772882502339897"/>
    <s v="Pending"/>
    <n v="0.62600185820939402"/>
    <x v="2"/>
    <x v="0"/>
    <n v="996.77831495062298"/>
    <n v="1044.02271153736"/>
    <n v="891.18408197022598"/>
    <n v="0.46051103425228401"/>
  </r>
  <r>
    <x v="2"/>
    <x v="92"/>
    <n v="47.714233075820196"/>
    <n v="44"/>
    <n v="276"/>
    <n v="2100.1297546259302"/>
    <s v="Male"/>
    <n v="90"/>
    <n v="25"/>
    <n v="10"/>
    <n v="8"/>
    <x v="0"/>
    <n v="4.4695000261236002"/>
    <s v="Supplier 2"/>
    <s v="Mumbai"/>
    <n v="4"/>
    <n v="671"/>
    <n v="29"/>
    <n v="62.612690395614301"/>
    <s v="Pass"/>
    <n v="0.33343182522473902"/>
    <x v="2"/>
    <x v="0"/>
    <n v="230.092782536762"/>
    <n v="297.17497295850001"/>
    <n v="1802.9547816674301"/>
    <n v="0.85849685129982301"/>
  </r>
  <r>
    <x v="0"/>
    <x v="93"/>
    <n v="69.290831002905406"/>
    <n v="88"/>
    <n v="114"/>
    <n v="4531.4021336919004"/>
    <s v="Unknown"/>
    <n v="63"/>
    <n v="17"/>
    <n v="66"/>
    <n v="1"/>
    <x v="2"/>
    <n v="7.00643205900439"/>
    <s v="Supplier 4"/>
    <s v="Chennai"/>
    <n v="21"/>
    <n v="824"/>
    <n v="20"/>
    <n v="35.633652343343797"/>
    <s v="Fail"/>
    <n v="4.1657817954241398"/>
    <x v="1"/>
    <x v="2"/>
    <n v="823.52384588815505"/>
    <n v="866.163930290503"/>
    <n v="3665.2382034013999"/>
    <n v="0.80885299853429504"/>
  </r>
  <r>
    <x v="2"/>
    <x v="94"/>
    <n v="3.0376887246314102"/>
    <n v="97"/>
    <n v="987"/>
    <n v="7888.3565466618702"/>
    <s v="Unknown"/>
    <n v="77"/>
    <n v="26"/>
    <n v="72"/>
    <n v="9"/>
    <x v="0"/>
    <n v="6.9429459420325799"/>
    <s v="Supplier 2"/>
    <s v="Delhi"/>
    <n v="12"/>
    <n v="908"/>
    <n v="14"/>
    <n v="60.387378614862101"/>
    <s v="Pass"/>
    <n v="1.4636074984727701"/>
    <x v="2"/>
    <x v="0"/>
    <n v="846.66525698669398"/>
    <n v="913.99558154358897"/>
    <n v="6974.3609651182796"/>
    <n v="0.88413358649079199"/>
  </r>
  <r>
    <x v="0"/>
    <x v="95"/>
    <n v="77.903927219447695"/>
    <n v="65"/>
    <n v="672"/>
    <n v="7386.3639440486604"/>
    <s v="Unknown"/>
    <n v="15"/>
    <n v="14"/>
    <n v="26"/>
    <n v="9"/>
    <x v="0"/>
    <n v="8.6303388696027508"/>
    <s v="Supplier 4"/>
    <s v="Mumbai"/>
    <n v="18"/>
    <n v="450"/>
    <n v="26"/>
    <n v="58.890685768589897"/>
    <s v="Pending"/>
    <n v="1.21088212958506"/>
    <x v="1"/>
    <x v="2"/>
    <n v="778.86424137664699"/>
    <n v="846.38526601484"/>
    <n v="6539.97867803382"/>
    <n v="0.88541246106661298"/>
  </r>
  <r>
    <x v="2"/>
    <x v="96"/>
    <n v="24.423131420373299"/>
    <n v="29"/>
    <n v="324"/>
    <n v="7698.4247656321104"/>
    <s v="Non-binary"/>
    <n v="67"/>
    <n v="2"/>
    <n v="32"/>
    <n v="3"/>
    <x v="2"/>
    <n v="5.3528780439967996"/>
    <s v="Supplier 3"/>
    <s v="Mumbai"/>
    <n v="28"/>
    <n v="648"/>
    <n v="28"/>
    <n v="17.803756331391199"/>
    <s v="Pending"/>
    <n v="3.8720476814821301"/>
    <x v="0"/>
    <x v="2"/>
    <n v="188.74214114905601"/>
    <n v="211.89877552444401"/>
    <n v="7486.5259901076697"/>
    <n v="0.97247504756162295"/>
  </r>
  <r>
    <x v="0"/>
    <x v="97"/>
    <n v="3.5261112591434101"/>
    <n v="56"/>
    <n v="62"/>
    <n v="4370.9165799845296"/>
    <s v="Male"/>
    <n v="46"/>
    <n v="19"/>
    <n v="4"/>
    <n v="9"/>
    <x v="1"/>
    <n v="7.9048456112096703"/>
    <s v="Supplier 4"/>
    <s v="Mumbai"/>
    <n v="10"/>
    <n v="535"/>
    <n v="13"/>
    <n v="65.765155926367399"/>
    <s v="Fail"/>
    <n v="3.3762378347179798"/>
    <x v="0"/>
    <x v="2"/>
    <n v="540.13242286796697"/>
    <n v="613.802424405544"/>
    <n v="3757.11415557899"/>
    <n v="0.85957123336183305"/>
  </r>
  <r>
    <x v="1"/>
    <x v="98"/>
    <n v="19.754604866878601"/>
    <n v="43"/>
    <n v="913"/>
    <n v="8525.9525596835192"/>
    <s v="Female"/>
    <n v="53"/>
    <n v="1"/>
    <n v="27"/>
    <n v="7"/>
    <x v="0"/>
    <n v="1.4098010951380699"/>
    <s v="Supplier 5"/>
    <s v="Chennai"/>
    <n v="28"/>
    <n v="581"/>
    <n v="9"/>
    <n v="5.6046908643717801"/>
    <s v="Pending"/>
    <n v="2.9081221693512598"/>
    <x v="2"/>
    <x v="2"/>
    <n v="882.19886354704101"/>
    <n v="889.21335550655101"/>
    <n v="7636.7392041769699"/>
    <n v="0.89570510165499195"/>
  </r>
  <r>
    <x v="0"/>
    <x v="99"/>
    <n v="68.517832699276596"/>
    <n v="17"/>
    <n v="627"/>
    <n v="9185.1858291817007"/>
    <s v="Unknown"/>
    <n v="55"/>
    <n v="8"/>
    <n v="59"/>
    <n v="6"/>
    <x v="0"/>
    <n v="1.3110237561206199"/>
    <s v="Supplier 2"/>
    <s v="Chennai"/>
    <n v="29"/>
    <n v="921"/>
    <n v="2"/>
    <n v="38.072898520625998"/>
    <s v="Fail"/>
    <n v="0.34602729070550298"/>
    <x v="2"/>
    <x v="0"/>
    <n v="210.743008964246"/>
    <n v="250.126931240993"/>
    <n v="8935.0588979407094"/>
    <n v="0.972768440846745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FC0586-6F60-43B0-BC3F-C5D0F703B686}" name="PivotTable1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1" rowHeaderCaption="Product_Type">
  <location ref="U2:W6" firstHeaderRow="0" firstDataRow="1" firstDataCol="1"/>
  <pivotFields count="27">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dataField="1"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dataField="1" numFmtId="44" showAll="0"/>
    <pivotField numFmtId="44" showAll="0"/>
    <pivotField numFmtId="9" showAll="0"/>
  </pivotFields>
  <rowFields count="1">
    <field x="0"/>
  </rowFields>
  <rowItems count="4">
    <i>
      <x v="2"/>
    </i>
    <i>
      <x v="1"/>
    </i>
    <i>
      <x/>
    </i>
    <i t="grand">
      <x/>
    </i>
  </rowItems>
  <colFields count="1">
    <field x="-2"/>
  </colFields>
  <colItems count="2">
    <i>
      <x/>
    </i>
    <i i="1">
      <x v="1"/>
    </i>
  </colItems>
  <dataFields count="2">
    <dataField name="Revenue" fld="5" baseField="0" baseItem="0" numFmtId="44"/>
    <dataField name="Total Cost" fld="24" baseField="0" baseItem="0" numFmtId="44"/>
  </dataFields>
  <formats count="1">
    <format dxfId="4">
      <pivotArea outline="0" collapsedLevelsAreSubtotals="1" fieldPosition="0"/>
    </format>
  </formats>
  <chartFormats count="10">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1"/>
          </reference>
          <reference field="0" count="1" selected="0">
            <x v="2"/>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23" format="7">
      <pivotArea type="data" outline="0" fieldPosition="0">
        <references count="2">
          <reference field="4294967294" count="1" selected="0">
            <x v="1"/>
          </reference>
          <reference field="0" count="1" selected="0">
            <x v="1"/>
          </reference>
        </references>
      </pivotArea>
    </chartFormat>
    <chartFormat chart="23" format="8">
      <pivotArea type="data" outline="0" fieldPosition="0">
        <references count="2">
          <reference field="4294967294" count="1" selected="0">
            <x v="1"/>
          </reference>
          <reference field="0" count="1" selected="0">
            <x v="0"/>
          </reference>
        </references>
      </pivotArea>
    </chartFormat>
    <chartFormat chart="30" format="6">
      <pivotArea type="data" outline="0" fieldPosition="0">
        <references count="2">
          <reference field="4294967294" count="1" selected="0">
            <x v="1"/>
          </reference>
          <reference field="0" count="1" selected="0">
            <x v="2"/>
          </reference>
        </references>
      </pivotArea>
    </chartFormat>
    <chartFormat chart="30" format="7">
      <pivotArea type="data" outline="0" fieldPosition="0">
        <references count="2">
          <reference field="4294967294" count="1" selected="0">
            <x v="1"/>
          </reference>
          <reference field="0" count="1" selected="0">
            <x v="1"/>
          </reference>
        </references>
      </pivotArea>
    </chartFormat>
    <chartFormat chart="30" format="8">
      <pivotArea type="data" outline="0" fieldPosition="0">
        <references count="2">
          <reference field="4294967294" count="1" selected="0">
            <x v="1"/>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2" rowHeaderCaption="SKU">
  <location ref="AI2:AJ14" firstHeaderRow="1" firstDataRow="1" firstDataCol="1"/>
  <pivotFields count="27">
    <pivotField showAll="0">
      <items count="4">
        <item x="2"/>
        <item x="0"/>
        <item x="1"/>
        <item t="default"/>
      </items>
    </pivotField>
    <pivotField axis="axisRow" showAll="0" measureFilter="1" sortType="a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44" showAll="0"/>
    <pivotField numFmtId="1" showAll="0"/>
    <pivotField numFmtId="1" showAll="0"/>
    <pivotField numFmtId="44" showAll="0"/>
    <pivotField showAll="0"/>
    <pivotField dataField="1"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numFmtId="44" showAll="0"/>
    <pivotField numFmtId="9" showAll="0"/>
  </pivotFields>
  <rowFields count="1">
    <field x="1"/>
  </rowFields>
  <rowItems count="12">
    <i>
      <x v="40"/>
    </i>
    <i>
      <x v="67"/>
    </i>
    <i>
      <x v="66"/>
    </i>
    <i>
      <x v="49"/>
    </i>
    <i>
      <x v="75"/>
    </i>
    <i>
      <x v="51"/>
    </i>
    <i>
      <x v="44"/>
    </i>
    <i>
      <x v="91"/>
    </i>
    <i>
      <x v="55"/>
    </i>
    <i>
      <x v="4"/>
    </i>
    <i>
      <x v="47"/>
    </i>
    <i t="grand">
      <x/>
    </i>
  </rowItems>
  <colItems count="1">
    <i/>
  </colItems>
  <dataFields count="1">
    <dataField name="Sum of Stock_Levels" fld="7" baseField="0" baseItem="0" numFmtId="1"/>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041E04-B004-4F40-902B-265793B5BA47}" name="PivotTable1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Product_Type">
  <location ref="A2:A3" firstHeaderRow="1" firstDataRow="1" firstDataCol="0"/>
  <pivotFields count="27">
    <pivotField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dataField="1"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numFmtId="44" showAll="0"/>
    <pivotField numFmtId="9" showAll="0"/>
  </pivotFields>
  <rowItems count="1">
    <i/>
  </rowItems>
  <colItems count="1">
    <i/>
  </colItems>
  <dataFields count="1">
    <dataField name="Sum of Revenue_Generated" fld="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CFBCE-E234-4DEA-9B87-1BAC001C3AC2}" name="PivotTable10"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0" rowHeaderCaption="Product_Type">
  <location ref="AA2:AB6" firstHeaderRow="1" firstDataRow="1" firstDataCol="1"/>
  <pivotFields count="27">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numFmtId="44" showAll="0"/>
    <pivotField dataField="1" numFmtId="9" showAll="0"/>
  </pivotFields>
  <rowFields count="1">
    <field x="0"/>
  </rowFields>
  <rowItems count="4">
    <i>
      <x/>
    </i>
    <i>
      <x v="2"/>
    </i>
    <i>
      <x v="1"/>
    </i>
    <i t="grand">
      <x/>
    </i>
  </rowItems>
  <colItems count="1">
    <i/>
  </colItems>
  <dataFields count="1">
    <dataField name="Average of Profit_Margin" fld="26" subtotal="average" baseField="0" baseItem="0" numFmtId="9"/>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6" rowHeaderCaption="Shipping_Carriers">
  <location ref="AW2:AX6" firstHeaderRow="1" firstDataRow="1" firstDataCol="1"/>
  <pivotFields count="27">
    <pivotField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numFmtId="44" showAll="0"/>
    <pivotField showAll="0"/>
    <pivotField numFmtId="1" showAll="0"/>
    <pivotField numFmtId="1" showAll="0"/>
    <pivotField numFmtId="1" showAll="0"/>
    <pivotField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numFmtId="44" showAll="0"/>
    <pivotField numFmtId="9" showAll="0"/>
  </pivotFields>
  <rowFields count="1">
    <field x="11"/>
  </rowFields>
  <rowItems count="4">
    <i>
      <x v="1"/>
    </i>
    <i>
      <x v="2"/>
    </i>
    <i>
      <x/>
    </i>
    <i t="grand">
      <x/>
    </i>
  </rowItems>
  <colItems count="1">
    <i/>
  </colItems>
  <dataFields count="1">
    <dataField name="Sum of Shipping_Costs" fld="12" baseField="0" baseItem="0" numFmtId="164"/>
  </dataFields>
  <formats count="1">
    <format dxfId="2">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1" count="1" selected="0">
            <x v="1"/>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6" rowHeaderCaption="Product_Type">
  <location ref="L2:M6" firstHeaderRow="1" firstDataRow="1" firstDataCol="1"/>
  <pivotFields count="27">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dataField="1"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numFmtId="44" showAll="0"/>
    <pivotField numFmtId="9" showAll="0"/>
  </pivotFields>
  <rowFields count="1">
    <field x="0"/>
  </rowFields>
  <rowItems count="4">
    <i>
      <x v="2"/>
    </i>
    <i>
      <x v="1"/>
    </i>
    <i>
      <x/>
    </i>
    <i t="grand">
      <x/>
    </i>
  </rowItems>
  <colItems count="1">
    <i/>
  </colItems>
  <dataFields count="1">
    <dataField name="Sum of Revenue_Generated" fld="5" baseField="0" baseItem="0" numFmtId="164"/>
  </dataFields>
  <formats count="1">
    <format dxfId="5">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CC463E-B0B1-4F38-9439-42F6BD942F6D}" name="PivotTable1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9" rowHeaderCaption="Product_Type">
  <location ref="AS2:AT6" firstHeaderRow="1" firstDataRow="1" firstDataCol="1"/>
  <pivotFields count="27">
    <pivotField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numFmtId="44" showAll="0"/>
    <pivotField numFmtId="44" showAll="0"/>
    <pivotField numFmtId="44" showAll="0"/>
    <pivotField numFmtId="9" showAll="0"/>
  </pivotFields>
  <rowFields count="1">
    <field x="22"/>
  </rowFields>
  <rowItems count="4">
    <i>
      <x v="1"/>
    </i>
    <i>
      <x v="2"/>
    </i>
    <i>
      <x/>
    </i>
    <i t="grand">
      <x/>
    </i>
  </rowItems>
  <colItems count="1">
    <i/>
  </colItems>
  <dataFields count="1">
    <dataField name="Average of Costs" fld="23" subtotal="average" baseField="22" baseItem="0" numFmtId="44"/>
  </dataFields>
  <formats count="1">
    <format dxfId="3">
      <pivotArea outline="0" collapsedLevelsAreSubtotals="1" fieldPosition="0"/>
    </format>
  </format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22" count="1" selected="0">
            <x v="1"/>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FD5476-98BB-4ACF-9799-06964259FEAE}" name="PivotTable1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Product_Type">
  <location ref="I2:I3" firstHeaderRow="1" firstDataRow="1" firstDataCol="0"/>
  <pivotFields count="27">
    <pivotField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numFmtId="44" showAll="0"/>
    <pivotField dataField="1" numFmtId="9" showAll="0"/>
  </pivotFields>
  <rowItems count="1">
    <i/>
  </rowItems>
  <colItems count="1">
    <i/>
  </colItems>
  <dataFields count="1">
    <dataField name="Average of Profit_Margin" fld="2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DF445B-4589-4BBA-8F9F-CD12E4793A88}" name="PivotTable1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Product_Type">
  <location ref="E2:E3" firstHeaderRow="1" firstDataRow="1" firstDataCol="0"/>
  <pivotFields count="27">
    <pivotField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dataField="1" numFmtId="44" showAll="0"/>
    <pivotField numFmtId="9" showAll="0"/>
  </pivotFields>
  <rowItems count="1">
    <i/>
  </rowItems>
  <colItems count="1">
    <i/>
  </colItems>
  <dataFields count="1">
    <dataField name="Sum of Profit" fld="2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1" rowHeaderCaption="SKU">
  <location ref="AE2:AF13" firstHeaderRow="1" firstDataRow="1" firstDataCol="1"/>
  <pivotFields count="27">
    <pivotField showAll="0">
      <items count="4">
        <item x="2"/>
        <item x="0"/>
        <item x="1"/>
        <item t="default"/>
      </items>
    </pivotField>
    <pivotField axis="axisRow" showAll="0" measureFilter="1" sortType="a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44" showAll="0"/>
    <pivotField numFmtId="1" showAll="0"/>
    <pivotField numFmtId="1" showAll="0"/>
    <pivotField dataField="1"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numFmtId="44" showAll="0"/>
    <pivotField numFmtId="9" showAll="0"/>
  </pivotFields>
  <rowFields count="1">
    <field x="1"/>
  </rowFields>
  <rowItems count="11">
    <i>
      <x v="10"/>
    </i>
    <i>
      <x v="48"/>
    </i>
    <i>
      <x v="87"/>
    </i>
    <i>
      <x v="64"/>
    </i>
    <i>
      <x v="26"/>
    </i>
    <i>
      <x v="12"/>
    </i>
    <i>
      <x v="90"/>
    </i>
    <i>
      <x v="25"/>
    </i>
    <i>
      <x v="32"/>
    </i>
    <i>
      <x v="47"/>
    </i>
    <i t="grand">
      <x/>
    </i>
  </rowItems>
  <colItems count="1">
    <i/>
  </colItems>
  <dataFields count="1">
    <dataField name="Sum of Revenue_Generated" fld="5" baseField="0" baseItem="0" numFmtId="164"/>
  </dataFields>
  <formats count="1">
    <format dxfId="1">
      <pivotArea outline="0" collapsedLevelsAreSubtotals="1" fieldPosition="0"/>
    </format>
  </formats>
  <chartFormats count="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9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A730D1-4F97-462E-BE83-6D6277FD0E23}" name="PivotTable9"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1" rowHeaderCaption="Product_Type">
  <location ref="P2:Q6" firstHeaderRow="1" firstDataRow="1" firstDataCol="1"/>
  <pivotFields count="27">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dataField="1" numFmtId="44" showAll="0"/>
    <pivotField numFmtId="9" showAll="0"/>
  </pivotFields>
  <rowFields count="1">
    <field x="0"/>
  </rowFields>
  <rowItems count="4">
    <i>
      <x v="2"/>
    </i>
    <i>
      <x v="1"/>
    </i>
    <i>
      <x/>
    </i>
    <i t="grand">
      <x/>
    </i>
  </rowItems>
  <colItems count="1">
    <i/>
  </colItems>
  <dataFields count="1">
    <dataField name="Sum of Profit" fld="25" baseField="0" baseItem="0" numFmtId="164"/>
  </dataFields>
  <formats count="1">
    <format dxfId="0">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5" rowHeaderCaption="Transportation_Modes">
  <location ref="AM2:AQ8" firstHeaderRow="1" firstDataRow="2" firstDataCol="1"/>
  <pivotFields count="27">
    <pivotField axis="axisCol"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dataField="1" numFmtId="2" showAll="0"/>
    <pivotField axis="axisRow" showAll="0">
      <items count="5">
        <item x="1"/>
        <item x="2"/>
        <item x="0"/>
        <item x="3"/>
        <item t="default"/>
      </items>
    </pivotField>
    <pivotField showAll="0">
      <items count="4">
        <item x="2"/>
        <item x="0"/>
        <item x="1"/>
        <item t="default"/>
      </items>
    </pivotField>
    <pivotField numFmtId="44" showAll="0"/>
    <pivotField numFmtId="44" showAll="0"/>
    <pivotField numFmtId="44" showAll="0"/>
    <pivotField numFmtId="9" showAll="0"/>
  </pivotFields>
  <rowFields count="1">
    <field x="21"/>
  </rowFields>
  <rowItems count="5">
    <i>
      <x/>
    </i>
    <i>
      <x v="1"/>
    </i>
    <i>
      <x v="2"/>
    </i>
    <i>
      <x v="3"/>
    </i>
    <i t="grand">
      <x/>
    </i>
  </rowItems>
  <colFields count="1">
    <field x="0"/>
  </colFields>
  <colItems count="4">
    <i>
      <x/>
    </i>
    <i>
      <x v="1"/>
    </i>
    <i>
      <x v="2"/>
    </i>
    <i t="grand">
      <x/>
    </i>
  </colItems>
  <dataFields count="1">
    <dataField name="Average of Defect_Rates" fld="20" subtotal="average" baseField="21" baseItem="0" numFmtId="2"/>
  </dataFields>
  <chartFormats count="9">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2">
          <reference field="4294967294" count="1" selected="0">
            <x v="0"/>
          </reference>
          <reference field="0" count="1" selected="0">
            <x v="2"/>
          </reference>
        </references>
      </pivotArea>
    </chartFormat>
    <chartFormat chart="14" format="6" series="1">
      <pivotArea type="data" outline="0" fieldPosition="0">
        <references count="2">
          <reference field="4294967294" count="1" selected="0">
            <x v="0"/>
          </reference>
          <reference field="0" count="1" selected="0">
            <x v="0"/>
          </reference>
        </references>
      </pivotArea>
    </chartFormat>
    <chartFormat chart="14" format="7" series="1">
      <pivotArea type="data" outline="0" fieldPosition="0">
        <references count="2">
          <reference field="4294967294" count="1" selected="0">
            <x v="0"/>
          </reference>
          <reference field="0" count="1" selected="0">
            <x v="1"/>
          </reference>
        </references>
      </pivotArea>
    </chartFormat>
    <chartFormat chart="14"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A7B997F-C079-4720-AFEF-AC4B8473EAF1}" name="PivotTable1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Product_Type">
  <location ref="C2:C3" firstHeaderRow="1" firstDataRow="1" firstDataCol="0"/>
  <pivotFields count="27">
    <pivotField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numFmtId="1" showAll="0"/>
    <pivotField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dataField="1" numFmtId="44" showAll="0"/>
    <pivotField numFmtId="44" showAll="0"/>
    <pivotField numFmtId="9" showAll="0"/>
  </pivotFields>
  <rowItems count="1">
    <i/>
  </rowItems>
  <colItems count="1">
    <i/>
  </colItems>
  <dataFields count="1">
    <dataField name="Sum of Total_Cost" fld="24"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939E534-6A14-484B-849C-F323FD7C3EC3}" name="PivotTable1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rowHeaderCaption="Product_Type">
  <location ref="G2:G3" firstHeaderRow="1" firstDataRow="1" firstDataCol="0"/>
  <pivotFields count="27">
    <pivotField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numFmtId="1" showAll="0"/>
    <pivotField dataField="1" numFmtId="1" showAll="0"/>
    <pivotField numFmtId="44" showAll="0"/>
    <pivotField showAll="0"/>
    <pivotField numFmtId="1" showAll="0"/>
    <pivotField numFmtId="1" showAll="0"/>
    <pivotField numFmtId="1" showAll="0"/>
    <pivotField numFmtId="1" showAll="0"/>
    <pivotField showAll="0">
      <items count="4">
        <item x="1"/>
        <item x="0"/>
        <item x="2"/>
        <item t="default"/>
      </items>
    </pivotField>
    <pivotField numFmtId="44" showAll="0"/>
    <pivotField showAll="0"/>
    <pivotField showAll="0"/>
    <pivotField numFmtId="1" showAll="0"/>
    <pivotField numFmtId="1" showAll="0"/>
    <pivotField numFmtId="1" showAll="0"/>
    <pivotField numFmtId="44" showAll="0"/>
    <pivotField showAll="0"/>
    <pivotField numFmtId="2" showAll="0"/>
    <pivotField showAll="0">
      <items count="5">
        <item x="1"/>
        <item x="2"/>
        <item x="0"/>
        <item x="3"/>
        <item t="default"/>
      </items>
    </pivotField>
    <pivotField showAll="0">
      <items count="4">
        <item x="2"/>
        <item x="0"/>
        <item x="1"/>
        <item t="default"/>
      </items>
    </pivotField>
    <pivotField numFmtId="44" showAll="0"/>
    <pivotField numFmtId="44" showAll="0"/>
    <pivotField numFmtId="44" showAll="0"/>
    <pivotField numFmtId="9" showAll="0"/>
  </pivotFields>
  <rowItems count="1">
    <i/>
  </rowItems>
  <colItems count="1">
    <i/>
  </colItems>
  <dataFields count="1">
    <dataField name="Sum of Number_of_Products _Sold"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CBCC3BF6-CA7C-4CF9-A491-EB0D17A49A43}" sourceName="Product_Type">
  <pivotTables>
    <pivotTable tabId="4" name="PivotTable1"/>
    <pivotTable tabId="4" name="PivotTable10"/>
    <pivotTable tabId="4" name="PivotTable11"/>
    <pivotTable tabId="4" name="PivotTable13"/>
    <pivotTable tabId="4" name="PivotTable14"/>
    <pivotTable tabId="4" name="PivotTable15"/>
    <pivotTable tabId="4" name="PivotTable16"/>
    <pivotTable tabId="4" name="PivotTable17"/>
    <pivotTable tabId="4" name="PivotTable2"/>
    <pivotTable tabId="4" name="PivotTable4"/>
    <pivotTable tabId="4" name="PivotTable5"/>
    <pivotTable tabId="4" name="PivotTable8"/>
    <pivotTable tabId="4" name="PivotTable9"/>
    <pivotTable tabId="4" name="PivotTable18"/>
  </pivotTables>
  <data>
    <tabular pivotCacheId="165309173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C74CC132-606F-45B8-9140-CDFCF3452B21}" sourceName="SKU">
  <pivotTables>
    <pivotTable tabId="4" name="PivotTable1"/>
    <pivotTable tabId="4" name="PivotTable10"/>
    <pivotTable tabId="4" name="PivotTable11"/>
    <pivotTable tabId="4" name="PivotTable13"/>
    <pivotTable tabId="4" name="PivotTable14"/>
    <pivotTable tabId="4" name="PivotTable15"/>
    <pivotTable tabId="4" name="PivotTable16"/>
    <pivotTable tabId="4" name="PivotTable17"/>
    <pivotTable tabId="4" name="PivotTable2"/>
    <pivotTable tabId="4" name="PivotTable4"/>
    <pivotTable tabId="4" name="PivotTable5"/>
    <pivotTable tabId="4" name="PivotTable8"/>
    <pivotTable tabId="4" name="PivotTable9"/>
    <pivotTable tabId="4" name="PivotTable18"/>
  </pivotTables>
  <data>
    <tabular pivotCacheId="1653091736">
      <items count="100">
        <i x="0" s="1"/>
        <i x="1" s="1"/>
        <i x="10" s="1"/>
        <i x="11" s="1"/>
        <i x="12" s="1"/>
        <i x="13" s="1"/>
        <i x="14" s="1"/>
        <i x="15" s="1"/>
        <i x="16" s="1"/>
        <i x="17" s="1"/>
        <i x="18" s="1"/>
        <i x="19" s="1"/>
        <i x="2" s="1"/>
        <i x="20" s="1"/>
        <i x="21" s="1"/>
        <i x="22" s="1"/>
        <i x="23" s="1"/>
        <i x="24" s="1"/>
        <i x="25" s="1"/>
        <i x="26" s="1"/>
        <i x="27" s="1"/>
        <i x="28" s="1"/>
        <i x="29" s="1"/>
        <i x="3" s="1"/>
        <i x="30" s="1"/>
        <i x="31" s="1"/>
        <i x="32" s="1"/>
        <i x="33" s="1"/>
        <i x="34" s="1"/>
        <i x="35" s="1"/>
        <i x="36" s="1"/>
        <i x="37" s="1"/>
        <i x="38" s="1"/>
        <i x="39" s="1"/>
        <i x="4" s="1"/>
        <i x="40" s="1"/>
        <i x="41" s="1"/>
        <i x="42" s="1"/>
        <i x="43" s="1"/>
        <i x="44" s="1"/>
        <i x="45" s="1"/>
        <i x="46" s="1"/>
        <i x="47" s="1"/>
        <i x="48" s="1"/>
        <i x="49" s="1"/>
        <i x="5" s="1"/>
        <i x="50" s="1"/>
        <i x="51" s="1"/>
        <i x="52" s="1"/>
        <i x="53" s="1"/>
        <i x="54" s="1"/>
        <i x="55" s="1"/>
        <i x="56" s="1"/>
        <i x="57" s="1"/>
        <i x="58" s="1"/>
        <i x="59" s="1"/>
        <i x="6" s="1"/>
        <i x="60" s="1"/>
        <i x="61" s="1"/>
        <i x="62" s="1"/>
        <i x="63" s="1"/>
        <i x="64" s="1"/>
        <i x="65" s="1"/>
        <i x="66" s="1"/>
        <i x="67" s="1"/>
        <i x="68" s="1"/>
        <i x="69" s="1"/>
        <i x="7" s="1"/>
        <i x="70" s="1"/>
        <i x="71" s="1"/>
        <i x="72" s="1"/>
        <i x="73" s="1"/>
        <i x="74" s="1"/>
        <i x="75" s="1"/>
        <i x="76" s="1"/>
        <i x="77" s="1"/>
        <i x="78" s="1"/>
        <i x="79" s="1"/>
        <i x="8" s="1"/>
        <i x="80" s="1"/>
        <i x="81" s="1"/>
        <i x="82" s="1"/>
        <i x="83" s="1"/>
        <i x="84" s="1"/>
        <i x="85" s="1"/>
        <i x="86" s="1"/>
        <i x="87" s="1"/>
        <i x="88" s="1"/>
        <i x="89" s="1"/>
        <i x="9" s="1"/>
        <i x="90" s="1"/>
        <i x="91" s="1"/>
        <i x="92" s="1"/>
        <i x="93" s="1"/>
        <i x="94" s="1"/>
        <i x="95" s="1"/>
        <i x="96" s="1"/>
        <i x="97" s="1"/>
        <i x="98" s="1"/>
        <i x="9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7E316889-FA3E-468F-A5E7-E10A80B192A2}" sourceName="Shipping_Carriers">
  <pivotTables>
    <pivotTable tabId="4" name="PivotTable1"/>
    <pivotTable tabId="4" name="PivotTable10"/>
    <pivotTable tabId="4" name="PivotTable11"/>
    <pivotTable tabId="4" name="PivotTable13"/>
    <pivotTable tabId="4" name="PivotTable14"/>
    <pivotTable tabId="4" name="PivotTable15"/>
    <pivotTable tabId="4" name="PivotTable16"/>
    <pivotTable tabId="4" name="PivotTable17"/>
    <pivotTable tabId="4" name="PivotTable2"/>
    <pivotTable tabId="4" name="PivotTable4"/>
    <pivotTable tabId="4" name="PivotTable5"/>
    <pivotTable tabId="4" name="PivotTable8"/>
    <pivotTable tabId="4" name="PivotTable9"/>
    <pivotTable tabId="4" name="PivotTable18"/>
  </pivotTables>
  <data>
    <tabular pivotCacheId="165309173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8F877114-3520-4995-836A-DF16554AF5EC}" sourceName="Transportation_Modes">
  <pivotTables>
    <pivotTable tabId="4" name="PivotTable1"/>
    <pivotTable tabId="4" name="PivotTable10"/>
    <pivotTable tabId="4" name="PivotTable11"/>
    <pivotTable tabId="4" name="PivotTable13"/>
    <pivotTable tabId="4" name="PivotTable14"/>
    <pivotTable tabId="4" name="PivotTable15"/>
    <pivotTable tabId="4" name="PivotTable16"/>
    <pivotTable tabId="4" name="PivotTable17"/>
    <pivotTable tabId="4" name="PivotTable2"/>
    <pivotTable tabId="4" name="PivotTable4"/>
    <pivotTable tabId="4" name="PivotTable5"/>
    <pivotTable tabId="4" name="PivotTable8"/>
    <pivotTable tabId="4" name="PivotTable9"/>
    <pivotTable tabId="4" name="PivotTable18"/>
  </pivotTables>
  <data>
    <tabular pivotCacheId="1653091736">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s" xr10:uid="{E6171FE5-88F7-43A4-93F1-FA4C8684B8C3}" sourceName="Routes">
  <pivotTables>
    <pivotTable tabId="4" name="PivotTable1"/>
    <pivotTable tabId="4" name="PivotTable10"/>
    <pivotTable tabId="4" name="PivotTable11"/>
    <pivotTable tabId="4" name="PivotTable13"/>
    <pivotTable tabId="4" name="PivotTable14"/>
    <pivotTable tabId="4" name="PivotTable15"/>
    <pivotTable tabId="4" name="PivotTable16"/>
    <pivotTable tabId="4" name="PivotTable17"/>
    <pivotTable tabId="4" name="PivotTable2"/>
    <pivotTable tabId="4" name="PivotTable4"/>
    <pivotTable tabId="4" name="PivotTable5"/>
    <pivotTable tabId="4" name="PivotTable8"/>
    <pivotTable tabId="4" name="PivotTable9"/>
    <pivotTable tabId="4" name="PivotTable18"/>
  </pivotTables>
  <data>
    <tabular pivotCacheId="165309173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xr10:uid="{7A0A2E72-A6A9-456F-AC63-6B576002BB7A}" cache="Slicer_Product_Type" caption="Product_Type" style="SlicerStyleDark6" rowHeight="209550"/>
  <slicer name="SKU" xr10:uid="{DDE9E414-5DD8-4C45-8ABB-CDC61ABAA79E}" cache="Slicer_SKU" caption="SKU" style="SlicerStyleDark6" rowHeight="209550"/>
  <slicer name="Shipping_Carriers" xr10:uid="{71463BFD-3797-4B97-9A24-699092C3EA03}" cache="Slicer_Shipping_Carriers" caption="Shipping_Carriers" style="SlicerStyleDark6" rowHeight="209550"/>
  <slicer name="Transportation_Modes" xr10:uid="{4873F7F8-9641-4D10-A27A-8CD1DAE43A9F}" cache="Slicer_Transportation_Modes" caption="Transportation_Modes" style="SlicerStyleDark6" rowHeight="209550"/>
  <slicer name="Routes" xr10:uid="{5F239653-BEAB-4753-825C-A4A969C961F8}" cache="Slicer_Routes" caption="Routes" startItem="1"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101" totalsRowShown="0">
  <autoFilter ref="A1:AB101" xr:uid="{00000000-0009-0000-0100-000001000000}"/>
  <tableColumns count="28">
    <tableColumn id="1" xr3:uid="{00000000-0010-0000-0000-000001000000}" name="Product type"/>
    <tableColumn id="25" xr3:uid="{00000000-0010-0000-0000-000019000000}" name="Product type2" dataDxfId="36">
      <calculatedColumnFormula>PROPER(TRIM(Table1[[#This Row],[Product type]]))</calculatedColumnFormula>
    </tableColumn>
    <tableColumn id="2" xr3:uid="{00000000-0010-0000-0000-000002000000}" name="SKU"/>
    <tableColumn id="3" xr3:uid="{00000000-0010-0000-0000-000003000000}" name="Price"/>
    <tableColumn id="4" xr3:uid="{00000000-0010-0000-0000-000004000000}" name="Availability"/>
    <tableColumn id="5" xr3:uid="{00000000-0010-0000-0000-000005000000}" name="Number of products sold"/>
    <tableColumn id="6" xr3:uid="{00000000-0010-0000-0000-000006000000}" name="Revenue generated"/>
    <tableColumn id="7" xr3:uid="{00000000-0010-0000-0000-000007000000}" name="Customer demographics"/>
    <tableColumn id="8" xr3:uid="{00000000-0010-0000-0000-000008000000}" name="Stock levels"/>
    <tableColumn id="9" xr3:uid="{00000000-0010-0000-0000-000009000000}" name="Lead times"/>
    <tableColumn id="10" xr3:uid="{00000000-0010-0000-0000-00000A000000}" name="Order quantities"/>
    <tableColumn id="11" xr3:uid="{00000000-0010-0000-0000-00000B000000}" name="Shipping times"/>
    <tableColumn id="12" xr3:uid="{00000000-0010-0000-0000-00000C000000}" name="Shipping carriers"/>
    <tableColumn id="13" xr3:uid="{00000000-0010-0000-0000-00000D000000}" name="Shipping costs"/>
    <tableColumn id="14" xr3:uid="{00000000-0010-0000-0000-00000E000000}" name="Supplier name"/>
    <tableColumn id="15" xr3:uid="{00000000-0010-0000-0000-00000F000000}" name="Location"/>
    <tableColumn id="16" xr3:uid="{00000000-0010-0000-0000-000010000000}" name="Lead time"/>
    <tableColumn id="17" xr3:uid="{00000000-0010-0000-0000-000011000000}" name="Production volumes"/>
    <tableColumn id="18" xr3:uid="{00000000-0010-0000-0000-000012000000}" name="Manufacturing lead time"/>
    <tableColumn id="19" xr3:uid="{00000000-0010-0000-0000-000013000000}" name="Manufacturing costs"/>
    <tableColumn id="20" xr3:uid="{00000000-0010-0000-0000-000014000000}" name="Inspection results"/>
    <tableColumn id="21" xr3:uid="{00000000-0010-0000-0000-000015000000}" name="Defect rates"/>
    <tableColumn id="22" xr3:uid="{00000000-0010-0000-0000-000016000000}" name="Transportation modes"/>
    <tableColumn id="23" xr3:uid="{00000000-0010-0000-0000-000017000000}" name="Routes"/>
    <tableColumn id="24" xr3:uid="{00000000-0010-0000-0000-000018000000}" name="Costs"/>
    <tableColumn id="26" xr3:uid="{00000000-0010-0000-0000-00001A000000}" name="Total_Cost" dataDxfId="35">
      <calculatedColumnFormula>T2+N2+Y2</calculatedColumnFormula>
    </tableColumn>
    <tableColumn id="27" xr3:uid="{00000000-0010-0000-0000-00001B000000}" name="Profit" dataDxfId="34">
      <calculatedColumnFormula>G2-Z2</calculatedColumnFormula>
    </tableColumn>
    <tableColumn id="28" xr3:uid="{00000000-0010-0000-0000-00001C000000}" name="Profit_Margin" dataDxfId="33">
      <calculatedColumnFormula>AA2/G2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AA101" totalsRowShown="0">
  <autoFilter ref="A1:AA101" xr:uid="{00000000-0009-0000-0100-000002000000}"/>
  <tableColumns count="27">
    <tableColumn id="1" xr3:uid="{00000000-0010-0000-0100-000001000000}" name="Product_Type" dataDxfId="32"/>
    <tableColumn id="2" xr3:uid="{00000000-0010-0000-0100-000002000000}" name="SKU" dataDxfId="31"/>
    <tableColumn id="3" xr3:uid="{00000000-0010-0000-0100-000003000000}" name="Price" dataDxfId="30"/>
    <tableColumn id="4" xr3:uid="{00000000-0010-0000-0100-000004000000}" name="Availability" dataDxfId="29"/>
    <tableColumn id="5" xr3:uid="{00000000-0010-0000-0100-000005000000}" name="Number_of_Products _Sold" dataDxfId="28"/>
    <tableColumn id="6" xr3:uid="{00000000-0010-0000-0100-000006000000}" name="Revenue_Generated" dataDxfId="27"/>
    <tableColumn id="7" xr3:uid="{00000000-0010-0000-0100-000007000000}" name="Customer_Demographics" dataDxfId="26"/>
    <tableColumn id="8" xr3:uid="{00000000-0010-0000-0100-000008000000}" name="Stock_Levels" dataDxfId="25"/>
    <tableColumn id="9" xr3:uid="{00000000-0010-0000-0100-000009000000}" name="Lead_Times" dataDxfId="24"/>
    <tableColumn id="10" xr3:uid="{00000000-0010-0000-0100-00000A000000}" name="Order_Quantities" dataDxfId="23"/>
    <tableColumn id="11" xr3:uid="{00000000-0010-0000-0100-00000B000000}" name="Shipping_Times" dataDxfId="22"/>
    <tableColumn id="12" xr3:uid="{00000000-0010-0000-0100-00000C000000}" name="Shipping_Carriers" dataDxfId="21"/>
    <tableColumn id="13" xr3:uid="{00000000-0010-0000-0100-00000D000000}" name="Shipping_Costs" dataDxfId="20"/>
    <tableColumn id="14" xr3:uid="{00000000-0010-0000-0100-00000E000000}" name="Supplier_Name" dataDxfId="19"/>
    <tableColumn id="15" xr3:uid="{00000000-0010-0000-0100-00000F000000}" name="Location" dataDxfId="18"/>
    <tableColumn id="16" xr3:uid="{00000000-0010-0000-0100-000010000000}" name="Lead_Time" dataDxfId="17"/>
    <tableColumn id="17" xr3:uid="{00000000-0010-0000-0100-000011000000}" name="Production_Volumes" dataDxfId="16"/>
    <tableColumn id="18" xr3:uid="{00000000-0010-0000-0100-000012000000}" name="Manufacturing_Lead_Time" dataDxfId="15"/>
    <tableColumn id="19" xr3:uid="{00000000-0010-0000-0100-000013000000}" name="Manufacturing_Costs" dataDxfId="14"/>
    <tableColumn id="20" xr3:uid="{00000000-0010-0000-0100-000014000000}" name="Inspection_Results" dataDxfId="13"/>
    <tableColumn id="21" xr3:uid="{00000000-0010-0000-0100-000015000000}" name="Defect_Rates" dataDxfId="12"/>
    <tableColumn id="22" xr3:uid="{00000000-0010-0000-0100-000016000000}" name="Transportation_Modes" dataDxfId="11"/>
    <tableColumn id="23" xr3:uid="{00000000-0010-0000-0100-000017000000}" name="Routes" dataDxfId="10"/>
    <tableColumn id="24" xr3:uid="{00000000-0010-0000-0100-000018000000}" name="Costs" dataDxfId="9"/>
    <tableColumn id="25" xr3:uid="{00000000-0010-0000-0100-000019000000}" name="Total_Cost" dataDxfId="8"/>
    <tableColumn id="26" xr3:uid="{00000000-0010-0000-0100-00001A000000}" name="Profit" dataDxfId="7"/>
    <tableColumn id="27" xr3:uid="{00000000-0010-0000-0100-00001B000000}" name="Profit_Margin"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717B-E49A-4A9C-93C0-EF4D4ECF4DEF}">
  <sheetPr>
    <tabColor theme="5"/>
  </sheetPr>
  <dimension ref="A1:A69"/>
  <sheetViews>
    <sheetView showGridLines="0" workbookViewId="0">
      <selection activeCell="A59" sqref="A59"/>
    </sheetView>
  </sheetViews>
  <sheetFormatPr defaultColWidth="179.140625" defaultRowHeight="12.75"/>
  <sheetData>
    <row r="1" spans="1:1" ht="21">
      <c r="A1" s="29" t="s">
        <v>226</v>
      </c>
    </row>
    <row r="2" spans="1:1" ht="15">
      <c r="A2" s="16"/>
    </row>
    <row r="3" spans="1:1" ht="15">
      <c r="A3" s="16" t="s">
        <v>235</v>
      </c>
    </row>
    <row r="4" spans="1:1" ht="15">
      <c r="A4" s="16" t="s">
        <v>236</v>
      </c>
    </row>
    <row r="5" spans="1:1" ht="15">
      <c r="A5" s="15"/>
    </row>
    <row r="6" spans="1:1" ht="15">
      <c r="A6" s="16" t="s">
        <v>192</v>
      </c>
    </row>
    <row r="7" spans="1:1" ht="15">
      <c r="A7" s="15" t="s">
        <v>193</v>
      </c>
    </row>
    <row r="8" spans="1:1" ht="15">
      <c r="A8" s="15"/>
    </row>
    <row r="9" spans="1:1" ht="15">
      <c r="A9" s="16" t="s">
        <v>194</v>
      </c>
    </row>
    <row r="10" spans="1:1" ht="15">
      <c r="A10" s="15" t="s">
        <v>237</v>
      </c>
    </row>
    <row r="11" spans="1:1" ht="15">
      <c r="A11" s="15"/>
    </row>
    <row r="12" spans="1:1" ht="15">
      <c r="A12" s="16" t="s">
        <v>195</v>
      </c>
    </row>
    <row r="13" spans="1:1" ht="15">
      <c r="A13" s="17" t="s">
        <v>196</v>
      </c>
    </row>
    <row r="14" spans="1:1" ht="15">
      <c r="A14" s="15" t="s">
        <v>197</v>
      </c>
    </row>
    <row r="15" spans="1:1" ht="15">
      <c r="A15" s="15" t="s">
        <v>198</v>
      </c>
    </row>
    <row r="16" spans="1:1" ht="15">
      <c r="A16" s="15" t="s">
        <v>199</v>
      </c>
    </row>
    <row r="17" spans="1:1" ht="15">
      <c r="A17" s="15" t="s">
        <v>200</v>
      </c>
    </row>
    <row r="18" spans="1:1" ht="15">
      <c r="A18" s="15" t="s">
        <v>201</v>
      </c>
    </row>
    <row r="19" spans="1:1" ht="15">
      <c r="A19" s="15" t="s">
        <v>202</v>
      </c>
    </row>
    <row r="20" spans="1:1" ht="15">
      <c r="A20" s="15" t="s">
        <v>203</v>
      </c>
    </row>
    <row r="21" spans="1:1" ht="15">
      <c r="A21" s="15"/>
    </row>
    <row r="22" spans="1:1" ht="15">
      <c r="A22" s="16" t="s">
        <v>204</v>
      </c>
    </row>
    <row r="23" spans="1:1" ht="15">
      <c r="A23" s="15" t="s">
        <v>205</v>
      </c>
    </row>
    <row r="24" spans="1:1" ht="15">
      <c r="A24" s="15" t="s">
        <v>238</v>
      </c>
    </row>
    <row r="25" spans="1:1" ht="15">
      <c r="A25" s="15" t="s">
        <v>239</v>
      </c>
    </row>
    <row r="26" spans="1:1" ht="15">
      <c r="A26" s="15" t="s">
        <v>227</v>
      </c>
    </row>
    <row r="27" spans="1:1" ht="15">
      <c r="A27" s="15" t="s">
        <v>206</v>
      </c>
    </row>
    <row r="28" spans="1:1" ht="15">
      <c r="A28" s="15"/>
    </row>
    <row r="29" spans="1:1" ht="15">
      <c r="A29" s="16" t="s">
        <v>207</v>
      </c>
    </row>
    <row r="30" spans="1:1" ht="15">
      <c r="A30" s="15" t="s">
        <v>212</v>
      </c>
    </row>
    <row r="31" spans="1:1" ht="15">
      <c r="A31" s="15" t="s">
        <v>213</v>
      </c>
    </row>
    <row r="32" spans="1:1" ht="15">
      <c r="A32" s="15" t="s">
        <v>214</v>
      </c>
    </row>
    <row r="33" spans="1:1" ht="15">
      <c r="A33" s="15" t="s">
        <v>215</v>
      </c>
    </row>
    <row r="34" spans="1:1" ht="15">
      <c r="A34" s="15"/>
    </row>
    <row r="35" spans="1:1" ht="15">
      <c r="A35" s="16" t="s">
        <v>211</v>
      </c>
    </row>
    <row r="36" spans="1:1" ht="15">
      <c r="A36" s="15" t="s">
        <v>208</v>
      </c>
    </row>
    <row r="37" spans="1:1" ht="15">
      <c r="A37" s="15" t="s">
        <v>209</v>
      </c>
    </row>
    <row r="38" spans="1:1" ht="15">
      <c r="A38" s="15" t="s">
        <v>210</v>
      </c>
    </row>
    <row r="39" spans="1:1" ht="15">
      <c r="A39" s="15"/>
    </row>
    <row r="40" spans="1:1" ht="15">
      <c r="A40" s="16" t="s">
        <v>216</v>
      </c>
    </row>
    <row r="41" spans="1:1" ht="15">
      <c r="A41" s="15" t="s">
        <v>217</v>
      </c>
    </row>
    <row r="42" spans="1:1" ht="15">
      <c r="A42" s="15" t="s">
        <v>218</v>
      </c>
    </row>
    <row r="43" spans="1:1" ht="15">
      <c r="A43" s="15" t="s">
        <v>219</v>
      </c>
    </row>
    <row r="44" spans="1:1" ht="15">
      <c r="A44" s="15" t="s">
        <v>220</v>
      </c>
    </row>
    <row r="45" spans="1:1" ht="15">
      <c r="A45" s="15" t="s">
        <v>240</v>
      </c>
    </row>
    <row r="46" spans="1:1" ht="15">
      <c r="A46" s="15"/>
    </row>
    <row r="47" spans="1:1" ht="15">
      <c r="A47" s="16" t="s">
        <v>221</v>
      </c>
    </row>
    <row r="48" spans="1:1" ht="15">
      <c r="A48" s="15" t="s">
        <v>222</v>
      </c>
    </row>
    <row r="49" spans="1:1" ht="15">
      <c r="A49" s="15" t="s">
        <v>223</v>
      </c>
    </row>
    <row r="50" spans="1:1" ht="15">
      <c r="A50" s="15" t="s">
        <v>224</v>
      </c>
    </row>
    <row r="51" spans="1:1" ht="15">
      <c r="A51" s="15" t="s">
        <v>225</v>
      </c>
    </row>
    <row r="52" spans="1:1" ht="15">
      <c r="A52" s="15"/>
    </row>
    <row r="53" spans="1:1" ht="15">
      <c r="A53" s="16" t="s">
        <v>228</v>
      </c>
    </row>
    <row r="54" spans="1:1" ht="15">
      <c r="A54" s="15" t="s">
        <v>229</v>
      </c>
    </row>
    <row r="55" spans="1:1" ht="15">
      <c r="A55" s="15" t="s">
        <v>230</v>
      </c>
    </row>
    <row r="56" spans="1:1" ht="15">
      <c r="A56" s="15" t="s">
        <v>231</v>
      </c>
    </row>
    <row r="57" spans="1:1" ht="15">
      <c r="A57" s="15" t="s">
        <v>232</v>
      </c>
    </row>
    <row r="58" spans="1:1" ht="15">
      <c r="A58" s="15" t="s">
        <v>233</v>
      </c>
    </row>
    <row r="59" spans="1:1" ht="15">
      <c r="A59" s="15" t="s">
        <v>234</v>
      </c>
    </row>
    <row r="60" spans="1:1" ht="15">
      <c r="A60" s="15"/>
    </row>
    <row r="61" spans="1:1" ht="15">
      <c r="A61" s="16" t="s">
        <v>241</v>
      </c>
    </row>
    <row r="62" spans="1:1" ht="15">
      <c r="A62" s="15" t="s">
        <v>242</v>
      </c>
    </row>
    <row r="63" spans="1:1" ht="15">
      <c r="A63" s="15" t="s">
        <v>243</v>
      </c>
    </row>
    <row r="65" spans="1:1" ht="15">
      <c r="A65" s="16" t="s">
        <v>244</v>
      </c>
    </row>
    <row r="66" spans="1:1" ht="15">
      <c r="A66" s="15" t="s">
        <v>245</v>
      </c>
    </row>
    <row r="67" spans="1:1" ht="15">
      <c r="A67" s="15" t="s">
        <v>246</v>
      </c>
    </row>
    <row r="68" spans="1:1">
      <c r="A68" s="10"/>
    </row>
    <row r="69" spans="1:1">
      <c r="A6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outlinePr summaryBelow="0" summaryRight="0"/>
  </sheetPr>
  <dimension ref="A1:X101"/>
  <sheetViews>
    <sheetView workbookViewId="0">
      <selection activeCell="F4" sqref="F4"/>
    </sheetView>
  </sheetViews>
  <sheetFormatPr defaultColWidth="16.85546875" defaultRowHeight="15.75" customHeight="1"/>
  <sheetData>
    <row r="1" spans="1:24" ht="15.75" customHeight="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row>
    <row r="2" spans="1:24" ht="15.75" customHeight="1">
      <c r="A2" s="11" t="s">
        <v>24</v>
      </c>
      <c r="B2" s="11" t="s">
        <v>25</v>
      </c>
      <c r="C2" s="11">
        <v>69.808005542115694</v>
      </c>
      <c r="D2" s="11">
        <v>55</v>
      </c>
      <c r="E2" s="11">
        <v>802</v>
      </c>
      <c r="F2" s="11">
        <v>8661.9967923923796</v>
      </c>
      <c r="G2" s="11" t="s">
        <v>26</v>
      </c>
      <c r="H2" s="11">
        <v>58</v>
      </c>
      <c r="I2" s="11">
        <v>7</v>
      </c>
      <c r="J2" s="11">
        <v>96</v>
      </c>
      <c r="K2" s="11">
        <v>4</v>
      </c>
      <c r="L2" s="11" t="s">
        <v>27</v>
      </c>
      <c r="M2" s="11">
        <v>2.9565721394308002</v>
      </c>
      <c r="N2" s="11" t="s">
        <v>28</v>
      </c>
      <c r="O2" s="11" t="s">
        <v>29</v>
      </c>
      <c r="P2" s="11">
        <v>29</v>
      </c>
      <c r="Q2" s="11">
        <v>215</v>
      </c>
      <c r="R2" s="11">
        <v>29</v>
      </c>
      <c r="S2" s="11">
        <v>46.279879240508301</v>
      </c>
      <c r="T2" s="11" t="s">
        <v>30</v>
      </c>
      <c r="U2" s="11">
        <v>0.226410360849925</v>
      </c>
      <c r="V2" s="11" t="s">
        <v>31</v>
      </c>
      <c r="W2" s="11" t="s">
        <v>32</v>
      </c>
      <c r="X2" s="11">
        <v>187.75207545920301</v>
      </c>
    </row>
    <row r="3" spans="1:24" ht="15.75" customHeight="1">
      <c r="A3" s="11" t="s">
        <v>33</v>
      </c>
      <c r="B3" s="11" t="s">
        <v>34</v>
      </c>
      <c r="C3" s="11">
        <v>14.8435232750843</v>
      </c>
      <c r="D3" s="11">
        <v>95</v>
      </c>
      <c r="E3" s="11">
        <v>736</v>
      </c>
      <c r="F3" s="11">
        <v>7460.9000654458396</v>
      </c>
      <c r="G3" s="11" t="s">
        <v>35</v>
      </c>
      <c r="H3" s="11">
        <v>53</v>
      </c>
      <c r="I3" s="11">
        <v>30</v>
      </c>
      <c r="J3" s="11">
        <v>37</v>
      </c>
      <c r="K3" s="11">
        <v>2</v>
      </c>
      <c r="L3" s="11" t="s">
        <v>36</v>
      </c>
      <c r="M3" s="11">
        <v>9.7165747714313095</v>
      </c>
      <c r="N3" s="11" t="s">
        <v>28</v>
      </c>
      <c r="O3" s="11" t="s">
        <v>29</v>
      </c>
      <c r="P3" s="11">
        <v>23</v>
      </c>
      <c r="Q3" s="11">
        <v>517</v>
      </c>
      <c r="R3" s="11">
        <v>30</v>
      </c>
      <c r="S3" s="11">
        <v>33.616768953730002</v>
      </c>
      <c r="T3" s="11" t="s">
        <v>30</v>
      </c>
      <c r="U3" s="11">
        <v>4.8540680263886999</v>
      </c>
      <c r="V3" s="11" t="s">
        <v>31</v>
      </c>
      <c r="W3" s="11" t="s">
        <v>32</v>
      </c>
      <c r="X3" s="11">
        <v>503.06557914966902</v>
      </c>
    </row>
    <row r="4" spans="1:24" ht="15.75" customHeight="1">
      <c r="A4" s="11" t="s">
        <v>24</v>
      </c>
      <c r="B4" s="11" t="s">
        <v>37</v>
      </c>
      <c r="C4" s="11">
        <v>11.319683293090501</v>
      </c>
      <c r="D4" s="11">
        <v>34</v>
      </c>
      <c r="E4" s="11">
        <v>8</v>
      </c>
      <c r="F4" s="11">
        <v>9577.7496258687297</v>
      </c>
      <c r="G4" s="11" t="s">
        <v>38</v>
      </c>
      <c r="H4" s="11">
        <v>1</v>
      </c>
      <c r="I4" s="11">
        <v>10</v>
      </c>
      <c r="J4" s="11">
        <v>88</v>
      </c>
      <c r="K4" s="11">
        <v>2</v>
      </c>
      <c r="L4" s="11" t="s">
        <v>27</v>
      </c>
      <c r="M4" s="11">
        <v>8.0544792617321495</v>
      </c>
      <c r="N4" s="11" t="s">
        <v>39</v>
      </c>
      <c r="O4" s="11" t="s">
        <v>29</v>
      </c>
      <c r="P4" s="11">
        <v>12</v>
      </c>
      <c r="Q4" s="11">
        <v>971</v>
      </c>
      <c r="R4" s="11">
        <v>27</v>
      </c>
      <c r="S4" s="11">
        <v>30.6880193482842</v>
      </c>
      <c r="T4" s="11" t="s">
        <v>30</v>
      </c>
      <c r="U4" s="11">
        <v>4.5805926191992201</v>
      </c>
      <c r="V4" s="11" t="s">
        <v>40</v>
      </c>
      <c r="W4" s="11" t="s">
        <v>41</v>
      </c>
      <c r="X4" s="11">
        <v>141.920281771519</v>
      </c>
    </row>
    <row r="5" spans="1:24" ht="15.75" customHeight="1">
      <c r="A5" s="11" t="s">
        <v>33</v>
      </c>
      <c r="B5" s="11" t="s">
        <v>42</v>
      </c>
      <c r="C5" s="11">
        <v>61.1633430164377</v>
      </c>
      <c r="D5" s="11">
        <v>68</v>
      </c>
      <c r="E5" s="11">
        <v>83</v>
      </c>
      <c r="F5" s="11">
        <v>7766.8364256852301</v>
      </c>
      <c r="G5" s="11" t="s">
        <v>26</v>
      </c>
      <c r="H5" s="11">
        <v>23</v>
      </c>
      <c r="I5" s="11">
        <v>13</v>
      </c>
      <c r="J5" s="11">
        <v>59</v>
      </c>
      <c r="K5" s="11">
        <v>6</v>
      </c>
      <c r="L5" s="11" t="s">
        <v>43</v>
      </c>
      <c r="M5" s="11">
        <v>1.7295685635434199</v>
      </c>
      <c r="N5" s="11" t="s">
        <v>44</v>
      </c>
      <c r="O5" s="11" t="s">
        <v>45</v>
      </c>
      <c r="P5" s="11">
        <v>24</v>
      </c>
      <c r="Q5" s="11">
        <v>937</v>
      </c>
      <c r="R5" s="11">
        <v>18</v>
      </c>
      <c r="S5" s="11">
        <v>35.624741397125</v>
      </c>
      <c r="T5" s="11" t="s">
        <v>46</v>
      </c>
      <c r="U5" s="11">
        <v>4.7466486206477496</v>
      </c>
      <c r="V5" s="11" t="s">
        <v>47</v>
      </c>
      <c r="W5" s="11" t="s">
        <v>48</v>
      </c>
      <c r="X5" s="11">
        <v>254.776159219286</v>
      </c>
    </row>
    <row r="6" spans="1:24" ht="15.75" customHeight="1">
      <c r="A6" s="11" t="s">
        <v>33</v>
      </c>
      <c r="B6" s="11" t="s">
        <v>49</v>
      </c>
      <c r="C6" s="11">
        <v>4.8054960363458896</v>
      </c>
      <c r="D6" s="11">
        <v>26</v>
      </c>
      <c r="E6" s="11">
        <v>871</v>
      </c>
      <c r="F6" s="11">
        <v>2686.50515156744</v>
      </c>
      <c r="G6" s="11" t="s">
        <v>26</v>
      </c>
      <c r="H6" s="11">
        <v>5</v>
      </c>
      <c r="I6" s="11">
        <v>3</v>
      </c>
      <c r="J6" s="11">
        <v>56</v>
      </c>
      <c r="K6" s="11">
        <v>8</v>
      </c>
      <c r="L6" s="11" t="s">
        <v>36</v>
      </c>
      <c r="M6" s="11">
        <v>3.8905479158706702</v>
      </c>
      <c r="N6" s="11" t="s">
        <v>39</v>
      </c>
      <c r="O6" s="11" t="s">
        <v>50</v>
      </c>
      <c r="P6" s="11">
        <v>5</v>
      </c>
      <c r="Q6" s="11">
        <v>414</v>
      </c>
      <c r="R6" s="11">
        <v>3</v>
      </c>
      <c r="S6" s="11">
        <v>92.065160598712794</v>
      </c>
      <c r="T6" s="11" t="s">
        <v>46</v>
      </c>
      <c r="U6" s="11">
        <v>3.1455795228330001</v>
      </c>
      <c r="V6" s="11" t="s">
        <v>40</v>
      </c>
      <c r="W6" s="11" t="s">
        <v>48</v>
      </c>
      <c r="X6" s="11">
        <v>923.44063171192204</v>
      </c>
    </row>
    <row r="7" spans="1:24" ht="15.75" customHeight="1">
      <c r="A7" s="11" t="s">
        <v>24</v>
      </c>
      <c r="B7" s="11" t="s">
        <v>51</v>
      </c>
      <c r="C7" s="11">
        <v>1.6999760138659299</v>
      </c>
      <c r="D7" s="11">
        <v>87</v>
      </c>
      <c r="E7" s="11">
        <v>147</v>
      </c>
      <c r="F7" s="11">
        <v>2828.3487459757498</v>
      </c>
      <c r="G7" s="11" t="s">
        <v>26</v>
      </c>
      <c r="H7" s="11">
        <v>90</v>
      </c>
      <c r="I7" s="11">
        <v>27</v>
      </c>
      <c r="J7" s="11">
        <v>66</v>
      </c>
      <c r="K7" s="11">
        <v>3</v>
      </c>
      <c r="L7" s="11" t="s">
        <v>27</v>
      </c>
      <c r="M7" s="11">
        <v>4.4440988643822896</v>
      </c>
      <c r="N7" s="11" t="s">
        <v>52</v>
      </c>
      <c r="O7" s="11" t="s">
        <v>53</v>
      </c>
      <c r="P7" s="11">
        <v>10</v>
      </c>
      <c r="Q7" s="11">
        <v>104</v>
      </c>
      <c r="R7" s="11">
        <v>17</v>
      </c>
      <c r="S7" s="11">
        <v>56.766475557431797</v>
      </c>
      <c r="T7" s="11" t="s">
        <v>46</v>
      </c>
      <c r="U7" s="11">
        <v>2.7791935115711599</v>
      </c>
      <c r="V7" s="11" t="s">
        <v>31</v>
      </c>
      <c r="W7" s="11" t="s">
        <v>48</v>
      </c>
      <c r="X7" s="11">
        <v>235.461236735537</v>
      </c>
    </row>
    <row r="8" spans="1:24" ht="15.75" customHeight="1">
      <c r="A8" s="11" t="s">
        <v>33</v>
      </c>
      <c r="B8" s="11" t="s">
        <v>54</v>
      </c>
      <c r="C8" s="11">
        <v>4.0783328631079403</v>
      </c>
      <c r="D8" s="11">
        <v>48</v>
      </c>
      <c r="E8" s="11">
        <v>65</v>
      </c>
      <c r="F8" s="11">
        <v>7823.4765595317303</v>
      </c>
      <c r="G8" s="11" t="s">
        <v>55</v>
      </c>
      <c r="H8" s="11">
        <v>11</v>
      </c>
      <c r="I8" s="11">
        <v>15</v>
      </c>
      <c r="J8" s="11">
        <v>58</v>
      </c>
      <c r="K8" s="11">
        <v>8</v>
      </c>
      <c r="L8" s="11" t="s">
        <v>43</v>
      </c>
      <c r="M8" s="11">
        <v>3.8807633029519999</v>
      </c>
      <c r="N8" s="11" t="s">
        <v>28</v>
      </c>
      <c r="O8" s="11" t="s">
        <v>45</v>
      </c>
      <c r="P8" s="11">
        <v>14</v>
      </c>
      <c r="Q8" s="11">
        <v>314</v>
      </c>
      <c r="R8" s="11">
        <v>24</v>
      </c>
      <c r="S8" s="11">
        <v>1.0850685695870601</v>
      </c>
      <c r="T8" s="11" t="s">
        <v>30</v>
      </c>
      <c r="U8" s="11">
        <v>1.0009106193041299</v>
      </c>
      <c r="V8" s="11" t="s">
        <v>56</v>
      </c>
      <c r="W8" s="11" t="s">
        <v>48</v>
      </c>
      <c r="X8" s="11">
        <v>134.36909686103101</v>
      </c>
    </row>
    <row r="9" spans="1:24" ht="15.75" customHeight="1">
      <c r="A9" s="11" t="s">
        <v>57</v>
      </c>
      <c r="B9" s="11" t="s">
        <v>58</v>
      </c>
      <c r="C9" s="11">
        <v>42.958384382459997</v>
      </c>
      <c r="D9" s="11">
        <v>59</v>
      </c>
      <c r="E9" s="11">
        <v>426</v>
      </c>
      <c r="F9" s="11">
        <v>8496.1038130898305</v>
      </c>
      <c r="G9" s="11" t="s">
        <v>35</v>
      </c>
      <c r="H9" s="11">
        <v>93</v>
      </c>
      <c r="I9" s="11">
        <v>17</v>
      </c>
      <c r="J9" s="11">
        <v>11</v>
      </c>
      <c r="K9" s="11">
        <v>1</v>
      </c>
      <c r="L9" s="11" t="s">
        <v>27</v>
      </c>
      <c r="M9" s="11">
        <v>2.3483387844177801</v>
      </c>
      <c r="N9" s="11" t="s">
        <v>52</v>
      </c>
      <c r="O9" s="11" t="s">
        <v>53</v>
      </c>
      <c r="P9" s="11">
        <v>22</v>
      </c>
      <c r="Q9" s="11">
        <v>564</v>
      </c>
      <c r="R9" s="11">
        <v>1</v>
      </c>
      <c r="S9" s="11">
        <v>99.466108603599096</v>
      </c>
      <c r="T9" s="11" t="s">
        <v>46</v>
      </c>
      <c r="U9" s="11">
        <v>0.39817718685065001</v>
      </c>
      <c r="V9" s="11" t="s">
        <v>31</v>
      </c>
      <c r="W9" s="11" t="s">
        <v>41</v>
      </c>
      <c r="X9" s="11">
        <v>802.05631181755803</v>
      </c>
    </row>
    <row r="10" spans="1:24" ht="15.75" customHeight="1">
      <c r="A10" s="11" t="s">
        <v>57</v>
      </c>
      <c r="B10" s="11" t="s">
        <v>59</v>
      </c>
      <c r="C10" s="11">
        <v>68.717596748527299</v>
      </c>
      <c r="D10" s="11">
        <v>78</v>
      </c>
      <c r="E10" s="11">
        <v>150</v>
      </c>
      <c r="F10" s="11">
        <v>7517.3632106311197</v>
      </c>
      <c r="G10" s="11" t="s">
        <v>35</v>
      </c>
      <c r="H10" s="11">
        <v>5</v>
      </c>
      <c r="I10" s="11">
        <v>10</v>
      </c>
      <c r="J10" s="11">
        <v>15</v>
      </c>
      <c r="K10" s="11">
        <v>7</v>
      </c>
      <c r="L10" s="11" t="s">
        <v>43</v>
      </c>
      <c r="M10" s="11">
        <v>3.4047338570830199</v>
      </c>
      <c r="N10" s="11" t="s">
        <v>52</v>
      </c>
      <c r="O10" s="11" t="s">
        <v>29</v>
      </c>
      <c r="P10" s="11">
        <v>13</v>
      </c>
      <c r="Q10" s="11">
        <v>769</v>
      </c>
      <c r="R10" s="11">
        <v>8</v>
      </c>
      <c r="S10" s="11">
        <v>11.423027139565599</v>
      </c>
      <c r="T10" s="11" t="s">
        <v>30</v>
      </c>
      <c r="U10" s="11">
        <v>2.7098626911099601</v>
      </c>
      <c r="V10" s="11" t="s">
        <v>56</v>
      </c>
      <c r="W10" s="11" t="s">
        <v>32</v>
      </c>
      <c r="X10" s="11">
        <v>505.55713422546398</v>
      </c>
    </row>
    <row r="11" spans="1:24" ht="15.75" customHeight="1">
      <c r="A11" s="11" t="s">
        <v>33</v>
      </c>
      <c r="B11" s="11" t="s">
        <v>60</v>
      </c>
      <c r="C11" s="11">
        <v>64.0157329412785</v>
      </c>
      <c r="D11" s="11">
        <v>35</v>
      </c>
      <c r="E11" s="11">
        <v>980</v>
      </c>
      <c r="F11" s="11">
        <v>4971.1459875855498</v>
      </c>
      <c r="G11" s="11" t="s">
        <v>38</v>
      </c>
      <c r="H11" s="11">
        <v>14</v>
      </c>
      <c r="I11" s="11">
        <v>27</v>
      </c>
      <c r="J11" s="11">
        <v>83</v>
      </c>
      <c r="K11" s="11">
        <v>1</v>
      </c>
      <c r="L11" s="11" t="s">
        <v>36</v>
      </c>
      <c r="M11" s="11">
        <v>7.1666452910482104</v>
      </c>
      <c r="N11" s="11" t="s">
        <v>61</v>
      </c>
      <c r="O11" s="11" t="s">
        <v>62</v>
      </c>
      <c r="P11" s="11">
        <v>29</v>
      </c>
      <c r="Q11" s="11">
        <v>963</v>
      </c>
      <c r="R11" s="11">
        <v>23</v>
      </c>
      <c r="S11" s="11">
        <v>47.957601634951502</v>
      </c>
      <c r="T11" s="11" t="s">
        <v>30</v>
      </c>
      <c r="U11" s="11">
        <v>3.8446144787675798</v>
      </c>
      <c r="V11" s="11" t="s">
        <v>47</v>
      </c>
      <c r="W11" s="11" t="s">
        <v>32</v>
      </c>
      <c r="X11" s="11">
        <v>995.92946149864099</v>
      </c>
    </row>
    <row r="12" spans="1:24" ht="15.75" customHeight="1">
      <c r="A12" s="11" t="s">
        <v>33</v>
      </c>
      <c r="B12" s="11" t="s">
        <v>63</v>
      </c>
      <c r="C12" s="11">
        <v>15.707795681912099</v>
      </c>
      <c r="D12" s="11">
        <v>11</v>
      </c>
      <c r="E12" s="11">
        <v>996</v>
      </c>
      <c r="F12" s="11">
        <v>2330.9658020919401</v>
      </c>
      <c r="G12" s="11" t="s">
        <v>26</v>
      </c>
      <c r="H12" s="11">
        <v>51</v>
      </c>
      <c r="I12" s="11">
        <v>13</v>
      </c>
      <c r="J12" s="11">
        <v>80</v>
      </c>
      <c r="K12" s="11">
        <v>2</v>
      </c>
      <c r="L12" s="11" t="s">
        <v>43</v>
      </c>
      <c r="M12" s="11">
        <v>8.6732112112786108</v>
      </c>
      <c r="N12" s="11" t="s">
        <v>44</v>
      </c>
      <c r="O12" s="11" t="s">
        <v>45</v>
      </c>
      <c r="P12" s="11">
        <v>18</v>
      </c>
      <c r="Q12" s="11">
        <v>830</v>
      </c>
      <c r="R12" s="11">
        <v>5</v>
      </c>
      <c r="S12" s="11">
        <v>96.527352785310896</v>
      </c>
      <c r="T12" s="11" t="s">
        <v>64</v>
      </c>
      <c r="U12" s="11">
        <v>1.72731392835594</v>
      </c>
      <c r="V12" s="11" t="s">
        <v>31</v>
      </c>
      <c r="W12" s="11" t="s">
        <v>32</v>
      </c>
      <c r="X12" s="11">
        <v>806.10317770292295</v>
      </c>
    </row>
    <row r="13" spans="1:24" ht="15.75" customHeight="1">
      <c r="A13" s="11" t="s">
        <v>33</v>
      </c>
      <c r="B13" s="11" t="s">
        <v>65</v>
      </c>
      <c r="C13" s="11">
        <v>90.635459982288594</v>
      </c>
      <c r="D13" s="11">
        <v>95</v>
      </c>
      <c r="E13" s="11">
        <v>960</v>
      </c>
      <c r="F13" s="11">
        <v>6099.9441155814502</v>
      </c>
      <c r="G13" s="11" t="s">
        <v>35</v>
      </c>
      <c r="H13" s="11">
        <v>46</v>
      </c>
      <c r="I13" s="11">
        <v>23</v>
      </c>
      <c r="J13" s="11">
        <v>60</v>
      </c>
      <c r="K13" s="11">
        <v>1</v>
      </c>
      <c r="L13" s="11" t="s">
        <v>36</v>
      </c>
      <c r="M13" s="11">
        <v>4.5239431243166601</v>
      </c>
      <c r="N13" s="11" t="s">
        <v>61</v>
      </c>
      <c r="O13" s="11" t="s">
        <v>45</v>
      </c>
      <c r="P13" s="11">
        <v>28</v>
      </c>
      <c r="Q13" s="11">
        <v>362</v>
      </c>
      <c r="R13" s="11">
        <v>11</v>
      </c>
      <c r="S13" s="11">
        <v>27.5923630866636</v>
      </c>
      <c r="T13" s="11" t="s">
        <v>30</v>
      </c>
      <c r="U13" s="11">
        <v>2.1169821372994301E-2</v>
      </c>
      <c r="V13" s="11" t="s">
        <v>40</v>
      </c>
      <c r="W13" s="11" t="s">
        <v>48</v>
      </c>
      <c r="X13" s="11">
        <v>126.72303340940699</v>
      </c>
    </row>
    <row r="14" spans="1:24" ht="15.75" customHeight="1">
      <c r="A14" s="11" t="s">
        <v>24</v>
      </c>
      <c r="B14" s="11" t="s">
        <v>66</v>
      </c>
      <c r="C14" s="11">
        <v>71.213389075359999</v>
      </c>
      <c r="D14" s="11">
        <v>41</v>
      </c>
      <c r="E14" s="11">
        <v>336</v>
      </c>
      <c r="F14" s="11">
        <v>2873.74144602144</v>
      </c>
      <c r="G14" s="11" t="s">
        <v>38</v>
      </c>
      <c r="H14" s="11">
        <v>100</v>
      </c>
      <c r="I14" s="11">
        <v>30</v>
      </c>
      <c r="J14" s="11">
        <v>85</v>
      </c>
      <c r="K14" s="11">
        <v>4</v>
      </c>
      <c r="L14" s="11" t="s">
        <v>36</v>
      </c>
      <c r="M14" s="11">
        <v>1.32527401018452</v>
      </c>
      <c r="N14" s="11" t="s">
        <v>52</v>
      </c>
      <c r="O14" s="11" t="s">
        <v>45</v>
      </c>
      <c r="P14" s="11">
        <v>3</v>
      </c>
      <c r="Q14" s="11">
        <v>563</v>
      </c>
      <c r="R14" s="11">
        <v>3</v>
      </c>
      <c r="S14" s="11">
        <v>32.321286213424003</v>
      </c>
      <c r="T14" s="11" t="s">
        <v>46</v>
      </c>
      <c r="U14" s="11">
        <v>2.1612537475559099</v>
      </c>
      <c r="V14" s="11" t="s">
        <v>31</v>
      </c>
      <c r="W14" s="11" t="s">
        <v>32</v>
      </c>
      <c r="X14" s="11">
        <v>402.96878907376998</v>
      </c>
    </row>
    <row r="15" spans="1:24" ht="15.75" customHeight="1">
      <c r="A15" s="11" t="s">
        <v>33</v>
      </c>
      <c r="B15" s="11" t="s">
        <v>67</v>
      </c>
      <c r="C15" s="11">
        <v>16.160393317379899</v>
      </c>
      <c r="D15" s="11">
        <v>5</v>
      </c>
      <c r="E15" s="11">
        <v>249</v>
      </c>
      <c r="F15" s="11">
        <v>4052.7384162378598</v>
      </c>
      <c r="G15" s="11" t="s">
        <v>55</v>
      </c>
      <c r="H15" s="11">
        <v>80</v>
      </c>
      <c r="I15" s="11">
        <v>8</v>
      </c>
      <c r="J15" s="11">
        <v>48</v>
      </c>
      <c r="K15" s="11">
        <v>9</v>
      </c>
      <c r="L15" s="11" t="s">
        <v>36</v>
      </c>
      <c r="M15" s="11">
        <v>9.5372830611083295</v>
      </c>
      <c r="N15" s="11" t="s">
        <v>44</v>
      </c>
      <c r="O15" s="11" t="s">
        <v>53</v>
      </c>
      <c r="P15" s="11">
        <v>23</v>
      </c>
      <c r="Q15" s="11">
        <v>173</v>
      </c>
      <c r="R15" s="11">
        <v>10</v>
      </c>
      <c r="S15" s="11">
        <v>97.829050110173199</v>
      </c>
      <c r="T15" s="11" t="s">
        <v>30</v>
      </c>
      <c r="U15" s="11">
        <v>1.63107423007153</v>
      </c>
      <c r="V15" s="11" t="s">
        <v>31</v>
      </c>
      <c r="W15" s="11" t="s">
        <v>32</v>
      </c>
      <c r="X15" s="11">
        <v>547.24100516096803</v>
      </c>
    </row>
    <row r="16" spans="1:24" ht="15.75" customHeight="1">
      <c r="A16" s="11" t="s">
        <v>33</v>
      </c>
      <c r="B16" s="11" t="s">
        <v>68</v>
      </c>
      <c r="C16" s="11">
        <v>99.171328638624104</v>
      </c>
      <c r="D16" s="11">
        <v>26</v>
      </c>
      <c r="E16" s="11">
        <v>562</v>
      </c>
      <c r="F16" s="11">
        <v>8653.5709264697998</v>
      </c>
      <c r="G16" s="11" t="s">
        <v>26</v>
      </c>
      <c r="H16" s="11">
        <v>54</v>
      </c>
      <c r="I16" s="11">
        <v>29</v>
      </c>
      <c r="J16" s="11">
        <v>78</v>
      </c>
      <c r="K16" s="11">
        <v>5</v>
      </c>
      <c r="L16" s="11" t="s">
        <v>27</v>
      </c>
      <c r="M16" s="11">
        <v>2.0397701894493299</v>
      </c>
      <c r="N16" s="11" t="s">
        <v>39</v>
      </c>
      <c r="O16" s="11" t="s">
        <v>45</v>
      </c>
      <c r="P16" s="11">
        <v>25</v>
      </c>
      <c r="Q16" s="11">
        <v>558</v>
      </c>
      <c r="R16" s="11">
        <v>14</v>
      </c>
      <c r="S16" s="11">
        <v>5.7914366298629796</v>
      </c>
      <c r="T16" s="11" t="s">
        <v>30</v>
      </c>
      <c r="U16" s="11">
        <v>0.100682851565093</v>
      </c>
      <c r="V16" s="11" t="s">
        <v>40</v>
      </c>
      <c r="W16" s="11" t="s">
        <v>32</v>
      </c>
      <c r="X16" s="11">
        <v>929.23528996088896</v>
      </c>
    </row>
    <row r="17" spans="1:24" ht="15.75" customHeight="1">
      <c r="A17" s="11" t="s">
        <v>33</v>
      </c>
      <c r="B17" s="11" t="s">
        <v>69</v>
      </c>
      <c r="C17" s="11">
        <v>36.989244928626903</v>
      </c>
      <c r="D17" s="11">
        <v>94</v>
      </c>
      <c r="E17" s="11">
        <v>469</v>
      </c>
      <c r="F17" s="11">
        <v>5442.0867853976697</v>
      </c>
      <c r="G17" s="11" t="s">
        <v>26</v>
      </c>
      <c r="H17" s="11">
        <v>9</v>
      </c>
      <c r="I17" s="11">
        <v>8</v>
      </c>
      <c r="J17" s="11">
        <v>69</v>
      </c>
      <c r="K17" s="11">
        <v>7</v>
      </c>
      <c r="L17" s="11" t="s">
        <v>27</v>
      </c>
      <c r="M17" s="11">
        <v>2.4220397232752</v>
      </c>
      <c r="N17" s="11" t="s">
        <v>39</v>
      </c>
      <c r="O17" s="11" t="s">
        <v>53</v>
      </c>
      <c r="P17" s="11">
        <v>14</v>
      </c>
      <c r="Q17" s="11">
        <v>580</v>
      </c>
      <c r="R17" s="11">
        <v>7</v>
      </c>
      <c r="S17" s="11">
        <v>97.121281751474299</v>
      </c>
      <c r="T17" s="11" t="s">
        <v>64</v>
      </c>
      <c r="U17" s="11">
        <v>2.2644057611985402</v>
      </c>
      <c r="V17" s="11" t="s">
        <v>56</v>
      </c>
      <c r="W17" s="11" t="s">
        <v>32</v>
      </c>
      <c r="X17" s="11">
        <v>127.861800001625</v>
      </c>
    </row>
    <row r="18" spans="1:24" ht="15.75" customHeight="1">
      <c r="A18" s="11" t="s">
        <v>33</v>
      </c>
      <c r="B18" s="11" t="s">
        <v>70</v>
      </c>
      <c r="C18" s="11">
        <v>7.5471721097912701</v>
      </c>
      <c r="D18" s="11">
        <v>74</v>
      </c>
      <c r="E18" s="11">
        <v>280</v>
      </c>
      <c r="F18" s="11">
        <v>6453.7979681762799</v>
      </c>
      <c r="G18" s="11" t="s">
        <v>35</v>
      </c>
      <c r="H18" s="11">
        <v>2</v>
      </c>
      <c r="I18" s="11">
        <v>5</v>
      </c>
      <c r="J18" s="11">
        <v>78</v>
      </c>
      <c r="K18" s="11">
        <v>1</v>
      </c>
      <c r="L18" s="11" t="s">
        <v>27</v>
      </c>
      <c r="M18" s="11">
        <v>4.1913245857054999</v>
      </c>
      <c r="N18" s="11" t="s">
        <v>39</v>
      </c>
      <c r="O18" s="11" t="s">
        <v>53</v>
      </c>
      <c r="P18" s="11">
        <v>3</v>
      </c>
      <c r="Q18" s="11">
        <v>399</v>
      </c>
      <c r="R18" s="11">
        <v>21</v>
      </c>
      <c r="S18" s="11">
        <v>77.106342497849994</v>
      </c>
      <c r="T18" s="11" t="s">
        <v>64</v>
      </c>
      <c r="U18" s="11">
        <v>1.01256308925804</v>
      </c>
      <c r="V18" s="11" t="s">
        <v>40</v>
      </c>
      <c r="W18" s="11" t="s">
        <v>48</v>
      </c>
      <c r="X18" s="11">
        <v>865.52577977123997</v>
      </c>
    </row>
    <row r="19" spans="1:24" ht="15.75" customHeight="1">
      <c r="A19" s="11" t="s">
        <v>57</v>
      </c>
      <c r="B19" s="11" t="s">
        <v>71</v>
      </c>
      <c r="C19" s="11">
        <v>81.462534369237005</v>
      </c>
      <c r="D19" s="11">
        <v>82</v>
      </c>
      <c r="E19" s="11">
        <v>126</v>
      </c>
      <c r="F19" s="11">
        <v>2629.39643484526</v>
      </c>
      <c r="G19" s="11" t="s">
        <v>35</v>
      </c>
      <c r="H19" s="11">
        <v>45</v>
      </c>
      <c r="I19" s="11">
        <v>17</v>
      </c>
      <c r="J19" s="11">
        <v>85</v>
      </c>
      <c r="K19" s="11">
        <v>9</v>
      </c>
      <c r="L19" s="11" t="s">
        <v>43</v>
      </c>
      <c r="M19" s="11">
        <v>3.5854189582323399</v>
      </c>
      <c r="N19" s="11" t="s">
        <v>39</v>
      </c>
      <c r="O19" s="11" t="s">
        <v>62</v>
      </c>
      <c r="P19" s="11">
        <v>7</v>
      </c>
      <c r="Q19" s="11">
        <v>453</v>
      </c>
      <c r="R19" s="11">
        <v>16</v>
      </c>
      <c r="S19" s="11">
        <v>47.679680368355299</v>
      </c>
      <c r="T19" s="11" t="s">
        <v>46</v>
      </c>
      <c r="U19" s="11">
        <v>0.102020754918176</v>
      </c>
      <c r="V19" s="11" t="s">
        <v>40</v>
      </c>
      <c r="W19" s="11" t="s">
        <v>41</v>
      </c>
      <c r="X19" s="11">
        <v>670.93439079241</v>
      </c>
    </row>
    <row r="20" spans="1:24" ht="15.75" customHeight="1">
      <c r="A20" s="11" t="s">
        <v>24</v>
      </c>
      <c r="B20" s="11" t="s">
        <v>72</v>
      </c>
      <c r="C20" s="11">
        <v>36.4436277704609</v>
      </c>
      <c r="D20" s="11">
        <v>23</v>
      </c>
      <c r="E20" s="11">
        <v>620</v>
      </c>
      <c r="F20" s="11">
        <v>9364.6735050761708</v>
      </c>
      <c r="G20" s="11" t="s">
        <v>38</v>
      </c>
      <c r="H20" s="11">
        <v>10</v>
      </c>
      <c r="I20" s="11">
        <v>10</v>
      </c>
      <c r="J20" s="11">
        <v>46</v>
      </c>
      <c r="K20" s="11">
        <v>8</v>
      </c>
      <c r="L20" s="11" t="s">
        <v>43</v>
      </c>
      <c r="M20" s="11">
        <v>4.3392247141107001</v>
      </c>
      <c r="N20" s="11" t="s">
        <v>61</v>
      </c>
      <c r="O20" s="11" t="s">
        <v>45</v>
      </c>
      <c r="P20" s="11">
        <v>18</v>
      </c>
      <c r="Q20" s="11">
        <v>374</v>
      </c>
      <c r="R20" s="11">
        <v>17</v>
      </c>
      <c r="S20" s="11">
        <v>27.107980854843898</v>
      </c>
      <c r="T20" s="11" t="s">
        <v>30</v>
      </c>
      <c r="U20" s="11">
        <v>2.2319391107292601</v>
      </c>
      <c r="V20" s="11" t="s">
        <v>56</v>
      </c>
      <c r="W20" s="11" t="s">
        <v>48</v>
      </c>
      <c r="X20" s="11">
        <v>593.48025872065102</v>
      </c>
    </row>
    <row r="21" spans="1:24" ht="15.75" customHeight="1">
      <c r="A21" s="11" t="s">
        <v>33</v>
      </c>
      <c r="B21" s="11" t="s">
        <v>73</v>
      </c>
      <c r="C21" s="11">
        <v>51.123870087964697</v>
      </c>
      <c r="D21" s="11">
        <v>100</v>
      </c>
      <c r="E21" s="11">
        <v>187</v>
      </c>
      <c r="F21" s="11">
        <v>2553.4955849912099</v>
      </c>
      <c r="G21" s="11" t="s">
        <v>38</v>
      </c>
      <c r="H21" s="11">
        <v>48</v>
      </c>
      <c r="I21" s="11">
        <v>11</v>
      </c>
      <c r="J21" s="11">
        <v>94</v>
      </c>
      <c r="K21" s="11">
        <v>3</v>
      </c>
      <c r="L21" s="11" t="s">
        <v>36</v>
      </c>
      <c r="M21" s="11">
        <v>4.7426358828418698</v>
      </c>
      <c r="N21" s="11" t="s">
        <v>52</v>
      </c>
      <c r="O21" s="11" t="s">
        <v>62</v>
      </c>
      <c r="P21" s="11">
        <v>20</v>
      </c>
      <c r="Q21" s="11">
        <v>694</v>
      </c>
      <c r="R21" s="11">
        <v>16</v>
      </c>
      <c r="S21" s="11">
        <v>82.373320587990193</v>
      </c>
      <c r="T21" s="11" t="s">
        <v>46</v>
      </c>
      <c r="U21" s="11">
        <v>3.64645086541702</v>
      </c>
      <c r="V21" s="11" t="s">
        <v>31</v>
      </c>
      <c r="W21" s="11" t="s">
        <v>41</v>
      </c>
      <c r="X21" s="11">
        <v>477.30763109090299</v>
      </c>
    </row>
    <row r="22" spans="1:24" ht="15.75" customHeight="1">
      <c r="A22" s="11" t="s">
        <v>33</v>
      </c>
      <c r="B22" s="11" t="s">
        <v>74</v>
      </c>
      <c r="C22" s="11">
        <v>96.341072439963298</v>
      </c>
      <c r="D22" s="11">
        <v>22</v>
      </c>
      <c r="E22" s="11">
        <v>320</v>
      </c>
      <c r="F22" s="11">
        <v>8128.0276968511898</v>
      </c>
      <c r="G22" s="11" t="s">
        <v>38</v>
      </c>
      <c r="H22" s="11">
        <v>27</v>
      </c>
      <c r="I22" s="11">
        <v>12</v>
      </c>
      <c r="J22" s="11">
        <v>68</v>
      </c>
      <c r="K22" s="11">
        <v>6</v>
      </c>
      <c r="L22" s="11" t="s">
        <v>36</v>
      </c>
      <c r="M22" s="11">
        <v>8.8783346509268402</v>
      </c>
      <c r="N22" s="11" t="s">
        <v>39</v>
      </c>
      <c r="O22" s="11" t="s">
        <v>62</v>
      </c>
      <c r="P22" s="11">
        <v>29</v>
      </c>
      <c r="Q22" s="11">
        <v>309</v>
      </c>
      <c r="R22" s="11">
        <v>6</v>
      </c>
      <c r="S22" s="11">
        <v>65.686259608488598</v>
      </c>
      <c r="T22" s="11" t="s">
        <v>64</v>
      </c>
      <c r="U22" s="11">
        <v>4.2314165735345304</v>
      </c>
      <c r="V22" s="11" t="s">
        <v>40</v>
      </c>
      <c r="W22" s="11" t="s">
        <v>32</v>
      </c>
      <c r="X22" s="11">
        <v>493.871215316205</v>
      </c>
    </row>
    <row r="23" spans="1:24" ht="15.75" customHeight="1">
      <c r="A23" s="11" t="s">
        <v>57</v>
      </c>
      <c r="B23" s="11" t="s">
        <v>75</v>
      </c>
      <c r="C23" s="11">
        <v>84.893868984950799</v>
      </c>
      <c r="D23" s="11">
        <v>60</v>
      </c>
      <c r="E23" s="11">
        <v>601</v>
      </c>
      <c r="F23" s="11">
        <v>7087.0526963574302</v>
      </c>
      <c r="G23" s="11" t="s">
        <v>38</v>
      </c>
      <c r="H23" s="11">
        <v>69</v>
      </c>
      <c r="I23" s="11">
        <v>25</v>
      </c>
      <c r="J23" s="11">
        <v>7</v>
      </c>
      <c r="K23" s="11">
        <v>6</v>
      </c>
      <c r="L23" s="11" t="s">
        <v>27</v>
      </c>
      <c r="M23" s="11">
        <v>6.0378837692182898</v>
      </c>
      <c r="N23" s="11" t="s">
        <v>44</v>
      </c>
      <c r="O23" s="11" t="s">
        <v>62</v>
      </c>
      <c r="P23" s="11">
        <v>19</v>
      </c>
      <c r="Q23" s="11">
        <v>791</v>
      </c>
      <c r="R23" s="11">
        <v>4</v>
      </c>
      <c r="S23" s="11">
        <v>61.735728954160898</v>
      </c>
      <c r="T23" s="11" t="s">
        <v>30</v>
      </c>
      <c r="U23" s="11">
        <v>1.8607567631014899E-2</v>
      </c>
      <c r="V23" s="11" t="s">
        <v>40</v>
      </c>
      <c r="W23" s="11" t="s">
        <v>41</v>
      </c>
      <c r="X23" s="11">
        <v>523.36091472015801</v>
      </c>
    </row>
    <row r="24" spans="1:24" ht="15.75" customHeight="1">
      <c r="A24" s="11" t="s">
        <v>24</v>
      </c>
      <c r="B24" s="11" t="s">
        <v>76</v>
      </c>
      <c r="C24" s="11">
        <v>27.679780886501899</v>
      </c>
      <c r="D24" s="11">
        <v>55</v>
      </c>
      <c r="E24" s="11">
        <v>884</v>
      </c>
      <c r="F24" s="11">
        <v>2390.8078665561702</v>
      </c>
      <c r="G24" s="11" t="s">
        <v>38</v>
      </c>
      <c r="H24" s="11">
        <v>71</v>
      </c>
      <c r="I24" s="11">
        <v>1</v>
      </c>
      <c r="J24" s="11">
        <v>63</v>
      </c>
      <c r="K24" s="11">
        <v>10</v>
      </c>
      <c r="L24" s="11" t="s">
        <v>36</v>
      </c>
      <c r="M24" s="11">
        <v>9.5676489209230393</v>
      </c>
      <c r="N24" s="11" t="s">
        <v>52</v>
      </c>
      <c r="O24" s="11" t="s">
        <v>45</v>
      </c>
      <c r="P24" s="11">
        <v>22</v>
      </c>
      <c r="Q24" s="11">
        <v>780</v>
      </c>
      <c r="R24" s="11">
        <v>28</v>
      </c>
      <c r="S24" s="11">
        <v>50.120839612977299</v>
      </c>
      <c r="T24" s="11" t="s">
        <v>46</v>
      </c>
      <c r="U24" s="11">
        <v>2.5912754732111098</v>
      </c>
      <c r="V24" s="11" t="s">
        <v>47</v>
      </c>
      <c r="W24" s="11" t="s">
        <v>41</v>
      </c>
      <c r="X24" s="11">
        <v>205.57199582694699</v>
      </c>
    </row>
    <row r="25" spans="1:24" ht="15.75" customHeight="1">
      <c r="A25" s="11" t="s">
        <v>57</v>
      </c>
      <c r="B25" s="11" t="s">
        <v>77</v>
      </c>
      <c r="C25" s="11">
        <v>4.3243411858641601</v>
      </c>
      <c r="D25" s="11">
        <v>30</v>
      </c>
      <c r="E25" s="11">
        <v>391</v>
      </c>
      <c r="F25" s="11">
        <v>8858.3675710114803</v>
      </c>
      <c r="G25" s="11" t="s">
        <v>38</v>
      </c>
      <c r="H25" s="11">
        <v>84</v>
      </c>
      <c r="I25" s="11">
        <v>5</v>
      </c>
      <c r="J25" s="11">
        <v>29</v>
      </c>
      <c r="K25" s="11">
        <v>7</v>
      </c>
      <c r="L25" s="11" t="s">
        <v>36</v>
      </c>
      <c r="M25" s="11">
        <v>2.92485760114555</v>
      </c>
      <c r="N25" s="11" t="s">
        <v>44</v>
      </c>
      <c r="O25" s="11" t="s">
        <v>45</v>
      </c>
      <c r="P25" s="11">
        <v>11</v>
      </c>
      <c r="Q25" s="11">
        <v>568</v>
      </c>
      <c r="R25" s="11">
        <v>29</v>
      </c>
      <c r="S25" s="11">
        <v>98.6099572427038</v>
      </c>
      <c r="T25" s="11" t="s">
        <v>30</v>
      </c>
      <c r="U25" s="11">
        <v>1.3422915627227301</v>
      </c>
      <c r="V25" s="11" t="s">
        <v>47</v>
      </c>
      <c r="W25" s="11" t="s">
        <v>48</v>
      </c>
      <c r="X25" s="11">
        <v>196.329446112412</v>
      </c>
    </row>
    <row r="26" spans="1:24" ht="12.75">
      <c r="A26" s="11" t="s">
        <v>24</v>
      </c>
      <c r="B26" s="11" t="s">
        <v>78</v>
      </c>
      <c r="C26" s="11">
        <v>4.1563083593111001</v>
      </c>
      <c r="D26" s="11">
        <v>32</v>
      </c>
      <c r="E26" s="11">
        <v>209</v>
      </c>
      <c r="F26" s="11">
        <v>9049.0778609398894</v>
      </c>
      <c r="G26" s="11" t="s">
        <v>55</v>
      </c>
      <c r="H26" s="11">
        <v>4</v>
      </c>
      <c r="I26" s="11">
        <v>26</v>
      </c>
      <c r="J26" s="11">
        <v>2</v>
      </c>
      <c r="K26" s="11">
        <v>8</v>
      </c>
      <c r="L26" s="11" t="s">
        <v>43</v>
      </c>
      <c r="M26" s="11">
        <v>9.7412916892843597</v>
      </c>
      <c r="N26" s="11" t="s">
        <v>61</v>
      </c>
      <c r="O26" s="11" t="s">
        <v>53</v>
      </c>
      <c r="P26" s="11">
        <v>28</v>
      </c>
      <c r="Q26" s="11">
        <v>447</v>
      </c>
      <c r="R26" s="11">
        <v>3</v>
      </c>
      <c r="S26" s="11">
        <v>40.382359702924802</v>
      </c>
      <c r="T26" s="11" t="s">
        <v>30</v>
      </c>
      <c r="U26" s="11">
        <v>3.69131029262872</v>
      </c>
      <c r="V26" s="11" t="s">
        <v>40</v>
      </c>
      <c r="W26" s="11" t="s">
        <v>48</v>
      </c>
      <c r="X26" s="11">
        <v>758.72477260293795</v>
      </c>
    </row>
    <row r="27" spans="1:24" ht="12.75">
      <c r="A27" s="11" t="s">
        <v>24</v>
      </c>
      <c r="B27" s="11" t="s">
        <v>79</v>
      </c>
      <c r="C27" s="11">
        <v>39.629343985092603</v>
      </c>
      <c r="D27" s="11">
        <v>73</v>
      </c>
      <c r="E27" s="11">
        <v>142</v>
      </c>
      <c r="F27" s="11">
        <v>2174.7770543506499</v>
      </c>
      <c r="G27" s="11" t="s">
        <v>55</v>
      </c>
      <c r="H27" s="11">
        <v>82</v>
      </c>
      <c r="I27" s="11">
        <v>11</v>
      </c>
      <c r="J27" s="11">
        <v>52</v>
      </c>
      <c r="K27" s="11">
        <v>3</v>
      </c>
      <c r="L27" s="11" t="s">
        <v>43</v>
      </c>
      <c r="M27" s="11">
        <v>2.2310736812817198</v>
      </c>
      <c r="N27" s="11" t="s">
        <v>52</v>
      </c>
      <c r="O27" s="11" t="s">
        <v>45</v>
      </c>
      <c r="P27" s="11">
        <v>19</v>
      </c>
      <c r="Q27" s="11">
        <v>934</v>
      </c>
      <c r="R27" s="11">
        <v>23</v>
      </c>
      <c r="S27" s="11">
        <v>78.280383118415301</v>
      </c>
      <c r="T27" s="11" t="s">
        <v>30</v>
      </c>
      <c r="U27" s="11">
        <v>3.79723121711418</v>
      </c>
      <c r="V27" s="11" t="s">
        <v>31</v>
      </c>
      <c r="W27" s="11" t="s">
        <v>32</v>
      </c>
      <c r="X27" s="11">
        <v>458.53594573920901</v>
      </c>
    </row>
    <row r="28" spans="1:24" ht="12.75">
      <c r="A28" s="11" t="s">
        <v>24</v>
      </c>
      <c r="B28" s="11" t="s">
        <v>80</v>
      </c>
      <c r="C28" s="11">
        <v>97.446946617892806</v>
      </c>
      <c r="D28" s="11">
        <v>9</v>
      </c>
      <c r="E28" s="11">
        <v>353</v>
      </c>
      <c r="F28" s="11">
        <v>3716.49332589403</v>
      </c>
      <c r="G28" s="11" t="s">
        <v>55</v>
      </c>
      <c r="H28" s="11">
        <v>59</v>
      </c>
      <c r="I28" s="11">
        <v>16</v>
      </c>
      <c r="J28" s="11">
        <v>48</v>
      </c>
      <c r="K28" s="11">
        <v>4</v>
      </c>
      <c r="L28" s="11" t="s">
        <v>27</v>
      </c>
      <c r="M28" s="11">
        <v>6.5075486210785503</v>
      </c>
      <c r="N28" s="11" t="s">
        <v>61</v>
      </c>
      <c r="O28" s="11" t="s">
        <v>53</v>
      </c>
      <c r="P28" s="11">
        <v>26</v>
      </c>
      <c r="Q28" s="11">
        <v>171</v>
      </c>
      <c r="R28" s="11">
        <v>4</v>
      </c>
      <c r="S28" s="11">
        <v>15.972229757181699</v>
      </c>
      <c r="T28" s="11" t="s">
        <v>64</v>
      </c>
      <c r="U28" s="11">
        <v>2.1193197367249201</v>
      </c>
      <c r="V28" s="11" t="s">
        <v>47</v>
      </c>
      <c r="W28" s="11" t="s">
        <v>48</v>
      </c>
      <c r="X28" s="11">
        <v>617.86691645837698</v>
      </c>
    </row>
    <row r="29" spans="1:24" ht="12.75">
      <c r="A29" s="11" t="s">
        <v>57</v>
      </c>
      <c r="B29" s="11" t="s">
        <v>81</v>
      </c>
      <c r="C29" s="11">
        <v>92.557360812401996</v>
      </c>
      <c r="D29" s="11">
        <v>42</v>
      </c>
      <c r="E29" s="11">
        <v>352</v>
      </c>
      <c r="F29" s="11">
        <v>2686.4572235759802</v>
      </c>
      <c r="G29" s="11" t="s">
        <v>38</v>
      </c>
      <c r="H29" s="11">
        <v>47</v>
      </c>
      <c r="I29" s="11">
        <v>9</v>
      </c>
      <c r="J29" s="11">
        <v>62</v>
      </c>
      <c r="K29" s="11">
        <v>8</v>
      </c>
      <c r="L29" s="11" t="s">
        <v>43</v>
      </c>
      <c r="M29" s="11">
        <v>7.4067509529980704</v>
      </c>
      <c r="N29" s="11" t="s">
        <v>44</v>
      </c>
      <c r="O29" s="11" t="s">
        <v>29</v>
      </c>
      <c r="P29" s="11">
        <v>25</v>
      </c>
      <c r="Q29" s="11">
        <v>291</v>
      </c>
      <c r="R29" s="11">
        <v>4</v>
      </c>
      <c r="S29" s="11">
        <v>10.5282450700421</v>
      </c>
      <c r="T29" s="11" t="s">
        <v>46</v>
      </c>
      <c r="U29" s="11">
        <v>2.8646678378833701</v>
      </c>
      <c r="V29" s="11" t="s">
        <v>56</v>
      </c>
      <c r="W29" s="11" t="s">
        <v>32</v>
      </c>
      <c r="X29" s="11">
        <v>762.45918215568304</v>
      </c>
    </row>
    <row r="30" spans="1:24" ht="12.75">
      <c r="A30" s="11" t="s">
        <v>57</v>
      </c>
      <c r="B30" s="11" t="s">
        <v>82</v>
      </c>
      <c r="C30" s="11">
        <v>2.3972747055971402</v>
      </c>
      <c r="D30" s="11">
        <v>12</v>
      </c>
      <c r="E30" s="11">
        <v>394</v>
      </c>
      <c r="F30" s="11">
        <v>6117.3246150839896</v>
      </c>
      <c r="G30" s="11" t="s">
        <v>35</v>
      </c>
      <c r="H30" s="11">
        <v>48</v>
      </c>
      <c r="I30" s="11">
        <v>15</v>
      </c>
      <c r="J30" s="11">
        <v>24</v>
      </c>
      <c r="K30" s="11">
        <v>4</v>
      </c>
      <c r="L30" s="11" t="s">
        <v>27</v>
      </c>
      <c r="M30" s="11">
        <v>9.8981405080692202</v>
      </c>
      <c r="N30" s="11" t="s">
        <v>39</v>
      </c>
      <c r="O30" s="11" t="s">
        <v>29</v>
      </c>
      <c r="P30" s="11">
        <v>13</v>
      </c>
      <c r="Q30" s="11">
        <v>171</v>
      </c>
      <c r="R30" s="11">
        <v>7</v>
      </c>
      <c r="S30" s="11">
        <v>59.429381810691503</v>
      </c>
      <c r="T30" s="11" t="s">
        <v>46</v>
      </c>
      <c r="U30" s="11">
        <v>0.81575707929567198</v>
      </c>
      <c r="V30" s="11" t="s">
        <v>40</v>
      </c>
      <c r="W30" s="11" t="s">
        <v>48</v>
      </c>
      <c r="X30" s="11">
        <v>123.437027511827</v>
      </c>
    </row>
    <row r="31" spans="1:24" ht="12.75">
      <c r="A31" s="11" t="s">
        <v>57</v>
      </c>
      <c r="B31" s="11" t="s">
        <v>83</v>
      </c>
      <c r="C31" s="11">
        <v>63.447559185207297</v>
      </c>
      <c r="D31" s="11">
        <v>3</v>
      </c>
      <c r="E31" s="11">
        <v>253</v>
      </c>
      <c r="F31" s="11">
        <v>8318.9031946171708</v>
      </c>
      <c r="G31" s="11" t="s">
        <v>35</v>
      </c>
      <c r="H31" s="11">
        <v>45</v>
      </c>
      <c r="I31" s="11">
        <v>5</v>
      </c>
      <c r="J31" s="11">
        <v>67</v>
      </c>
      <c r="K31" s="11">
        <v>7</v>
      </c>
      <c r="L31" s="11" t="s">
        <v>27</v>
      </c>
      <c r="M31" s="11">
        <v>8.1009731453970293</v>
      </c>
      <c r="N31" s="11" t="s">
        <v>39</v>
      </c>
      <c r="O31" s="11" t="s">
        <v>45</v>
      </c>
      <c r="P31" s="11">
        <v>16</v>
      </c>
      <c r="Q31" s="11">
        <v>329</v>
      </c>
      <c r="R31" s="11">
        <v>7</v>
      </c>
      <c r="S31" s="11">
        <v>39.292875586065698</v>
      </c>
      <c r="T31" s="11" t="s">
        <v>64</v>
      </c>
      <c r="U31" s="11">
        <v>3.8780989365884802</v>
      </c>
      <c r="V31" s="11" t="s">
        <v>31</v>
      </c>
      <c r="W31" s="11" t="s">
        <v>32</v>
      </c>
      <c r="X31" s="11">
        <v>764.93537594070801</v>
      </c>
    </row>
    <row r="32" spans="1:24" ht="12.75">
      <c r="A32" s="11" t="s">
        <v>24</v>
      </c>
      <c r="B32" s="11" t="s">
        <v>84</v>
      </c>
      <c r="C32" s="11">
        <v>8.0228592105263896</v>
      </c>
      <c r="D32" s="11">
        <v>10</v>
      </c>
      <c r="E32" s="11">
        <v>327</v>
      </c>
      <c r="F32" s="11">
        <v>2766.3423668660798</v>
      </c>
      <c r="G32" s="11" t="s">
        <v>55</v>
      </c>
      <c r="H32" s="11">
        <v>60</v>
      </c>
      <c r="I32" s="11">
        <v>26</v>
      </c>
      <c r="J32" s="11">
        <v>35</v>
      </c>
      <c r="K32" s="11">
        <v>7</v>
      </c>
      <c r="L32" s="11" t="s">
        <v>27</v>
      </c>
      <c r="M32" s="11">
        <v>8.9545283153180097</v>
      </c>
      <c r="N32" s="11" t="s">
        <v>52</v>
      </c>
      <c r="O32" s="11" t="s">
        <v>45</v>
      </c>
      <c r="P32" s="11">
        <v>27</v>
      </c>
      <c r="Q32" s="11">
        <v>806</v>
      </c>
      <c r="R32" s="11">
        <v>30</v>
      </c>
      <c r="S32" s="11">
        <v>51.634893400109299</v>
      </c>
      <c r="T32" s="11" t="s">
        <v>30</v>
      </c>
      <c r="U32" s="11">
        <v>0.96539470535239302</v>
      </c>
      <c r="V32" s="11" t="s">
        <v>31</v>
      </c>
      <c r="W32" s="11" t="s">
        <v>41</v>
      </c>
      <c r="X32" s="11">
        <v>880.08098824716103</v>
      </c>
    </row>
    <row r="33" spans="1:24" ht="12.75">
      <c r="A33" s="11" t="s">
        <v>33</v>
      </c>
      <c r="B33" s="11" t="s">
        <v>85</v>
      </c>
      <c r="C33" s="11">
        <v>50.847393051718697</v>
      </c>
      <c r="D33" s="11">
        <v>28</v>
      </c>
      <c r="E33" s="11">
        <v>168</v>
      </c>
      <c r="F33" s="11">
        <v>9655.1351027193905</v>
      </c>
      <c r="G33" s="11" t="s">
        <v>55</v>
      </c>
      <c r="H33" s="11">
        <v>6</v>
      </c>
      <c r="I33" s="11">
        <v>17</v>
      </c>
      <c r="J33" s="11">
        <v>44</v>
      </c>
      <c r="K33" s="11">
        <v>4</v>
      </c>
      <c r="L33" s="11" t="s">
        <v>27</v>
      </c>
      <c r="M33" s="11">
        <v>2.6796609649813998</v>
      </c>
      <c r="N33" s="11" t="s">
        <v>28</v>
      </c>
      <c r="O33" s="11" t="s">
        <v>62</v>
      </c>
      <c r="P33" s="11">
        <v>24</v>
      </c>
      <c r="Q33" s="11">
        <v>461</v>
      </c>
      <c r="R33" s="11">
        <v>8</v>
      </c>
      <c r="S33" s="11">
        <v>60.251145661598002</v>
      </c>
      <c r="T33" s="11" t="s">
        <v>30</v>
      </c>
      <c r="U33" s="11">
        <v>2.9890000066550702</v>
      </c>
      <c r="V33" s="11" t="s">
        <v>47</v>
      </c>
      <c r="W33" s="11" t="s">
        <v>41</v>
      </c>
      <c r="X33" s="11">
        <v>609.379206618426</v>
      </c>
    </row>
    <row r="34" spans="1:24" ht="12.75">
      <c r="A34" s="11" t="s">
        <v>33</v>
      </c>
      <c r="B34" s="11" t="s">
        <v>86</v>
      </c>
      <c r="C34" s="11">
        <v>79.209936015656695</v>
      </c>
      <c r="D34" s="11">
        <v>43</v>
      </c>
      <c r="E34" s="11">
        <v>781</v>
      </c>
      <c r="F34" s="11">
        <v>9571.5504873278096</v>
      </c>
      <c r="G34" s="11" t="s">
        <v>38</v>
      </c>
      <c r="H34" s="11">
        <v>89</v>
      </c>
      <c r="I34" s="11">
        <v>13</v>
      </c>
      <c r="J34" s="11">
        <v>64</v>
      </c>
      <c r="K34" s="11">
        <v>4</v>
      </c>
      <c r="L34" s="11" t="s">
        <v>43</v>
      </c>
      <c r="M34" s="11">
        <v>6.5991049012385803</v>
      </c>
      <c r="N34" s="11" t="s">
        <v>28</v>
      </c>
      <c r="O34" s="11" t="s">
        <v>45</v>
      </c>
      <c r="P34" s="11">
        <v>30</v>
      </c>
      <c r="Q34" s="11">
        <v>737</v>
      </c>
      <c r="R34" s="11">
        <v>7</v>
      </c>
      <c r="S34" s="11">
        <v>29.6924671537497</v>
      </c>
      <c r="T34" s="11" t="s">
        <v>64</v>
      </c>
      <c r="U34" s="11">
        <v>1.94603611938611</v>
      </c>
      <c r="V34" s="11" t="s">
        <v>31</v>
      </c>
      <c r="W34" s="11" t="s">
        <v>48</v>
      </c>
      <c r="X34" s="11">
        <v>761.17390951487698</v>
      </c>
    </row>
    <row r="35" spans="1:24" ht="12.75">
      <c r="A35" s="11" t="s">
        <v>57</v>
      </c>
      <c r="B35" s="11" t="s">
        <v>87</v>
      </c>
      <c r="C35" s="11">
        <v>64.795435000155607</v>
      </c>
      <c r="D35" s="11">
        <v>63</v>
      </c>
      <c r="E35" s="11">
        <v>616</v>
      </c>
      <c r="F35" s="11">
        <v>5149.9983504080301</v>
      </c>
      <c r="G35" s="11" t="s">
        <v>26</v>
      </c>
      <c r="H35" s="11">
        <v>4</v>
      </c>
      <c r="I35" s="11">
        <v>17</v>
      </c>
      <c r="J35" s="11">
        <v>95</v>
      </c>
      <c r="K35" s="11">
        <v>9</v>
      </c>
      <c r="L35" s="11" t="s">
        <v>43</v>
      </c>
      <c r="M35" s="11">
        <v>4.85827050343664</v>
      </c>
      <c r="N35" s="11" t="s">
        <v>44</v>
      </c>
      <c r="O35" s="11" t="s">
        <v>62</v>
      </c>
      <c r="P35" s="11">
        <v>1</v>
      </c>
      <c r="Q35" s="11">
        <v>251</v>
      </c>
      <c r="R35" s="11">
        <v>23</v>
      </c>
      <c r="S35" s="11">
        <v>23.853427512896101</v>
      </c>
      <c r="T35" s="11" t="s">
        <v>46</v>
      </c>
      <c r="U35" s="11">
        <v>3.54104601225092</v>
      </c>
      <c r="V35" s="11" t="s">
        <v>56</v>
      </c>
      <c r="W35" s="11" t="s">
        <v>48</v>
      </c>
      <c r="X35" s="11">
        <v>371.25529551987103</v>
      </c>
    </row>
    <row r="36" spans="1:24" ht="12.75">
      <c r="A36" s="11" t="s">
        <v>33</v>
      </c>
      <c r="B36" s="11" t="s">
        <v>88</v>
      </c>
      <c r="C36" s="11">
        <v>37.467592329842397</v>
      </c>
      <c r="D36" s="11">
        <v>96</v>
      </c>
      <c r="E36" s="11">
        <v>602</v>
      </c>
      <c r="F36" s="11">
        <v>9061.7108955077201</v>
      </c>
      <c r="G36" s="11" t="s">
        <v>38</v>
      </c>
      <c r="H36" s="11">
        <v>1</v>
      </c>
      <c r="I36" s="11">
        <v>26</v>
      </c>
      <c r="J36" s="11">
        <v>21</v>
      </c>
      <c r="K36" s="11">
        <v>7</v>
      </c>
      <c r="L36" s="11" t="s">
        <v>36</v>
      </c>
      <c r="M36" s="11">
        <v>1.0194875708221101</v>
      </c>
      <c r="N36" s="11" t="s">
        <v>39</v>
      </c>
      <c r="O36" s="11" t="s">
        <v>62</v>
      </c>
      <c r="P36" s="11">
        <v>4</v>
      </c>
      <c r="Q36" s="11">
        <v>452</v>
      </c>
      <c r="R36" s="11">
        <v>10</v>
      </c>
      <c r="S36" s="11">
        <v>10.754272815029299</v>
      </c>
      <c r="T36" s="11" t="s">
        <v>64</v>
      </c>
      <c r="U36" s="11">
        <v>0.64660455937205397</v>
      </c>
      <c r="V36" s="11" t="s">
        <v>31</v>
      </c>
      <c r="W36" s="11" t="s">
        <v>32</v>
      </c>
      <c r="X36" s="11">
        <v>510.35800043352299</v>
      </c>
    </row>
    <row r="37" spans="1:24" ht="12.75">
      <c r="A37" s="11" t="s">
        <v>57</v>
      </c>
      <c r="B37" s="11" t="s">
        <v>89</v>
      </c>
      <c r="C37" s="11">
        <v>84.957786816350406</v>
      </c>
      <c r="D37" s="11">
        <v>11</v>
      </c>
      <c r="E37" s="11">
        <v>449</v>
      </c>
      <c r="F37" s="11">
        <v>6541.3293448024597</v>
      </c>
      <c r="G37" s="11" t="s">
        <v>35</v>
      </c>
      <c r="H37" s="11">
        <v>42</v>
      </c>
      <c r="I37" s="11">
        <v>27</v>
      </c>
      <c r="J37" s="11">
        <v>85</v>
      </c>
      <c r="K37" s="11">
        <v>8</v>
      </c>
      <c r="L37" s="11" t="s">
        <v>43</v>
      </c>
      <c r="M37" s="11">
        <v>5.2881899903273997</v>
      </c>
      <c r="N37" s="11" t="s">
        <v>39</v>
      </c>
      <c r="O37" s="11" t="s">
        <v>50</v>
      </c>
      <c r="P37" s="11">
        <v>3</v>
      </c>
      <c r="Q37" s="11">
        <v>367</v>
      </c>
      <c r="R37" s="11">
        <v>2</v>
      </c>
      <c r="S37" s="11">
        <v>58.004787044743701</v>
      </c>
      <c r="T37" s="11" t="s">
        <v>64</v>
      </c>
      <c r="U37" s="11">
        <v>0.54115409806058101</v>
      </c>
      <c r="V37" s="11" t="s">
        <v>56</v>
      </c>
      <c r="W37" s="11" t="s">
        <v>41</v>
      </c>
      <c r="X37" s="11">
        <v>553.42047123035502</v>
      </c>
    </row>
    <row r="38" spans="1:24" ht="12.75">
      <c r="A38" s="11" t="s">
        <v>33</v>
      </c>
      <c r="B38" s="11" t="s">
        <v>90</v>
      </c>
      <c r="C38" s="11">
        <v>9.81300257875405</v>
      </c>
      <c r="D38" s="11">
        <v>34</v>
      </c>
      <c r="E38" s="11">
        <v>963</v>
      </c>
      <c r="F38" s="11">
        <v>7573.4024578487297</v>
      </c>
      <c r="G38" s="11" t="s">
        <v>35</v>
      </c>
      <c r="H38" s="11">
        <v>18</v>
      </c>
      <c r="I38" s="11">
        <v>23</v>
      </c>
      <c r="J38" s="11">
        <v>28</v>
      </c>
      <c r="K38" s="11">
        <v>3</v>
      </c>
      <c r="L38" s="11" t="s">
        <v>27</v>
      </c>
      <c r="M38" s="11">
        <v>2.1079512671590801</v>
      </c>
      <c r="N38" s="11" t="s">
        <v>61</v>
      </c>
      <c r="O38" s="11" t="s">
        <v>50</v>
      </c>
      <c r="P38" s="11">
        <v>26</v>
      </c>
      <c r="Q38" s="11">
        <v>671</v>
      </c>
      <c r="R38" s="11">
        <v>19</v>
      </c>
      <c r="S38" s="11">
        <v>45.531364237162101</v>
      </c>
      <c r="T38" s="11" t="s">
        <v>46</v>
      </c>
      <c r="U38" s="11">
        <v>3.8055333792433501</v>
      </c>
      <c r="V38" s="11" t="s">
        <v>40</v>
      </c>
      <c r="W38" s="11" t="s">
        <v>41</v>
      </c>
      <c r="X38" s="11">
        <v>403.80897424817999</v>
      </c>
    </row>
    <row r="39" spans="1:24" ht="12.75">
      <c r="A39" s="11" t="s">
        <v>33</v>
      </c>
      <c r="B39" s="11" t="s">
        <v>91</v>
      </c>
      <c r="C39" s="11">
        <v>23.3998447526143</v>
      </c>
      <c r="D39" s="11">
        <v>5</v>
      </c>
      <c r="E39" s="11">
        <v>963</v>
      </c>
      <c r="F39" s="11">
        <v>2438.3399304700201</v>
      </c>
      <c r="G39" s="11" t="s">
        <v>35</v>
      </c>
      <c r="H39" s="11">
        <v>25</v>
      </c>
      <c r="I39" s="11">
        <v>8</v>
      </c>
      <c r="J39" s="11">
        <v>21</v>
      </c>
      <c r="K39" s="11">
        <v>9</v>
      </c>
      <c r="L39" s="11" t="s">
        <v>36</v>
      </c>
      <c r="M39" s="11">
        <v>1.53265527359043</v>
      </c>
      <c r="N39" s="11" t="s">
        <v>28</v>
      </c>
      <c r="O39" s="11" t="s">
        <v>45</v>
      </c>
      <c r="P39" s="11">
        <v>24</v>
      </c>
      <c r="Q39" s="11">
        <v>867</v>
      </c>
      <c r="R39" s="11">
        <v>15</v>
      </c>
      <c r="S39" s="11">
        <v>34.343277465075303</v>
      </c>
      <c r="T39" s="11" t="s">
        <v>30</v>
      </c>
      <c r="U39" s="11">
        <v>2.61028808484811</v>
      </c>
      <c r="V39" s="11" t="s">
        <v>56</v>
      </c>
      <c r="W39" s="11" t="s">
        <v>48</v>
      </c>
      <c r="X39" s="11">
        <v>183.932968043594</v>
      </c>
    </row>
    <row r="40" spans="1:24" ht="12.75">
      <c r="A40" s="11" t="s">
        <v>57</v>
      </c>
      <c r="B40" s="11" t="s">
        <v>92</v>
      </c>
      <c r="C40" s="11">
        <v>52.075930682707799</v>
      </c>
      <c r="D40" s="11">
        <v>75</v>
      </c>
      <c r="E40" s="11">
        <v>705</v>
      </c>
      <c r="F40" s="11">
        <v>9692.3180402184298</v>
      </c>
      <c r="G40" s="11" t="s">
        <v>26</v>
      </c>
      <c r="H40" s="11">
        <v>69</v>
      </c>
      <c r="I40" s="11">
        <v>1</v>
      </c>
      <c r="J40" s="11">
        <v>88</v>
      </c>
      <c r="K40" s="11">
        <v>5</v>
      </c>
      <c r="L40" s="11" t="s">
        <v>27</v>
      </c>
      <c r="M40" s="11">
        <v>9.2359314372492207</v>
      </c>
      <c r="N40" s="11" t="s">
        <v>44</v>
      </c>
      <c r="O40" s="11" t="s">
        <v>29</v>
      </c>
      <c r="P40" s="11">
        <v>10</v>
      </c>
      <c r="Q40" s="11">
        <v>841</v>
      </c>
      <c r="R40" s="11">
        <v>12</v>
      </c>
      <c r="S40" s="11">
        <v>5.9306936455283097</v>
      </c>
      <c r="T40" s="11" t="s">
        <v>30</v>
      </c>
      <c r="U40" s="11">
        <v>0.613326899164507</v>
      </c>
      <c r="V40" s="11" t="s">
        <v>40</v>
      </c>
      <c r="W40" s="11" t="s">
        <v>32</v>
      </c>
      <c r="X40" s="11">
        <v>339.67286994860598</v>
      </c>
    </row>
    <row r="41" spans="1:24" ht="12.75">
      <c r="A41" s="11" t="s">
        <v>33</v>
      </c>
      <c r="B41" s="11" t="s">
        <v>93</v>
      </c>
      <c r="C41" s="11">
        <v>19.127477265823199</v>
      </c>
      <c r="D41" s="11">
        <v>26</v>
      </c>
      <c r="E41" s="11">
        <v>176</v>
      </c>
      <c r="F41" s="11">
        <v>1912.4656631007599</v>
      </c>
      <c r="G41" s="11" t="s">
        <v>35</v>
      </c>
      <c r="H41" s="11">
        <v>78</v>
      </c>
      <c r="I41" s="11">
        <v>29</v>
      </c>
      <c r="J41" s="11">
        <v>34</v>
      </c>
      <c r="K41" s="11">
        <v>3</v>
      </c>
      <c r="L41" s="11" t="s">
        <v>36</v>
      </c>
      <c r="M41" s="11">
        <v>5.5625037788303802</v>
      </c>
      <c r="N41" s="11" t="s">
        <v>61</v>
      </c>
      <c r="O41" s="11" t="s">
        <v>45</v>
      </c>
      <c r="P41" s="11">
        <v>30</v>
      </c>
      <c r="Q41" s="11">
        <v>791</v>
      </c>
      <c r="R41" s="11">
        <v>6</v>
      </c>
      <c r="S41" s="11">
        <v>9.0058074287816403</v>
      </c>
      <c r="T41" s="11" t="s">
        <v>46</v>
      </c>
      <c r="U41" s="11">
        <v>1.4519722039968099</v>
      </c>
      <c r="V41" s="11" t="s">
        <v>40</v>
      </c>
      <c r="W41" s="11" t="s">
        <v>32</v>
      </c>
      <c r="X41" s="11">
        <v>653.67299455203295</v>
      </c>
    </row>
    <row r="42" spans="1:24" ht="12.75">
      <c r="A42" s="11" t="s">
        <v>33</v>
      </c>
      <c r="B42" s="11" t="s">
        <v>94</v>
      </c>
      <c r="C42" s="11">
        <v>80.541424170940303</v>
      </c>
      <c r="D42" s="11">
        <v>97</v>
      </c>
      <c r="E42" s="11">
        <v>933</v>
      </c>
      <c r="F42" s="11">
        <v>5724.9593504562599</v>
      </c>
      <c r="G42" s="11" t="s">
        <v>35</v>
      </c>
      <c r="H42" s="11">
        <v>90</v>
      </c>
      <c r="I42" s="11">
        <v>20</v>
      </c>
      <c r="J42" s="11">
        <v>39</v>
      </c>
      <c r="K42" s="11">
        <v>8</v>
      </c>
      <c r="L42" s="11" t="s">
        <v>43</v>
      </c>
      <c r="M42" s="11">
        <v>7.2295951397364702</v>
      </c>
      <c r="N42" s="11" t="s">
        <v>39</v>
      </c>
      <c r="O42" s="11" t="s">
        <v>45</v>
      </c>
      <c r="P42" s="11">
        <v>18</v>
      </c>
      <c r="Q42" s="11">
        <v>793</v>
      </c>
      <c r="R42" s="11">
        <v>1</v>
      </c>
      <c r="S42" s="11">
        <v>88.179407104217404</v>
      </c>
      <c r="T42" s="11" t="s">
        <v>30</v>
      </c>
      <c r="U42" s="11">
        <v>4.2132694305865597</v>
      </c>
      <c r="V42" s="11" t="s">
        <v>31</v>
      </c>
      <c r="W42" s="11" t="s">
        <v>48</v>
      </c>
      <c r="X42" s="11">
        <v>529.80872398069096</v>
      </c>
    </row>
    <row r="43" spans="1:24" ht="12.75">
      <c r="A43" s="11" t="s">
        <v>33</v>
      </c>
      <c r="B43" s="11" t="s">
        <v>95</v>
      </c>
      <c r="C43" s="11">
        <v>99.113291615317095</v>
      </c>
      <c r="D43" s="11">
        <v>35</v>
      </c>
      <c r="E43" s="11">
        <v>556</v>
      </c>
      <c r="F43" s="11">
        <v>5521.2052590109697</v>
      </c>
      <c r="G43" s="11" t="s">
        <v>35</v>
      </c>
      <c r="H43" s="11">
        <v>64</v>
      </c>
      <c r="I43" s="11">
        <v>19</v>
      </c>
      <c r="J43" s="11">
        <v>38</v>
      </c>
      <c r="K43" s="11">
        <v>8</v>
      </c>
      <c r="L43" s="11" t="s">
        <v>27</v>
      </c>
      <c r="M43" s="11">
        <v>5.7732637437666501</v>
      </c>
      <c r="N43" s="11" t="s">
        <v>52</v>
      </c>
      <c r="O43" s="11" t="s">
        <v>62</v>
      </c>
      <c r="P43" s="11">
        <v>18</v>
      </c>
      <c r="Q43" s="11">
        <v>892</v>
      </c>
      <c r="R43" s="11">
        <v>7</v>
      </c>
      <c r="S43" s="11">
        <v>95.332064548772493</v>
      </c>
      <c r="T43" s="11" t="s">
        <v>46</v>
      </c>
      <c r="U43" s="11">
        <v>4.5302262398259602E-2</v>
      </c>
      <c r="V43" s="11" t="s">
        <v>56</v>
      </c>
      <c r="W43" s="11" t="s">
        <v>48</v>
      </c>
      <c r="X43" s="11">
        <v>275.52437113130901</v>
      </c>
    </row>
    <row r="44" spans="1:24" ht="12.75">
      <c r="A44" s="11" t="s">
        <v>33</v>
      </c>
      <c r="B44" s="11" t="s">
        <v>96</v>
      </c>
      <c r="C44" s="11">
        <v>46.529167614516702</v>
      </c>
      <c r="D44" s="11">
        <v>98</v>
      </c>
      <c r="E44" s="11">
        <v>155</v>
      </c>
      <c r="F44" s="11">
        <v>1839.60942585676</v>
      </c>
      <c r="G44" s="11" t="s">
        <v>35</v>
      </c>
      <c r="H44" s="11">
        <v>22</v>
      </c>
      <c r="I44" s="11">
        <v>27</v>
      </c>
      <c r="J44" s="11">
        <v>57</v>
      </c>
      <c r="K44" s="11">
        <v>4</v>
      </c>
      <c r="L44" s="11" t="s">
        <v>43</v>
      </c>
      <c r="M44" s="11">
        <v>7.5262483268515004</v>
      </c>
      <c r="N44" s="11" t="s">
        <v>44</v>
      </c>
      <c r="O44" s="11" t="s">
        <v>53</v>
      </c>
      <c r="P44" s="11">
        <v>26</v>
      </c>
      <c r="Q44" s="11">
        <v>179</v>
      </c>
      <c r="R44" s="11">
        <v>7</v>
      </c>
      <c r="S44" s="11">
        <v>96.422820639571796</v>
      </c>
      <c r="T44" s="11" t="s">
        <v>46</v>
      </c>
      <c r="U44" s="11">
        <v>4.9392552886209398</v>
      </c>
      <c r="V44" s="11" t="s">
        <v>31</v>
      </c>
      <c r="W44" s="11" t="s">
        <v>48</v>
      </c>
      <c r="X44" s="11">
        <v>635.65712050199102</v>
      </c>
    </row>
    <row r="45" spans="1:24" ht="12.75">
      <c r="A45" s="11" t="s">
        <v>24</v>
      </c>
      <c r="B45" s="11" t="s">
        <v>97</v>
      </c>
      <c r="C45" s="11">
        <v>11.7432717763092</v>
      </c>
      <c r="D45" s="11">
        <v>6</v>
      </c>
      <c r="E45" s="11">
        <v>598</v>
      </c>
      <c r="F45" s="11">
        <v>5737.4255991190203</v>
      </c>
      <c r="G45" s="11" t="s">
        <v>38</v>
      </c>
      <c r="H45" s="11">
        <v>36</v>
      </c>
      <c r="I45" s="11">
        <v>29</v>
      </c>
      <c r="J45" s="11">
        <v>85</v>
      </c>
      <c r="K45" s="11">
        <v>9</v>
      </c>
      <c r="L45" s="11" t="s">
        <v>27</v>
      </c>
      <c r="M45" s="11">
        <v>3.6940212683884499</v>
      </c>
      <c r="N45" s="11" t="s">
        <v>44</v>
      </c>
      <c r="O45" s="11" t="s">
        <v>29</v>
      </c>
      <c r="P45" s="11">
        <v>1</v>
      </c>
      <c r="Q45" s="11">
        <v>206</v>
      </c>
      <c r="R45" s="11">
        <v>23</v>
      </c>
      <c r="S45" s="11">
        <v>26.2773659573324</v>
      </c>
      <c r="T45" s="11" t="s">
        <v>30</v>
      </c>
      <c r="U45" s="11">
        <v>0.37230476798509698</v>
      </c>
      <c r="V45" s="11" t="s">
        <v>40</v>
      </c>
      <c r="W45" s="11" t="s">
        <v>48</v>
      </c>
      <c r="X45" s="11">
        <v>716.04411975933999</v>
      </c>
    </row>
    <row r="46" spans="1:24" ht="12.75">
      <c r="A46" s="11" t="s">
        <v>57</v>
      </c>
      <c r="B46" s="11" t="s">
        <v>98</v>
      </c>
      <c r="C46" s="11">
        <v>51.355790913110297</v>
      </c>
      <c r="D46" s="11">
        <v>34</v>
      </c>
      <c r="E46" s="11">
        <v>919</v>
      </c>
      <c r="F46" s="11">
        <v>7152.28604943551</v>
      </c>
      <c r="G46" s="11" t="s">
        <v>35</v>
      </c>
      <c r="H46" s="11">
        <v>13</v>
      </c>
      <c r="I46" s="11">
        <v>19</v>
      </c>
      <c r="J46" s="11">
        <v>72</v>
      </c>
      <c r="K46" s="11">
        <v>6</v>
      </c>
      <c r="L46" s="11" t="s">
        <v>43</v>
      </c>
      <c r="M46" s="11">
        <v>7.5774496573766896</v>
      </c>
      <c r="N46" s="11" t="s">
        <v>61</v>
      </c>
      <c r="O46" s="11" t="s">
        <v>50</v>
      </c>
      <c r="P46" s="11">
        <v>7</v>
      </c>
      <c r="Q46" s="11">
        <v>834</v>
      </c>
      <c r="R46" s="11">
        <v>18</v>
      </c>
      <c r="S46" s="11">
        <v>22.554106620887701</v>
      </c>
      <c r="T46" s="11" t="s">
        <v>46</v>
      </c>
      <c r="U46" s="11">
        <v>2.9626263204548802</v>
      </c>
      <c r="V46" s="11" t="s">
        <v>47</v>
      </c>
      <c r="W46" s="11" t="s">
        <v>48</v>
      </c>
      <c r="X46" s="11">
        <v>610.45326961922694</v>
      </c>
    </row>
    <row r="47" spans="1:24" ht="12.75">
      <c r="A47" s="11" t="s">
        <v>24</v>
      </c>
      <c r="B47" s="11" t="s">
        <v>99</v>
      </c>
      <c r="C47" s="11">
        <v>33.784138033065503</v>
      </c>
      <c r="D47" s="11">
        <v>1</v>
      </c>
      <c r="E47" s="11">
        <v>24</v>
      </c>
      <c r="F47" s="11">
        <v>5267.9568075105199</v>
      </c>
      <c r="G47" s="11" t="s">
        <v>55</v>
      </c>
      <c r="H47" s="11">
        <v>93</v>
      </c>
      <c r="I47" s="11">
        <v>7</v>
      </c>
      <c r="J47" s="11">
        <v>52</v>
      </c>
      <c r="K47" s="11">
        <v>6</v>
      </c>
      <c r="L47" s="11" t="s">
        <v>27</v>
      </c>
      <c r="M47" s="11">
        <v>5.2151550087119096</v>
      </c>
      <c r="N47" s="11" t="s">
        <v>61</v>
      </c>
      <c r="O47" s="11" t="s">
        <v>62</v>
      </c>
      <c r="P47" s="11">
        <v>25</v>
      </c>
      <c r="Q47" s="11">
        <v>794</v>
      </c>
      <c r="R47" s="11">
        <v>25</v>
      </c>
      <c r="S47" s="11">
        <v>66.312544439991598</v>
      </c>
      <c r="T47" s="11" t="s">
        <v>64</v>
      </c>
      <c r="U47" s="11">
        <v>3.2196046120841002</v>
      </c>
      <c r="V47" s="11" t="s">
        <v>47</v>
      </c>
      <c r="W47" s="11" t="s">
        <v>48</v>
      </c>
      <c r="X47" s="11">
        <v>495.30569702847299</v>
      </c>
    </row>
    <row r="48" spans="1:24" ht="12.75">
      <c r="A48" s="11" t="s">
        <v>24</v>
      </c>
      <c r="B48" s="11" t="s">
        <v>100</v>
      </c>
      <c r="C48" s="11">
        <v>27.082207199888899</v>
      </c>
      <c r="D48" s="11">
        <v>75</v>
      </c>
      <c r="E48" s="11">
        <v>859</v>
      </c>
      <c r="F48" s="11">
        <v>2556.7673606335902</v>
      </c>
      <c r="G48" s="11" t="s">
        <v>26</v>
      </c>
      <c r="H48" s="11">
        <v>92</v>
      </c>
      <c r="I48" s="11">
        <v>29</v>
      </c>
      <c r="J48" s="11">
        <v>6</v>
      </c>
      <c r="K48" s="11">
        <v>8</v>
      </c>
      <c r="L48" s="11" t="s">
        <v>27</v>
      </c>
      <c r="M48" s="11">
        <v>4.0709558370840799</v>
      </c>
      <c r="N48" s="11" t="s">
        <v>28</v>
      </c>
      <c r="O48" s="11" t="s">
        <v>62</v>
      </c>
      <c r="P48" s="11">
        <v>18</v>
      </c>
      <c r="Q48" s="11">
        <v>870</v>
      </c>
      <c r="R48" s="11">
        <v>23</v>
      </c>
      <c r="S48" s="11">
        <v>77.322353211051606</v>
      </c>
      <c r="T48" s="11" t="s">
        <v>30</v>
      </c>
      <c r="U48" s="11">
        <v>3.6486105925361998</v>
      </c>
      <c r="V48" s="11" t="s">
        <v>31</v>
      </c>
      <c r="W48" s="11" t="s">
        <v>32</v>
      </c>
      <c r="X48" s="11">
        <v>380.43593711196399</v>
      </c>
    </row>
    <row r="49" spans="1:24" ht="12.75">
      <c r="A49" s="11" t="s">
        <v>33</v>
      </c>
      <c r="B49" s="11" t="s">
        <v>101</v>
      </c>
      <c r="C49" s="11">
        <v>95.712135880936003</v>
      </c>
      <c r="D49" s="11">
        <v>93</v>
      </c>
      <c r="E49" s="11">
        <v>910</v>
      </c>
      <c r="F49" s="11">
        <v>7089.4742499341801</v>
      </c>
      <c r="G49" s="11" t="s">
        <v>55</v>
      </c>
      <c r="H49" s="11">
        <v>4</v>
      </c>
      <c r="I49" s="11">
        <v>15</v>
      </c>
      <c r="J49" s="11">
        <v>51</v>
      </c>
      <c r="K49" s="11">
        <v>9</v>
      </c>
      <c r="L49" s="11" t="s">
        <v>27</v>
      </c>
      <c r="M49" s="11">
        <v>8.9787507559499709</v>
      </c>
      <c r="N49" s="11" t="s">
        <v>39</v>
      </c>
      <c r="O49" s="11" t="s">
        <v>45</v>
      </c>
      <c r="P49" s="11">
        <v>10</v>
      </c>
      <c r="Q49" s="11">
        <v>964</v>
      </c>
      <c r="R49" s="11">
        <v>20</v>
      </c>
      <c r="S49" s="11">
        <v>19.7129929112936</v>
      </c>
      <c r="T49" s="11" t="s">
        <v>30</v>
      </c>
      <c r="U49" s="11">
        <v>0.38057358671321301</v>
      </c>
      <c r="V49" s="11" t="s">
        <v>47</v>
      </c>
      <c r="W49" s="11" t="s">
        <v>48</v>
      </c>
      <c r="X49" s="11">
        <v>581.60235505058597</v>
      </c>
    </row>
    <row r="50" spans="1:24" ht="12.75">
      <c r="A50" s="11" t="s">
        <v>24</v>
      </c>
      <c r="B50" s="11" t="s">
        <v>102</v>
      </c>
      <c r="C50" s="11">
        <v>76.035544426891704</v>
      </c>
      <c r="D50" s="11">
        <v>28</v>
      </c>
      <c r="E50" s="11">
        <v>29</v>
      </c>
      <c r="F50" s="11">
        <v>7397.0710045871801</v>
      </c>
      <c r="G50" s="11" t="s">
        <v>26</v>
      </c>
      <c r="H50" s="11">
        <v>30</v>
      </c>
      <c r="I50" s="11">
        <v>16</v>
      </c>
      <c r="J50" s="11">
        <v>9</v>
      </c>
      <c r="K50" s="11">
        <v>3</v>
      </c>
      <c r="L50" s="11" t="s">
        <v>43</v>
      </c>
      <c r="M50" s="11">
        <v>7.0958331565551296</v>
      </c>
      <c r="N50" s="11" t="s">
        <v>61</v>
      </c>
      <c r="O50" s="11" t="s">
        <v>29</v>
      </c>
      <c r="P50" s="11">
        <v>9</v>
      </c>
      <c r="Q50" s="11">
        <v>109</v>
      </c>
      <c r="R50" s="11">
        <v>18</v>
      </c>
      <c r="S50" s="11">
        <v>23.126363582464698</v>
      </c>
      <c r="T50" s="11" t="s">
        <v>46</v>
      </c>
      <c r="U50" s="11">
        <v>1.6981125407144</v>
      </c>
      <c r="V50" s="11" t="s">
        <v>47</v>
      </c>
      <c r="W50" s="11" t="s">
        <v>32</v>
      </c>
      <c r="X50" s="11">
        <v>768.65191395437</v>
      </c>
    </row>
    <row r="51" spans="1:24" ht="12.75">
      <c r="A51" s="11" t="s">
        <v>57</v>
      </c>
      <c r="B51" s="11" t="s">
        <v>103</v>
      </c>
      <c r="C51" s="11">
        <v>78.897913205639995</v>
      </c>
      <c r="D51" s="11">
        <v>19</v>
      </c>
      <c r="E51" s="11">
        <v>99</v>
      </c>
      <c r="F51" s="11">
        <v>8001.6132065190004</v>
      </c>
      <c r="G51" s="11" t="s">
        <v>38</v>
      </c>
      <c r="H51" s="11">
        <v>97</v>
      </c>
      <c r="I51" s="11">
        <v>24</v>
      </c>
      <c r="J51" s="11">
        <v>9</v>
      </c>
      <c r="K51" s="11">
        <v>6</v>
      </c>
      <c r="L51" s="11" t="s">
        <v>43</v>
      </c>
      <c r="M51" s="11">
        <v>2.5056210329009101</v>
      </c>
      <c r="N51" s="11" t="s">
        <v>44</v>
      </c>
      <c r="O51" s="11" t="s">
        <v>50</v>
      </c>
      <c r="P51" s="11">
        <v>28</v>
      </c>
      <c r="Q51" s="11">
        <v>177</v>
      </c>
      <c r="R51" s="11">
        <v>28</v>
      </c>
      <c r="S51" s="11">
        <v>14.1478154439792</v>
      </c>
      <c r="T51" s="11" t="s">
        <v>64</v>
      </c>
      <c r="U51" s="11">
        <v>2.8258139854001301</v>
      </c>
      <c r="V51" s="11" t="s">
        <v>47</v>
      </c>
      <c r="W51" s="11" t="s">
        <v>48</v>
      </c>
      <c r="X51" s="11">
        <v>336.89016851997701</v>
      </c>
    </row>
    <row r="52" spans="1:24" ht="12.75">
      <c r="A52" s="11" t="s">
        <v>57</v>
      </c>
      <c r="B52" s="11" t="s">
        <v>104</v>
      </c>
      <c r="C52" s="11">
        <v>14.203484264803</v>
      </c>
      <c r="D52" s="11">
        <v>91</v>
      </c>
      <c r="E52" s="11">
        <v>633</v>
      </c>
      <c r="F52" s="11">
        <v>5910.8853896688897</v>
      </c>
      <c r="G52" s="11" t="s">
        <v>35</v>
      </c>
      <c r="H52" s="11">
        <v>31</v>
      </c>
      <c r="I52" s="11">
        <v>23</v>
      </c>
      <c r="J52" s="11">
        <v>82</v>
      </c>
      <c r="K52" s="11">
        <v>10</v>
      </c>
      <c r="L52" s="11" t="s">
        <v>36</v>
      </c>
      <c r="M52" s="11">
        <v>6.2478609149759903</v>
      </c>
      <c r="N52" s="11" t="s">
        <v>61</v>
      </c>
      <c r="O52" s="11" t="s">
        <v>50</v>
      </c>
      <c r="P52" s="11">
        <v>20</v>
      </c>
      <c r="Q52" s="11">
        <v>306</v>
      </c>
      <c r="R52" s="11">
        <v>21</v>
      </c>
      <c r="S52" s="11">
        <v>45.178757924634503</v>
      </c>
      <c r="T52" s="11" t="s">
        <v>46</v>
      </c>
      <c r="U52" s="11">
        <v>4.7548008046711798</v>
      </c>
      <c r="V52" s="11" t="s">
        <v>47</v>
      </c>
      <c r="W52" s="11" t="s">
        <v>32</v>
      </c>
      <c r="X52" s="11">
        <v>496.24865029194001</v>
      </c>
    </row>
    <row r="53" spans="1:24" ht="12.75">
      <c r="A53" s="11" t="s">
        <v>24</v>
      </c>
      <c r="B53" s="11" t="s">
        <v>105</v>
      </c>
      <c r="C53" s="11">
        <v>26.700760972461701</v>
      </c>
      <c r="D53" s="11">
        <v>61</v>
      </c>
      <c r="E53" s="11">
        <v>154</v>
      </c>
      <c r="F53" s="11">
        <v>9866.4654579796897</v>
      </c>
      <c r="G53" s="11" t="s">
        <v>55</v>
      </c>
      <c r="H53" s="11">
        <v>100</v>
      </c>
      <c r="I53" s="11">
        <v>4</v>
      </c>
      <c r="J53" s="11">
        <v>52</v>
      </c>
      <c r="K53" s="11">
        <v>1</v>
      </c>
      <c r="L53" s="11" t="s">
        <v>36</v>
      </c>
      <c r="M53" s="11">
        <v>4.78300055794766</v>
      </c>
      <c r="N53" s="11" t="s">
        <v>44</v>
      </c>
      <c r="O53" s="11" t="s">
        <v>53</v>
      </c>
      <c r="P53" s="11">
        <v>18</v>
      </c>
      <c r="Q53" s="11">
        <v>673</v>
      </c>
      <c r="R53" s="11">
        <v>28</v>
      </c>
      <c r="S53" s="11">
        <v>14.190328344569901</v>
      </c>
      <c r="T53" s="11" t="s">
        <v>30</v>
      </c>
      <c r="U53" s="11">
        <v>1.77295117208355</v>
      </c>
      <c r="V53" s="11" t="s">
        <v>31</v>
      </c>
      <c r="W53" s="11" t="s">
        <v>48</v>
      </c>
      <c r="X53" s="11">
        <v>694.98231757944495</v>
      </c>
    </row>
    <row r="54" spans="1:24" ht="12.75">
      <c r="A54" s="11" t="s">
        <v>33</v>
      </c>
      <c r="B54" s="11" t="s">
        <v>106</v>
      </c>
      <c r="C54" s="11">
        <v>98.031829656465007</v>
      </c>
      <c r="D54" s="11">
        <v>1</v>
      </c>
      <c r="E54" s="11">
        <v>820</v>
      </c>
      <c r="F54" s="11">
        <v>9435.7626089121295</v>
      </c>
      <c r="G54" s="11" t="s">
        <v>55</v>
      </c>
      <c r="H54" s="11">
        <v>64</v>
      </c>
      <c r="I54" s="11">
        <v>11</v>
      </c>
      <c r="J54" s="11">
        <v>11</v>
      </c>
      <c r="K54" s="11">
        <v>1</v>
      </c>
      <c r="L54" s="11" t="s">
        <v>27</v>
      </c>
      <c r="M54" s="11">
        <v>8.6310521797689397</v>
      </c>
      <c r="N54" s="11" t="s">
        <v>39</v>
      </c>
      <c r="O54" s="11" t="s">
        <v>29</v>
      </c>
      <c r="P54" s="11">
        <v>10</v>
      </c>
      <c r="Q54" s="11">
        <v>727</v>
      </c>
      <c r="R54" s="11">
        <v>27</v>
      </c>
      <c r="S54" s="11">
        <v>9.1668491485971497</v>
      </c>
      <c r="T54" s="11" t="s">
        <v>30</v>
      </c>
      <c r="U54" s="11">
        <v>2.1224716191438202</v>
      </c>
      <c r="V54" s="11" t="s">
        <v>40</v>
      </c>
      <c r="W54" s="11" t="s">
        <v>41</v>
      </c>
      <c r="X54" s="11">
        <v>602.89849883838303</v>
      </c>
    </row>
    <row r="55" spans="1:24" ht="12.75">
      <c r="A55" s="11" t="s">
        <v>33</v>
      </c>
      <c r="B55" s="11" t="s">
        <v>107</v>
      </c>
      <c r="C55" s="11">
        <v>30.3414707112142</v>
      </c>
      <c r="D55" s="11">
        <v>93</v>
      </c>
      <c r="E55" s="11">
        <v>242</v>
      </c>
      <c r="F55" s="11">
        <v>8232.3348294258194</v>
      </c>
      <c r="G55" s="11" t="s">
        <v>55</v>
      </c>
      <c r="H55" s="11">
        <v>96</v>
      </c>
      <c r="I55" s="11">
        <v>25</v>
      </c>
      <c r="J55" s="11">
        <v>54</v>
      </c>
      <c r="K55" s="11">
        <v>3</v>
      </c>
      <c r="L55" s="11" t="s">
        <v>27</v>
      </c>
      <c r="M55" s="11">
        <v>1.0134865660958901</v>
      </c>
      <c r="N55" s="11" t="s">
        <v>39</v>
      </c>
      <c r="O55" s="11" t="s">
        <v>50</v>
      </c>
      <c r="P55" s="11">
        <v>1</v>
      </c>
      <c r="Q55" s="11">
        <v>631</v>
      </c>
      <c r="R55" s="11">
        <v>17</v>
      </c>
      <c r="S55" s="11">
        <v>83.344058991677898</v>
      </c>
      <c r="T55" s="11" t="s">
        <v>30</v>
      </c>
      <c r="U55" s="11">
        <v>1.41034757607602</v>
      </c>
      <c r="V55" s="11" t="s">
        <v>40</v>
      </c>
      <c r="W55" s="11" t="s">
        <v>32</v>
      </c>
      <c r="X55" s="11">
        <v>750.73784066827</v>
      </c>
    </row>
    <row r="56" spans="1:24" ht="12.75">
      <c r="A56" s="11" t="s">
        <v>24</v>
      </c>
      <c r="B56" s="11" t="s">
        <v>108</v>
      </c>
      <c r="C56" s="11">
        <v>31.1462431602408</v>
      </c>
      <c r="D56" s="11">
        <v>11</v>
      </c>
      <c r="E56" s="11">
        <v>622</v>
      </c>
      <c r="F56" s="11">
        <v>6088.0214799408504</v>
      </c>
      <c r="G56" s="11" t="s">
        <v>26</v>
      </c>
      <c r="H56" s="11">
        <v>33</v>
      </c>
      <c r="I56" s="11">
        <v>22</v>
      </c>
      <c r="J56" s="11">
        <v>61</v>
      </c>
      <c r="K56" s="11">
        <v>3</v>
      </c>
      <c r="L56" s="11" t="s">
        <v>27</v>
      </c>
      <c r="M56" s="11">
        <v>4.3051034712876302</v>
      </c>
      <c r="N56" s="11" t="s">
        <v>39</v>
      </c>
      <c r="O56" s="11" t="s">
        <v>45</v>
      </c>
      <c r="P56" s="11">
        <v>26</v>
      </c>
      <c r="Q56" s="11">
        <v>497</v>
      </c>
      <c r="R56" s="11">
        <v>29</v>
      </c>
      <c r="S56" s="11">
        <v>30.186023375822501</v>
      </c>
      <c r="T56" s="11" t="s">
        <v>64</v>
      </c>
      <c r="U56" s="11">
        <v>2.4787719755397402</v>
      </c>
      <c r="V56" s="11" t="s">
        <v>31</v>
      </c>
      <c r="W56" s="11" t="s">
        <v>32</v>
      </c>
      <c r="X56" s="11">
        <v>814.06999658218695</v>
      </c>
    </row>
    <row r="57" spans="1:24" ht="12.75">
      <c r="A57" s="11" t="s">
        <v>24</v>
      </c>
      <c r="B57" s="11" t="s">
        <v>109</v>
      </c>
      <c r="C57" s="11">
        <v>79.855058340789398</v>
      </c>
      <c r="D57" s="11">
        <v>16</v>
      </c>
      <c r="E57" s="11">
        <v>701</v>
      </c>
      <c r="F57" s="11">
        <v>2925.6751703038099</v>
      </c>
      <c r="G57" s="11" t="s">
        <v>55</v>
      </c>
      <c r="H57" s="11">
        <v>97</v>
      </c>
      <c r="I57" s="11">
        <v>11</v>
      </c>
      <c r="J57" s="11">
        <v>11</v>
      </c>
      <c r="K57" s="11">
        <v>5</v>
      </c>
      <c r="L57" s="11" t="s">
        <v>36</v>
      </c>
      <c r="M57" s="11">
        <v>5.0143649550309002</v>
      </c>
      <c r="N57" s="11" t="s">
        <v>61</v>
      </c>
      <c r="O57" s="11" t="s">
        <v>50</v>
      </c>
      <c r="P57" s="11">
        <v>27</v>
      </c>
      <c r="Q57" s="11">
        <v>918</v>
      </c>
      <c r="R57" s="11">
        <v>5</v>
      </c>
      <c r="S57" s="11">
        <v>30.323545256616502</v>
      </c>
      <c r="T57" s="11" t="s">
        <v>46</v>
      </c>
      <c r="U57" s="11">
        <v>4.5489196593963799</v>
      </c>
      <c r="V57" s="11" t="s">
        <v>56</v>
      </c>
      <c r="W57" s="11" t="s">
        <v>32</v>
      </c>
      <c r="X57" s="11">
        <v>323.01292795247798</v>
      </c>
    </row>
    <row r="58" spans="1:24" ht="12.75">
      <c r="A58" s="11" t="s">
        <v>33</v>
      </c>
      <c r="B58" s="11" t="s">
        <v>110</v>
      </c>
      <c r="C58" s="11">
        <v>20.9863860370433</v>
      </c>
      <c r="D58" s="11">
        <v>90</v>
      </c>
      <c r="E58" s="11">
        <v>93</v>
      </c>
      <c r="F58" s="11">
        <v>4767.0204843441297</v>
      </c>
      <c r="G58" s="11" t="s">
        <v>26</v>
      </c>
      <c r="H58" s="11">
        <v>25</v>
      </c>
      <c r="I58" s="11">
        <v>23</v>
      </c>
      <c r="J58" s="11">
        <v>83</v>
      </c>
      <c r="K58" s="11">
        <v>5</v>
      </c>
      <c r="L58" s="11" t="s">
        <v>43</v>
      </c>
      <c r="M58" s="11">
        <v>1.77442971407173</v>
      </c>
      <c r="N58" s="11" t="s">
        <v>39</v>
      </c>
      <c r="O58" s="11" t="s">
        <v>29</v>
      </c>
      <c r="P58" s="11">
        <v>24</v>
      </c>
      <c r="Q58" s="11">
        <v>826</v>
      </c>
      <c r="R58" s="11">
        <v>28</v>
      </c>
      <c r="S58" s="11">
        <v>12.8362845728327</v>
      </c>
      <c r="T58" s="11" t="s">
        <v>64</v>
      </c>
      <c r="U58" s="11">
        <v>1.1737554953874501</v>
      </c>
      <c r="V58" s="11" t="s">
        <v>40</v>
      </c>
      <c r="W58" s="11" t="s">
        <v>32</v>
      </c>
      <c r="X58" s="11">
        <v>832.210808706021</v>
      </c>
    </row>
    <row r="59" spans="1:24" ht="12.75">
      <c r="A59" s="11" t="s">
        <v>24</v>
      </c>
      <c r="B59" s="11" t="s">
        <v>111</v>
      </c>
      <c r="C59" s="11">
        <v>49.263205350734097</v>
      </c>
      <c r="D59" s="11">
        <v>65</v>
      </c>
      <c r="E59" s="11">
        <v>227</v>
      </c>
      <c r="F59" s="11">
        <v>1605.8669003924001</v>
      </c>
      <c r="G59" s="11" t="s">
        <v>38</v>
      </c>
      <c r="H59" s="11">
        <v>5</v>
      </c>
      <c r="I59" s="11">
        <v>18</v>
      </c>
      <c r="J59" s="11">
        <v>51</v>
      </c>
      <c r="K59" s="11">
        <v>1</v>
      </c>
      <c r="L59" s="11" t="s">
        <v>27</v>
      </c>
      <c r="M59" s="11">
        <v>9.1605585353818704</v>
      </c>
      <c r="N59" s="11" t="s">
        <v>61</v>
      </c>
      <c r="O59" s="11" t="s">
        <v>50</v>
      </c>
      <c r="P59" s="11">
        <v>21</v>
      </c>
      <c r="Q59" s="11">
        <v>588</v>
      </c>
      <c r="R59" s="11">
        <v>25</v>
      </c>
      <c r="S59" s="11">
        <v>67.779622987078099</v>
      </c>
      <c r="T59" s="11" t="s">
        <v>30</v>
      </c>
      <c r="U59" s="11">
        <v>2.5111748302126999</v>
      </c>
      <c r="V59" s="11" t="s">
        <v>47</v>
      </c>
      <c r="W59" s="11" t="s">
        <v>48</v>
      </c>
      <c r="X59" s="11">
        <v>482.19123860252802</v>
      </c>
    </row>
    <row r="60" spans="1:24" ht="12.75">
      <c r="A60" s="11" t="s">
        <v>33</v>
      </c>
      <c r="B60" s="11" t="s">
        <v>112</v>
      </c>
      <c r="C60" s="11">
        <v>59.841561377289302</v>
      </c>
      <c r="D60" s="11">
        <v>81</v>
      </c>
      <c r="E60" s="11">
        <v>896</v>
      </c>
      <c r="F60" s="11">
        <v>2021.1498103371</v>
      </c>
      <c r="G60" s="11" t="s">
        <v>26</v>
      </c>
      <c r="H60" s="11">
        <v>10</v>
      </c>
      <c r="I60" s="11">
        <v>5</v>
      </c>
      <c r="J60" s="11">
        <v>44</v>
      </c>
      <c r="K60" s="11">
        <v>7</v>
      </c>
      <c r="L60" s="11" t="s">
        <v>36</v>
      </c>
      <c r="M60" s="11">
        <v>4.9384385647120901</v>
      </c>
      <c r="N60" s="11" t="s">
        <v>28</v>
      </c>
      <c r="O60" s="11" t="s">
        <v>50</v>
      </c>
      <c r="P60" s="11">
        <v>18</v>
      </c>
      <c r="Q60" s="11">
        <v>396</v>
      </c>
      <c r="R60" s="11">
        <v>7</v>
      </c>
      <c r="S60" s="11">
        <v>65.047415094691402</v>
      </c>
      <c r="T60" s="11" t="s">
        <v>46</v>
      </c>
      <c r="U60" s="11">
        <v>1.7303747198591899</v>
      </c>
      <c r="V60" s="11" t="s">
        <v>31</v>
      </c>
      <c r="W60" s="11" t="s">
        <v>32</v>
      </c>
      <c r="X60" s="11">
        <v>110.364335231364</v>
      </c>
    </row>
    <row r="61" spans="1:24" ht="12.75">
      <c r="A61" s="11" t="s">
        <v>57</v>
      </c>
      <c r="B61" s="11" t="s">
        <v>113</v>
      </c>
      <c r="C61" s="11">
        <v>63.828398347710902</v>
      </c>
      <c r="D61" s="11">
        <v>30</v>
      </c>
      <c r="E61" s="11">
        <v>484</v>
      </c>
      <c r="F61" s="11">
        <v>1061.6185230132801</v>
      </c>
      <c r="G61" s="11" t="s">
        <v>26</v>
      </c>
      <c r="H61" s="11">
        <v>100</v>
      </c>
      <c r="I61" s="11">
        <v>16</v>
      </c>
      <c r="J61" s="11">
        <v>26</v>
      </c>
      <c r="K61" s="11">
        <v>7</v>
      </c>
      <c r="L61" s="11" t="s">
        <v>27</v>
      </c>
      <c r="M61" s="11">
        <v>7.2937225968677204</v>
      </c>
      <c r="N61" s="11" t="s">
        <v>39</v>
      </c>
      <c r="O61" s="11" t="s">
        <v>45</v>
      </c>
      <c r="P61" s="11">
        <v>11</v>
      </c>
      <c r="Q61" s="11">
        <v>176</v>
      </c>
      <c r="R61" s="11">
        <v>4</v>
      </c>
      <c r="S61" s="11">
        <v>1.90076224351945</v>
      </c>
      <c r="T61" s="11" t="s">
        <v>46</v>
      </c>
      <c r="U61" s="11">
        <v>0.44719401546382298</v>
      </c>
      <c r="V61" s="11" t="s">
        <v>40</v>
      </c>
      <c r="W61" s="11" t="s">
        <v>48</v>
      </c>
      <c r="X61" s="11">
        <v>312.57427361009297</v>
      </c>
    </row>
    <row r="62" spans="1:24" ht="12.75">
      <c r="A62" s="11" t="s">
        <v>33</v>
      </c>
      <c r="B62" s="11" t="s">
        <v>114</v>
      </c>
      <c r="C62" s="11">
        <v>17.028027920188698</v>
      </c>
      <c r="D62" s="11">
        <v>16</v>
      </c>
      <c r="E62" s="11">
        <v>380</v>
      </c>
      <c r="F62" s="11">
        <v>8864.0843495864301</v>
      </c>
      <c r="G62" s="11" t="s">
        <v>35</v>
      </c>
      <c r="H62" s="11">
        <v>41</v>
      </c>
      <c r="I62" s="11">
        <v>27</v>
      </c>
      <c r="J62" s="11">
        <v>72</v>
      </c>
      <c r="K62" s="11">
        <v>8</v>
      </c>
      <c r="L62" s="11" t="s">
        <v>43</v>
      </c>
      <c r="M62" s="11">
        <v>4.3813681581023101</v>
      </c>
      <c r="N62" s="11" t="s">
        <v>52</v>
      </c>
      <c r="O62" s="11" t="s">
        <v>29</v>
      </c>
      <c r="P62" s="11">
        <v>29</v>
      </c>
      <c r="Q62" s="11">
        <v>929</v>
      </c>
      <c r="R62" s="11">
        <v>24</v>
      </c>
      <c r="S62" s="11">
        <v>87.213057815135599</v>
      </c>
      <c r="T62" s="11" t="s">
        <v>46</v>
      </c>
      <c r="U62" s="11">
        <v>2.8530906166490499</v>
      </c>
      <c r="V62" s="11" t="s">
        <v>47</v>
      </c>
      <c r="W62" s="11" t="s">
        <v>48</v>
      </c>
      <c r="X62" s="11">
        <v>430.16909697513597</v>
      </c>
    </row>
    <row r="63" spans="1:24" ht="12.75">
      <c r="A63" s="11" t="s">
        <v>24</v>
      </c>
      <c r="B63" s="11" t="s">
        <v>115</v>
      </c>
      <c r="C63" s="11">
        <v>52.028749903294901</v>
      </c>
      <c r="D63" s="11">
        <v>23</v>
      </c>
      <c r="E63" s="11">
        <v>117</v>
      </c>
      <c r="F63" s="11">
        <v>6885.5893508962499</v>
      </c>
      <c r="G63" s="11" t="s">
        <v>38</v>
      </c>
      <c r="H63" s="11">
        <v>32</v>
      </c>
      <c r="I63" s="11">
        <v>23</v>
      </c>
      <c r="J63" s="11">
        <v>36</v>
      </c>
      <c r="K63" s="11">
        <v>7</v>
      </c>
      <c r="L63" s="11" t="s">
        <v>43</v>
      </c>
      <c r="M63" s="11">
        <v>9.0303404225219399</v>
      </c>
      <c r="N63" s="11" t="s">
        <v>52</v>
      </c>
      <c r="O63" s="11" t="s">
        <v>45</v>
      </c>
      <c r="P63" s="11">
        <v>14</v>
      </c>
      <c r="Q63" s="11">
        <v>480</v>
      </c>
      <c r="R63" s="11">
        <v>12</v>
      </c>
      <c r="S63" s="11">
        <v>78.702393968878894</v>
      </c>
      <c r="T63" s="11" t="s">
        <v>46</v>
      </c>
      <c r="U63" s="11">
        <v>4.3674705382050503</v>
      </c>
      <c r="V63" s="11" t="s">
        <v>40</v>
      </c>
      <c r="W63" s="11" t="s">
        <v>48</v>
      </c>
      <c r="X63" s="11">
        <v>164.366528243419</v>
      </c>
    </row>
    <row r="64" spans="1:24" ht="12.75">
      <c r="A64" s="11" t="s">
        <v>57</v>
      </c>
      <c r="B64" s="11" t="s">
        <v>116</v>
      </c>
      <c r="C64" s="11">
        <v>72.796353955587307</v>
      </c>
      <c r="D64" s="11">
        <v>89</v>
      </c>
      <c r="E64" s="11">
        <v>270</v>
      </c>
      <c r="F64" s="11">
        <v>3899.7468337292198</v>
      </c>
      <c r="G64" s="11" t="s">
        <v>38</v>
      </c>
      <c r="H64" s="11">
        <v>86</v>
      </c>
      <c r="I64" s="11">
        <v>2</v>
      </c>
      <c r="J64" s="11">
        <v>40</v>
      </c>
      <c r="K64" s="11">
        <v>7</v>
      </c>
      <c r="L64" s="11" t="s">
        <v>43</v>
      </c>
      <c r="M64" s="11">
        <v>7.2917013887767697</v>
      </c>
      <c r="N64" s="11" t="s">
        <v>61</v>
      </c>
      <c r="O64" s="11" t="s">
        <v>29</v>
      </c>
      <c r="P64" s="11">
        <v>13</v>
      </c>
      <c r="Q64" s="11">
        <v>751</v>
      </c>
      <c r="R64" s="11">
        <v>14</v>
      </c>
      <c r="S64" s="11">
        <v>21.048642725168602</v>
      </c>
      <c r="T64" s="11" t="s">
        <v>64</v>
      </c>
      <c r="U64" s="11">
        <v>1.87400140404437</v>
      </c>
      <c r="V64" s="11" t="s">
        <v>56</v>
      </c>
      <c r="W64" s="11" t="s">
        <v>41</v>
      </c>
      <c r="X64" s="11">
        <v>320.84651575911101</v>
      </c>
    </row>
    <row r="65" spans="1:24" ht="12.75">
      <c r="A65" s="11" t="s">
        <v>33</v>
      </c>
      <c r="B65" s="11" t="s">
        <v>117</v>
      </c>
      <c r="C65" s="11">
        <v>13.0173767852878</v>
      </c>
      <c r="D65" s="11">
        <v>55</v>
      </c>
      <c r="E65" s="11">
        <v>246</v>
      </c>
      <c r="F65" s="11">
        <v>4256.9491408502199</v>
      </c>
      <c r="G65" s="11" t="s">
        <v>26</v>
      </c>
      <c r="H65" s="11">
        <v>54</v>
      </c>
      <c r="I65" s="11">
        <v>19</v>
      </c>
      <c r="J65" s="11">
        <v>10</v>
      </c>
      <c r="K65" s="11">
        <v>4</v>
      </c>
      <c r="L65" s="11" t="s">
        <v>36</v>
      </c>
      <c r="M65" s="11">
        <v>2.45793352798733</v>
      </c>
      <c r="N65" s="11" t="s">
        <v>28</v>
      </c>
      <c r="O65" s="11" t="s">
        <v>53</v>
      </c>
      <c r="P65" s="11">
        <v>18</v>
      </c>
      <c r="Q65" s="11">
        <v>736</v>
      </c>
      <c r="R65" s="11">
        <v>10</v>
      </c>
      <c r="S65" s="11">
        <v>20.075003975630398</v>
      </c>
      <c r="T65" s="11" t="s">
        <v>30</v>
      </c>
      <c r="U65" s="11">
        <v>3.6328432903821302</v>
      </c>
      <c r="V65" s="11" t="s">
        <v>56</v>
      </c>
      <c r="W65" s="11" t="s">
        <v>48</v>
      </c>
      <c r="X65" s="11">
        <v>687.28617786641701</v>
      </c>
    </row>
    <row r="66" spans="1:24" ht="12.75">
      <c r="A66" s="11" t="s">
        <v>33</v>
      </c>
      <c r="B66" s="11" t="s">
        <v>118</v>
      </c>
      <c r="C66" s="11">
        <v>89.634095608135297</v>
      </c>
      <c r="D66" s="11">
        <v>11</v>
      </c>
      <c r="E66" s="11">
        <v>134</v>
      </c>
      <c r="F66" s="11">
        <v>8458.7308783671706</v>
      </c>
      <c r="G66" s="11" t="s">
        <v>35</v>
      </c>
      <c r="H66" s="11">
        <v>73</v>
      </c>
      <c r="I66" s="11">
        <v>27</v>
      </c>
      <c r="J66" s="11">
        <v>75</v>
      </c>
      <c r="K66" s="11">
        <v>6</v>
      </c>
      <c r="L66" s="11" t="s">
        <v>43</v>
      </c>
      <c r="M66" s="11">
        <v>4.5853534681946497</v>
      </c>
      <c r="N66" s="11" t="s">
        <v>39</v>
      </c>
      <c r="O66" s="11" t="s">
        <v>50</v>
      </c>
      <c r="P66" s="11">
        <v>17</v>
      </c>
      <c r="Q66" s="11">
        <v>328</v>
      </c>
      <c r="R66" s="11">
        <v>6</v>
      </c>
      <c r="S66" s="11">
        <v>8.6930424258772803</v>
      </c>
      <c r="T66" s="11" t="s">
        <v>46</v>
      </c>
      <c r="U66" s="11">
        <v>0.15948631471751401</v>
      </c>
      <c r="V66" s="11" t="s">
        <v>40</v>
      </c>
      <c r="W66" s="11" t="s">
        <v>41</v>
      </c>
      <c r="X66" s="11">
        <v>771.225084681157</v>
      </c>
    </row>
    <row r="67" spans="1:24" ht="12.75">
      <c r="A67" s="11" t="s">
        <v>33</v>
      </c>
      <c r="B67" s="11" t="s">
        <v>119</v>
      </c>
      <c r="C67" s="11">
        <v>33.697717206643098</v>
      </c>
      <c r="D67" s="11">
        <v>72</v>
      </c>
      <c r="E67" s="11">
        <v>457</v>
      </c>
      <c r="F67" s="11">
        <v>8354.5796864819895</v>
      </c>
      <c r="G67" s="11" t="s">
        <v>55</v>
      </c>
      <c r="H67" s="11">
        <v>57</v>
      </c>
      <c r="I67" s="11">
        <v>24</v>
      </c>
      <c r="J67" s="11">
        <v>54</v>
      </c>
      <c r="K67" s="11">
        <v>8</v>
      </c>
      <c r="L67" s="11" t="s">
        <v>43</v>
      </c>
      <c r="M67" s="11">
        <v>6.5805413478845898</v>
      </c>
      <c r="N67" s="11" t="s">
        <v>44</v>
      </c>
      <c r="O67" s="11" t="s">
        <v>45</v>
      </c>
      <c r="P67" s="11">
        <v>16</v>
      </c>
      <c r="Q67" s="11">
        <v>358</v>
      </c>
      <c r="R67" s="11">
        <v>21</v>
      </c>
      <c r="S67" s="11">
        <v>1.59722274305067</v>
      </c>
      <c r="T67" s="11" t="s">
        <v>46</v>
      </c>
      <c r="U67" s="11">
        <v>4.9110959548423301</v>
      </c>
      <c r="V67" s="11" t="s">
        <v>47</v>
      </c>
      <c r="W67" s="11" t="s">
        <v>41</v>
      </c>
      <c r="X67" s="11">
        <v>555.85910367174301</v>
      </c>
    </row>
    <row r="68" spans="1:24" ht="12.75">
      <c r="A68" s="11" t="s">
        <v>33</v>
      </c>
      <c r="B68" s="11" t="s">
        <v>120</v>
      </c>
      <c r="C68" s="11">
        <v>26.034869773962001</v>
      </c>
      <c r="D68" s="11">
        <v>52</v>
      </c>
      <c r="E68" s="11">
        <v>704</v>
      </c>
      <c r="F68" s="11">
        <v>8367.7216180201503</v>
      </c>
      <c r="G68" s="11" t="s">
        <v>35</v>
      </c>
      <c r="H68" s="11">
        <v>13</v>
      </c>
      <c r="I68" s="11">
        <v>17</v>
      </c>
      <c r="J68" s="11">
        <v>19</v>
      </c>
      <c r="K68" s="11">
        <v>8</v>
      </c>
      <c r="L68" s="11" t="s">
        <v>36</v>
      </c>
      <c r="M68" s="11">
        <v>2.2161427287713602</v>
      </c>
      <c r="N68" s="11" t="s">
        <v>44</v>
      </c>
      <c r="O68" s="11" t="s">
        <v>45</v>
      </c>
      <c r="P68" s="11">
        <v>24</v>
      </c>
      <c r="Q68" s="11">
        <v>867</v>
      </c>
      <c r="R68" s="11">
        <v>28</v>
      </c>
      <c r="S68" s="11">
        <v>42.084436738309897</v>
      </c>
      <c r="T68" s="11" t="s">
        <v>46</v>
      </c>
      <c r="U68" s="11">
        <v>3.44806328834026</v>
      </c>
      <c r="V68" s="11" t="s">
        <v>31</v>
      </c>
      <c r="W68" s="11" t="s">
        <v>48</v>
      </c>
      <c r="X68" s="11">
        <v>393.84334857842703</v>
      </c>
    </row>
    <row r="69" spans="1:24" ht="12.75">
      <c r="A69" s="11" t="s">
        <v>33</v>
      </c>
      <c r="B69" s="11" t="s">
        <v>121</v>
      </c>
      <c r="C69" s="11">
        <v>87.755432354001002</v>
      </c>
      <c r="D69" s="11">
        <v>16</v>
      </c>
      <c r="E69" s="11">
        <v>513</v>
      </c>
      <c r="F69" s="11">
        <v>9473.7980325083299</v>
      </c>
      <c r="G69" s="11" t="s">
        <v>38</v>
      </c>
      <c r="H69" s="11">
        <v>12</v>
      </c>
      <c r="I69" s="11">
        <v>9</v>
      </c>
      <c r="J69" s="11">
        <v>71</v>
      </c>
      <c r="K69" s="11">
        <v>9</v>
      </c>
      <c r="L69" s="11" t="s">
        <v>43</v>
      </c>
      <c r="M69" s="11">
        <v>9.1478115447106294</v>
      </c>
      <c r="N69" s="11" t="s">
        <v>39</v>
      </c>
      <c r="O69" s="11" t="s">
        <v>29</v>
      </c>
      <c r="P69" s="11">
        <v>10</v>
      </c>
      <c r="Q69" s="11">
        <v>198</v>
      </c>
      <c r="R69" s="11">
        <v>11</v>
      </c>
      <c r="S69" s="11">
        <v>7.0578761469782298</v>
      </c>
      <c r="T69" s="11" t="s">
        <v>64</v>
      </c>
      <c r="U69" s="11">
        <v>0.131955444311814</v>
      </c>
      <c r="V69" s="11" t="s">
        <v>56</v>
      </c>
      <c r="W69" s="11" t="s">
        <v>41</v>
      </c>
      <c r="X69" s="11">
        <v>169.27180138478599</v>
      </c>
    </row>
    <row r="70" spans="1:24" ht="12.75">
      <c r="A70" s="11" t="s">
        <v>24</v>
      </c>
      <c r="B70" s="11" t="s">
        <v>122</v>
      </c>
      <c r="C70" s="11">
        <v>37.931812382790298</v>
      </c>
      <c r="D70" s="11">
        <v>29</v>
      </c>
      <c r="E70" s="11">
        <v>163</v>
      </c>
      <c r="F70" s="11">
        <v>3550.21843278099</v>
      </c>
      <c r="G70" s="11" t="s">
        <v>26</v>
      </c>
      <c r="H70" s="11">
        <v>0</v>
      </c>
      <c r="I70" s="11">
        <v>8</v>
      </c>
      <c r="J70" s="11">
        <v>58</v>
      </c>
      <c r="K70" s="11">
        <v>8</v>
      </c>
      <c r="L70" s="11" t="s">
        <v>27</v>
      </c>
      <c r="M70" s="11">
        <v>1.19425186488499</v>
      </c>
      <c r="N70" s="11" t="s">
        <v>61</v>
      </c>
      <c r="O70" s="11" t="s">
        <v>53</v>
      </c>
      <c r="P70" s="11">
        <v>2</v>
      </c>
      <c r="Q70" s="11">
        <v>375</v>
      </c>
      <c r="R70" s="11">
        <v>18</v>
      </c>
      <c r="S70" s="11">
        <v>97.113581563462205</v>
      </c>
      <c r="T70" s="11" t="s">
        <v>46</v>
      </c>
      <c r="U70" s="11">
        <v>1.9834678721741801</v>
      </c>
      <c r="V70" s="11" t="s">
        <v>47</v>
      </c>
      <c r="W70" s="11" t="s">
        <v>48</v>
      </c>
      <c r="X70" s="11">
        <v>299.70630311810299</v>
      </c>
    </row>
    <row r="71" spans="1:24" ht="12.75">
      <c r="A71" s="11" t="s">
        <v>33</v>
      </c>
      <c r="B71" s="11" t="s">
        <v>123</v>
      </c>
      <c r="C71" s="11">
        <v>54.865528517069698</v>
      </c>
      <c r="D71" s="11">
        <v>62</v>
      </c>
      <c r="E71" s="11">
        <v>511</v>
      </c>
      <c r="F71" s="11">
        <v>1752.3810874841199</v>
      </c>
      <c r="G71" s="11" t="s">
        <v>26</v>
      </c>
      <c r="H71" s="11">
        <v>95</v>
      </c>
      <c r="I71" s="11">
        <v>1</v>
      </c>
      <c r="J71" s="11">
        <v>27</v>
      </c>
      <c r="K71" s="11">
        <v>3</v>
      </c>
      <c r="L71" s="11" t="s">
        <v>27</v>
      </c>
      <c r="M71" s="11">
        <v>9.7052867901203399</v>
      </c>
      <c r="N71" s="11" t="s">
        <v>52</v>
      </c>
      <c r="O71" s="11" t="s">
        <v>45</v>
      </c>
      <c r="P71" s="11">
        <v>9</v>
      </c>
      <c r="Q71" s="11">
        <v>862</v>
      </c>
      <c r="R71" s="11">
        <v>7</v>
      </c>
      <c r="S71" s="11">
        <v>77.627765812748095</v>
      </c>
      <c r="T71" s="11" t="s">
        <v>30</v>
      </c>
      <c r="U71" s="11">
        <v>1.3623879886490999</v>
      </c>
      <c r="V71" s="11" t="s">
        <v>40</v>
      </c>
      <c r="W71" s="11" t="s">
        <v>48</v>
      </c>
      <c r="X71" s="11">
        <v>207.66320620857499</v>
      </c>
    </row>
    <row r="72" spans="1:24" ht="12.75">
      <c r="A72" s="11" t="s">
        <v>24</v>
      </c>
      <c r="B72" s="11" t="s">
        <v>124</v>
      </c>
      <c r="C72" s="11">
        <v>47.914541824058702</v>
      </c>
      <c r="D72" s="11">
        <v>90</v>
      </c>
      <c r="E72" s="11">
        <v>32</v>
      </c>
      <c r="F72" s="11">
        <v>7014.8879872033804</v>
      </c>
      <c r="G72" s="11" t="s">
        <v>35</v>
      </c>
      <c r="H72" s="11">
        <v>10</v>
      </c>
      <c r="I72" s="11">
        <v>12</v>
      </c>
      <c r="J72" s="11">
        <v>22</v>
      </c>
      <c r="K72" s="11">
        <v>4</v>
      </c>
      <c r="L72" s="11" t="s">
        <v>27</v>
      </c>
      <c r="M72" s="11">
        <v>6.3157177546007199</v>
      </c>
      <c r="N72" s="11" t="s">
        <v>39</v>
      </c>
      <c r="O72" s="11" t="s">
        <v>53</v>
      </c>
      <c r="P72" s="11">
        <v>22</v>
      </c>
      <c r="Q72" s="11">
        <v>775</v>
      </c>
      <c r="R72" s="11">
        <v>16</v>
      </c>
      <c r="S72" s="11">
        <v>11.440781823761199</v>
      </c>
      <c r="T72" s="11" t="s">
        <v>64</v>
      </c>
      <c r="U72" s="11">
        <v>1.8305755986122301</v>
      </c>
      <c r="V72" s="11" t="s">
        <v>31</v>
      </c>
      <c r="W72" s="11" t="s">
        <v>41</v>
      </c>
      <c r="X72" s="11">
        <v>183.27289874871099</v>
      </c>
    </row>
    <row r="73" spans="1:24" ht="12.75">
      <c r="A73" s="11" t="s">
        <v>57</v>
      </c>
      <c r="B73" s="11" t="s">
        <v>125</v>
      </c>
      <c r="C73" s="11">
        <v>6.3815331627479601</v>
      </c>
      <c r="D73" s="11">
        <v>14</v>
      </c>
      <c r="E73" s="11">
        <v>637</v>
      </c>
      <c r="F73" s="11">
        <v>8180.3370854254399</v>
      </c>
      <c r="G73" s="11" t="s">
        <v>35</v>
      </c>
      <c r="H73" s="11">
        <v>76</v>
      </c>
      <c r="I73" s="11">
        <v>2</v>
      </c>
      <c r="J73" s="11">
        <v>26</v>
      </c>
      <c r="K73" s="11">
        <v>6</v>
      </c>
      <c r="L73" s="11" t="s">
        <v>36</v>
      </c>
      <c r="M73" s="11">
        <v>9.2281903170525101</v>
      </c>
      <c r="N73" s="11" t="s">
        <v>61</v>
      </c>
      <c r="O73" s="11" t="s">
        <v>53</v>
      </c>
      <c r="P73" s="11">
        <v>2</v>
      </c>
      <c r="Q73" s="11">
        <v>258</v>
      </c>
      <c r="R73" s="11">
        <v>10</v>
      </c>
      <c r="S73" s="11">
        <v>30.661677477859499</v>
      </c>
      <c r="T73" s="11" t="s">
        <v>30</v>
      </c>
      <c r="U73" s="11">
        <v>2.07875060787496</v>
      </c>
      <c r="V73" s="11" t="s">
        <v>31</v>
      </c>
      <c r="W73" s="11" t="s">
        <v>48</v>
      </c>
      <c r="X73" s="11">
        <v>405.167067888855</v>
      </c>
    </row>
    <row r="74" spans="1:24" ht="12.75">
      <c r="A74" s="11" t="s">
        <v>57</v>
      </c>
      <c r="B74" s="11" t="s">
        <v>126</v>
      </c>
      <c r="C74" s="11">
        <v>90.204427520528</v>
      </c>
      <c r="D74" s="11">
        <v>88</v>
      </c>
      <c r="E74" s="11">
        <v>478</v>
      </c>
      <c r="F74" s="11">
        <v>2633.1219813122502</v>
      </c>
      <c r="G74" s="11" t="s">
        <v>26</v>
      </c>
      <c r="H74" s="11">
        <v>57</v>
      </c>
      <c r="I74" s="11">
        <v>29</v>
      </c>
      <c r="J74" s="11">
        <v>77</v>
      </c>
      <c r="K74" s="11">
        <v>9</v>
      </c>
      <c r="L74" s="11" t="s">
        <v>36</v>
      </c>
      <c r="M74" s="11">
        <v>6.5996141596895397</v>
      </c>
      <c r="N74" s="11" t="s">
        <v>39</v>
      </c>
      <c r="O74" s="11" t="s">
        <v>53</v>
      </c>
      <c r="P74" s="11">
        <v>21</v>
      </c>
      <c r="Q74" s="11">
        <v>152</v>
      </c>
      <c r="R74" s="11">
        <v>11</v>
      </c>
      <c r="S74" s="11">
        <v>55.760492895244198</v>
      </c>
      <c r="T74" s="11" t="s">
        <v>30</v>
      </c>
      <c r="U74" s="11">
        <v>3.2133296074383</v>
      </c>
      <c r="V74" s="11" t="s">
        <v>47</v>
      </c>
      <c r="W74" s="11" t="s">
        <v>32</v>
      </c>
      <c r="X74" s="11">
        <v>677.94456984618296</v>
      </c>
    </row>
    <row r="75" spans="1:24" ht="12.75">
      <c r="A75" s="11" t="s">
        <v>57</v>
      </c>
      <c r="B75" s="11" t="s">
        <v>127</v>
      </c>
      <c r="C75" s="11">
        <v>83.851017681304597</v>
      </c>
      <c r="D75" s="11">
        <v>41</v>
      </c>
      <c r="E75" s="11">
        <v>375</v>
      </c>
      <c r="F75" s="11">
        <v>7910.8869161406801</v>
      </c>
      <c r="G75" s="11" t="s">
        <v>55</v>
      </c>
      <c r="H75" s="11">
        <v>17</v>
      </c>
      <c r="I75" s="11">
        <v>25</v>
      </c>
      <c r="J75" s="11">
        <v>66</v>
      </c>
      <c r="K75" s="11">
        <v>5</v>
      </c>
      <c r="L75" s="11" t="s">
        <v>27</v>
      </c>
      <c r="M75" s="11">
        <v>1.5129368369160701</v>
      </c>
      <c r="N75" s="11" t="s">
        <v>52</v>
      </c>
      <c r="O75" s="11" t="s">
        <v>62</v>
      </c>
      <c r="P75" s="11">
        <v>13</v>
      </c>
      <c r="Q75" s="11">
        <v>444</v>
      </c>
      <c r="R75" s="11">
        <v>4</v>
      </c>
      <c r="S75" s="11">
        <v>46.870238797617098</v>
      </c>
      <c r="T75" s="11" t="s">
        <v>46</v>
      </c>
      <c r="U75" s="11">
        <v>4.6205460645137002</v>
      </c>
      <c r="V75" s="11" t="s">
        <v>31</v>
      </c>
      <c r="W75" s="11" t="s">
        <v>48</v>
      </c>
      <c r="X75" s="11">
        <v>866.472800129657</v>
      </c>
    </row>
    <row r="76" spans="1:24" ht="12.75">
      <c r="A76" s="11" t="s">
        <v>24</v>
      </c>
      <c r="B76" s="11" t="s">
        <v>128</v>
      </c>
      <c r="C76" s="11">
        <v>3.1700114135661499</v>
      </c>
      <c r="D76" s="11">
        <v>64</v>
      </c>
      <c r="E76" s="11">
        <v>904</v>
      </c>
      <c r="F76" s="11">
        <v>5709.9452959692799</v>
      </c>
      <c r="G76" s="11" t="s">
        <v>35</v>
      </c>
      <c r="H76" s="11">
        <v>41</v>
      </c>
      <c r="I76" s="11">
        <v>6</v>
      </c>
      <c r="J76" s="11">
        <v>1</v>
      </c>
      <c r="K76" s="11">
        <v>5</v>
      </c>
      <c r="L76" s="11" t="s">
        <v>36</v>
      </c>
      <c r="M76" s="11">
        <v>5.2376546500374399</v>
      </c>
      <c r="N76" s="11" t="s">
        <v>52</v>
      </c>
      <c r="O76" s="11" t="s">
        <v>50</v>
      </c>
      <c r="P76" s="11">
        <v>1</v>
      </c>
      <c r="Q76" s="11">
        <v>919</v>
      </c>
      <c r="R76" s="11">
        <v>9</v>
      </c>
      <c r="S76" s="11">
        <v>80.580852156447804</v>
      </c>
      <c r="T76" s="11" t="s">
        <v>46</v>
      </c>
      <c r="U76" s="11">
        <v>0.39661272410993498</v>
      </c>
      <c r="V76" s="11" t="s">
        <v>47</v>
      </c>
      <c r="W76" s="11" t="s">
        <v>48</v>
      </c>
      <c r="X76" s="11">
        <v>341.55265678322297</v>
      </c>
    </row>
    <row r="77" spans="1:24" ht="12.75">
      <c r="A77" s="11" t="s">
        <v>33</v>
      </c>
      <c r="B77" s="11" t="s">
        <v>129</v>
      </c>
      <c r="C77" s="11">
        <v>92.996884233970604</v>
      </c>
      <c r="D77" s="11">
        <v>29</v>
      </c>
      <c r="E77" s="11">
        <v>106</v>
      </c>
      <c r="F77" s="11">
        <v>1889.07358977933</v>
      </c>
      <c r="G77" s="11" t="s">
        <v>26</v>
      </c>
      <c r="H77" s="11">
        <v>16</v>
      </c>
      <c r="I77" s="11">
        <v>20</v>
      </c>
      <c r="J77" s="11">
        <v>56</v>
      </c>
      <c r="K77" s="11">
        <v>10</v>
      </c>
      <c r="L77" s="11" t="s">
        <v>43</v>
      </c>
      <c r="M77" s="11">
        <v>2.47389776104546</v>
      </c>
      <c r="N77" s="11" t="s">
        <v>39</v>
      </c>
      <c r="O77" s="11" t="s">
        <v>62</v>
      </c>
      <c r="P77" s="11">
        <v>25</v>
      </c>
      <c r="Q77" s="11">
        <v>759</v>
      </c>
      <c r="R77" s="11">
        <v>11</v>
      </c>
      <c r="S77" s="11">
        <v>48.064782640006499</v>
      </c>
      <c r="T77" s="11" t="s">
        <v>64</v>
      </c>
      <c r="U77" s="11">
        <v>2.0300690886687498</v>
      </c>
      <c r="V77" s="11" t="s">
        <v>40</v>
      </c>
      <c r="W77" s="11" t="s">
        <v>41</v>
      </c>
      <c r="X77" s="11">
        <v>873.12964801765099</v>
      </c>
    </row>
    <row r="78" spans="1:24" ht="12.75">
      <c r="A78" s="11" t="s">
        <v>24</v>
      </c>
      <c r="B78" s="11" t="s">
        <v>130</v>
      </c>
      <c r="C78" s="11">
        <v>69.108799547430294</v>
      </c>
      <c r="D78" s="11">
        <v>23</v>
      </c>
      <c r="E78" s="11">
        <v>241</v>
      </c>
      <c r="F78" s="11">
        <v>5328.3759842977497</v>
      </c>
      <c r="G78" s="11" t="s">
        <v>55</v>
      </c>
      <c r="H78" s="11">
        <v>38</v>
      </c>
      <c r="I78" s="11">
        <v>1</v>
      </c>
      <c r="J78" s="11">
        <v>22</v>
      </c>
      <c r="K78" s="11">
        <v>10</v>
      </c>
      <c r="L78" s="11" t="s">
        <v>36</v>
      </c>
      <c r="M78" s="11">
        <v>7.0545383368369201</v>
      </c>
      <c r="N78" s="11" t="s">
        <v>61</v>
      </c>
      <c r="O78" s="11" t="s">
        <v>53</v>
      </c>
      <c r="P78" s="11">
        <v>25</v>
      </c>
      <c r="Q78" s="11">
        <v>985</v>
      </c>
      <c r="R78" s="11">
        <v>24</v>
      </c>
      <c r="S78" s="11">
        <v>64.323597795600193</v>
      </c>
      <c r="T78" s="11" t="s">
        <v>30</v>
      </c>
      <c r="U78" s="11">
        <v>2.1800374515822099</v>
      </c>
      <c r="V78" s="11" t="s">
        <v>47</v>
      </c>
      <c r="W78" s="11" t="s">
        <v>48</v>
      </c>
      <c r="X78" s="11">
        <v>997.41345013319403</v>
      </c>
    </row>
    <row r="79" spans="1:24" ht="12.75">
      <c r="A79" s="11" t="s">
        <v>24</v>
      </c>
      <c r="B79" s="11" t="s">
        <v>131</v>
      </c>
      <c r="C79" s="11">
        <v>57.449742958971399</v>
      </c>
      <c r="D79" s="11">
        <v>14</v>
      </c>
      <c r="E79" s="11">
        <v>359</v>
      </c>
      <c r="F79" s="11">
        <v>2483.7601775427902</v>
      </c>
      <c r="G79" s="11" t="s">
        <v>38</v>
      </c>
      <c r="H79" s="11">
        <v>96</v>
      </c>
      <c r="I79" s="11">
        <v>28</v>
      </c>
      <c r="J79" s="11">
        <v>57</v>
      </c>
      <c r="K79" s="11">
        <v>4</v>
      </c>
      <c r="L79" s="11" t="s">
        <v>27</v>
      </c>
      <c r="M79" s="11">
        <v>6.7809466256178901</v>
      </c>
      <c r="N79" s="11" t="s">
        <v>39</v>
      </c>
      <c r="O79" s="11" t="s">
        <v>45</v>
      </c>
      <c r="P79" s="11">
        <v>26</v>
      </c>
      <c r="Q79" s="11">
        <v>334</v>
      </c>
      <c r="R79" s="11">
        <v>5</v>
      </c>
      <c r="S79" s="11">
        <v>42.952444748991802</v>
      </c>
      <c r="T79" s="11" t="s">
        <v>64</v>
      </c>
      <c r="U79" s="11">
        <v>3.0551418183075398</v>
      </c>
      <c r="V79" s="11" t="s">
        <v>31</v>
      </c>
      <c r="W79" s="11" t="s">
        <v>32</v>
      </c>
      <c r="X79" s="11">
        <v>852.56809891984994</v>
      </c>
    </row>
    <row r="80" spans="1:24" ht="12.75">
      <c r="A80" s="11" t="s">
        <v>24</v>
      </c>
      <c r="B80" s="11" t="s">
        <v>132</v>
      </c>
      <c r="C80" s="11">
        <v>6.30688317611191</v>
      </c>
      <c r="D80" s="11">
        <v>50</v>
      </c>
      <c r="E80" s="11">
        <v>946</v>
      </c>
      <c r="F80" s="11">
        <v>1292.45841793775</v>
      </c>
      <c r="G80" s="11" t="s">
        <v>38</v>
      </c>
      <c r="H80" s="11">
        <v>5</v>
      </c>
      <c r="I80" s="11">
        <v>4</v>
      </c>
      <c r="J80" s="11">
        <v>51</v>
      </c>
      <c r="K80" s="11">
        <v>5</v>
      </c>
      <c r="L80" s="11" t="s">
        <v>27</v>
      </c>
      <c r="M80" s="11">
        <v>8.4670497708619905</v>
      </c>
      <c r="N80" s="11" t="s">
        <v>44</v>
      </c>
      <c r="O80" s="11" t="s">
        <v>29</v>
      </c>
      <c r="P80" s="11">
        <v>25</v>
      </c>
      <c r="Q80" s="11">
        <v>858</v>
      </c>
      <c r="R80" s="11">
        <v>21</v>
      </c>
      <c r="S80" s="11">
        <v>71.126514720403307</v>
      </c>
      <c r="T80" s="11" t="s">
        <v>30</v>
      </c>
      <c r="U80" s="11">
        <v>4.0968813324704501</v>
      </c>
      <c r="V80" s="11" t="s">
        <v>56</v>
      </c>
      <c r="W80" s="11" t="s">
        <v>41</v>
      </c>
      <c r="X80" s="11">
        <v>323.59220343132199</v>
      </c>
    </row>
    <row r="81" spans="1:24" ht="12.75">
      <c r="A81" s="11" t="s">
        <v>24</v>
      </c>
      <c r="B81" s="11" t="s">
        <v>133</v>
      </c>
      <c r="C81" s="11">
        <v>57.057031221103202</v>
      </c>
      <c r="D81" s="11">
        <v>56</v>
      </c>
      <c r="E81" s="11">
        <v>198</v>
      </c>
      <c r="F81" s="11">
        <v>7888.7232684270803</v>
      </c>
      <c r="G81" s="11" t="s">
        <v>26</v>
      </c>
      <c r="H81" s="11">
        <v>31</v>
      </c>
      <c r="I81" s="11">
        <v>25</v>
      </c>
      <c r="J81" s="11">
        <v>20</v>
      </c>
      <c r="K81" s="11">
        <v>1</v>
      </c>
      <c r="L81" s="11" t="s">
        <v>27</v>
      </c>
      <c r="M81" s="11">
        <v>6.49632536429504</v>
      </c>
      <c r="N81" s="11" t="s">
        <v>28</v>
      </c>
      <c r="O81" s="11" t="s">
        <v>53</v>
      </c>
      <c r="P81" s="11">
        <v>5</v>
      </c>
      <c r="Q81" s="11">
        <v>228</v>
      </c>
      <c r="R81" s="11">
        <v>12</v>
      </c>
      <c r="S81" s="11">
        <v>57.870902924036201</v>
      </c>
      <c r="T81" s="11" t="s">
        <v>30</v>
      </c>
      <c r="U81" s="11">
        <v>0.16587162748060799</v>
      </c>
      <c r="V81" s="11" t="s">
        <v>40</v>
      </c>
      <c r="W81" s="11" t="s">
        <v>41</v>
      </c>
      <c r="X81" s="11">
        <v>351.50421933503799</v>
      </c>
    </row>
    <row r="82" spans="1:24" ht="12.75">
      <c r="A82" s="11" t="s">
        <v>33</v>
      </c>
      <c r="B82" s="11" t="s">
        <v>134</v>
      </c>
      <c r="C82" s="11">
        <v>91.128318350444303</v>
      </c>
      <c r="D82" s="11">
        <v>75</v>
      </c>
      <c r="E82" s="11">
        <v>872</v>
      </c>
      <c r="F82" s="11">
        <v>8651.67268298206</v>
      </c>
      <c r="G82" s="11" t="s">
        <v>38</v>
      </c>
      <c r="H82" s="11">
        <v>39</v>
      </c>
      <c r="I82" s="11">
        <v>14</v>
      </c>
      <c r="J82" s="11">
        <v>41</v>
      </c>
      <c r="K82" s="11">
        <v>2</v>
      </c>
      <c r="L82" s="11" t="s">
        <v>43</v>
      </c>
      <c r="M82" s="11">
        <v>2.8331846794189701</v>
      </c>
      <c r="N82" s="11" t="s">
        <v>28</v>
      </c>
      <c r="O82" s="11" t="s">
        <v>62</v>
      </c>
      <c r="P82" s="11">
        <v>8</v>
      </c>
      <c r="Q82" s="11">
        <v>202</v>
      </c>
      <c r="R82" s="11">
        <v>5</v>
      </c>
      <c r="S82" s="11">
        <v>76.961228023819999</v>
      </c>
      <c r="T82" s="11" t="s">
        <v>46</v>
      </c>
      <c r="U82" s="11">
        <v>2.8496621985053299</v>
      </c>
      <c r="V82" s="11" t="s">
        <v>56</v>
      </c>
      <c r="W82" s="11" t="s">
        <v>32</v>
      </c>
      <c r="X82" s="11">
        <v>787.77985049434403</v>
      </c>
    </row>
    <row r="83" spans="1:24" ht="12.75">
      <c r="A83" s="11" t="s">
        <v>24</v>
      </c>
      <c r="B83" s="11" t="s">
        <v>135</v>
      </c>
      <c r="C83" s="11">
        <v>72.819206930318202</v>
      </c>
      <c r="D83" s="11">
        <v>9</v>
      </c>
      <c r="E83" s="11">
        <v>774</v>
      </c>
      <c r="F83" s="11">
        <v>4384.4134000458598</v>
      </c>
      <c r="G83" s="11" t="s">
        <v>38</v>
      </c>
      <c r="H83" s="11">
        <v>48</v>
      </c>
      <c r="I83" s="11">
        <v>6</v>
      </c>
      <c r="J83" s="11">
        <v>8</v>
      </c>
      <c r="K83" s="11">
        <v>5</v>
      </c>
      <c r="L83" s="11" t="s">
        <v>27</v>
      </c>
      <c r="M83" s="11">
        <v>4.0662775015120403</v>
      </c>
      <c r="N83" s="11" t="s">
        <v>28</v>
      </c>
      <c r="O83" s="11" t="s">
        <v>50</v>
      </c>
      <c r="P83" s="11">
        <v>28</v>
      </c>
      <c r="Q83" s="11">
        <v>698</v>
      </c>
      <c r="R83" s="11">
        <v>1</v>
      </c>
      <c r="S83" s="11">
        <v>19.789592941903599</v>
      </c>
      <c r="T83" s="11" t="s">
        <v>30</v>
      </c>
      <c r="U83" s="11">
        <v>2.54754712154871</v>
      </c>
      <c r="V83" s="11" t="s">
        <v>47</v>
      </c>
      <c r="W83" s="11" t="s">
        <v>32</v>
      </c>
      <c r="X83" s="11">
        <v>276.77833594679799</v>
      </c>
    </row>
    <row r="84" spans="1:24" ht="12.75">
      <c r="A84" s="11" t="s">
        <v>33</v>
      </c>
      <c r="B84" s="11" t="s">
        <v>136</v>
      </c>
      <c r="C84" s="11">
        <v>17.034930739467899</v>
      </c>
      <c r="D84" s="11">
        <v>13</v>
      </c>
      <c r="E84" s="11">
        <v>336</v>
      </c>
      <c r="F84" s="11">
        <v>2943.3818676094502</v>
      </c>
      <c r="G84" s="11" t="s">
        <v>38</v>
      </c>
      <c r="H84" s="11">
        <v>42</v>
      </c>
      <c r="I84" s="11">
        <v>19</v>
      </c>
      <c r="J84" s="11">
        <v>72</v>
      </c>
      <c r="K84" s="11">
        <v>1</v>
      </c>
      <c r="L84" s="11" t="s">
        <v>36</v>
      </c>
      <c r="M84" s="11">
        <v>4.7081818735419301</v>
      </c>
      <c r="N84" s="11" t="s">
        <v>61</v>
      </c>
      <c r="O84" s="11" t="s">
        <v>29</v>
      </c>
      <c r="P84" s="11">
        <v>6</v>
      </c>
      <c r="Q84" s="11">
        <v>955</v>
      </c>
      <c r="R84" s="11">
        <v>26</v>
      </c>
      <c r="S84" s="11">
        <v>4.4652784349432402</v>
      </c>
      <c r="T84" s="11" t="s">
        <v>30</v>
      </c>
      <c r="U84" s="11">
        <v>4.1378770486223502</v>
      </c>
      <c r="V84" s="11" t="s">
        <v>31</v>
      </c>
      <c r="W84" s="11" t="s">
        <v>41</v>
      </c>
      <c r="X84" s="11">
        <v>589.97855562804</v>
      </c>
    </row>
    <row r="85" spans="1:24" ht="12.75">
      <c r="A85" s="11" t="s">
        <v>24</v>
      </c>
      <c r="B85" s="11" t="s">
        <v>137</v>
      </c>
      <c r="C85" s="11">
        <v>68.911246211606297</v>
      </c>
      <c r="D85" s="11">
        <v>82</v>
      </c>
      <c r="E85" s="11">
        <v>663</v>
      </c>
      <c r="F85" s="11">
        <v>2411.7546321104901</v>
      </c>
      <c r="G85" s="11" t="s">
        <v>38</v>
      </c>
      <c r="H85" s="11">
        <v>65</v>
      </c>
      <c r="I85" s="11">
        <v>24</v>
      </c>
      <c r="J85" s="11">
        <v>7</v>
      </c>
      <c r="K85" s="11">
        <v>8</v>
      </c>
      <c r="L85" s="11" t="s">
        <v>27</v>
      </c>
      <c r="M85" s="11">
        <v>4.94983957799694</v>
      </c>
      <c r="N85" s="11" t="s">
        <v>39</v>
      </c>
      <c r="O85" s="11" t="s">
        <v>53</v>
      </c>
      <c r="P85" s="11">
        <v>20</v>
      </c>
      <c r="Q85" s="11">
        <v>443</v>
      </c>
      <c r="R85" s="11">
        <v>5</v>
      </c>
      <c r="S85" s="11">
        <v>97.730593800533001</v>
      </c>
      <c r="T85" s="11" t="s">
        <v>46</v>
      </c>
      <c r="U85" s="11">
        <v>0.77300613406724705</v>
      </c>
      <c r="V85" s="11" t="s">
        <v>31</v>
      </c>
      <c r="W85" s="11" t="s">
        <v>48</v>
      </c>
      <c r="X85" s="11">
        <v>682.97101822609295</v>
      </c>
    </row>
    <row r="86" spans="1:24" ht="12.75">
      <c r="A86" s="11" t="s">
        <v>24</v>
      </c>
      <c r="B86" s="11" t="s">
        <v>138</v>
      </c>
      <c r="C86" s="11">
        <v>89.104367292102197</v>
      </c>
      <c r="D86" s="11">
        <v>99</v>
      </c>
      <c r="E86" s="11">
        <v>618</v>
      </c>
      <c r="F86" s="11">
        <v>2048.2900998487098</v>
      </c>
      <c r="G86" s="11" t="s">
        <v>38</v>
      </c>
      <c r="H86" s="11">
        <v>73</v>
      </c>
      <c r="I86" s="11">
        <v>26</v>
      </c>
      <c r="J86" s="11">
        <v>80</v>
      </c>
      <c r="K86" s="11">
        <v>10</v>
      </c>
      <c r="L86" s="11" t="s">
        <v>36</v>
      </c>
      <c r="M86" s="11">
        <v>8.3816156249226292</v>
      </c>
      <c r="N86" s="11" t="s">
        <v>44</v>
      </c>
      <c r="O86" s="11" t="s">
        <v>62</v>
      </c>
      <c r="P86" s="11">
        <v>24</v>
      </c>
      <c r="Q86" s="11">
        <v>589</v>
      </c>
      <c r="R86" s="11">
        <v>22</v>
      </c>
      <c r="S86" s="11">
        <v>33.808636513209002</v>
      </c>
      <c r="T86" s="11" t="s">
        <v>64</v>
      </c>
      <c r="U86" s="11">
        <v>4.8434565771180402</v>
      </c>
      <c r="V86" s="11" t="s">
        <v>40</v>
      </c>
      <c r="W86" s="11" t="s">
        <v>32</v>
      </c>
      <c r="X86" s="11">
        <v>465.45700596368698</v>
      </c>
    </row>
    <row r="87" spans="1:24" ht="12.75">
      <c r="A87" s="11" t="s">
        <v>57</v>
      </c>
      <c r="B87" s="11" t="s">
        <v>139</v>
      </c>
      <c r="C87" s="11">
        <v>76.962994415193805</v>
      </c>
      <c r="D87" s="11">
        <v>83</v>
      </c>
      <c r="E87" s="11">
        <v>25</v>
      </c>
      <c r="F87" s="11">
        <v>8684.6130592538502</v>
      </c>
      <c r="G87" s="11" t="s">
        <v>35</v>
      </c>
      <c r="H87" s="11">
        <v>15</v>
      </c>
      <c r="I87" s="11">
        <v>18</v>
      </c>
      <c r="J87" s="11">
        <v>66</v>
      </c>
      <c r="K87" s="11">
        <v>2</v>
      </c>
      <c r="L87" s="11" t="s">
        <v>43</v>
      </c>
      <c r="M87" s="11">
        <v>8.2491687048717193</v>
      </c>
      <c r="N87" s="11" t="s">
        <v>44</v>
      </c>
      <c r="O87" s="11" t="s">
        <v>62</v>
      </c>
      <c r="P87" s="11">
        <v>4</v>
      </c>
      <c r="Q87" s="11">
        <v>211</v>
      </c>
      <c r="R87" s="11">
        <v>2</v>
      </c>
      <c r="S87" s="11">
        <v>69.929345518672307</v>
      </c>
      <c r="T87" s="11" t="s">
        <v>46</v>
      </c>
      <c r="U87" s="11">
        <v>1.3744289997457499</v>
      </c>
      <c r="V87" s="11" t="s">
        <v>31</v>
      </c>
      <c r="W87" s="11" t="s">
        <v>32</v>
      </c>
      <c r="X87" s="11">
        <v>842.68683000464102</v>
      </c>
    </row>
    <row r="88" spans="1:24" ht="12.75">
      <c r="A88" s="11" t="s">
        <v>33</v>
      </c>
      <c r="B88" s="11" t="s">
        <v>140</v>
      </c>
      <c r="C88" s="11">
        <v>19.9981769404042</v>
      </c>
      <c r="D88" s="11">
        <v>18</v>
      </c>
      <c r="E88" s="11">
        <v>223</v>
      </c>
      <c r="F88" s="11">
        <v>1229.59102856498</v>
      </c>
      <c r="G88" s="11" t="s">
        <v>38</v>
      </c>
      <c r="H88" s="11">
        <v>32</v>
      </c>
      <c r="I88" s="11">
        <v>14</v>
      </c>
      <c r="J88" s="11">
        <v>22</v>
      </c>
      <c r="K88" s="11">
        <v>6</v>
      </c>
      <c r="L88" s="11" t="s">
        <v>27</v>
      </c>
      <c r="M88" s="11">
        <v>1.4543053101535499</v>
      </c>
      <c r="N88" s="11" t="s">
        <v>39</v>
      </c>
      <c r="O88" s="11" t="s">
        <v>29</v>
      </c>
      <c r="P88" s="11">
        <v>4</v>
      </c>
      <c r="Q88" s="11">
        <v>569</v>
      </c>
      <c r="R88" s="11">
        <v>18</v>
      </c>
      <c r="S88" s="11">
        <v>74.608969995194599</v>
      </c>
      <c r="T88" s="11" t="s">
        <v>64</v>
      </c>
      <c r="U88" s="11">
        <v>2.0515129307662399</v>
      </c>
      <c r="V88" s="11" t="s">
        <v>47</v>
      </c>
      <c r="W88" s="11" t="s">
        <v>48</v>
      </c>
      <c r="X88" s="11">
        <v>264.25488983586598</v>
      </c>
    </row>
    <row r="89" spans="1:24" ht="12.75">
      <c r="A89" s="11" t="s">
        <v>24</v>
      </c>
      <c r="B89" s="11" t="s">
        <v>141</v>
      </c>
      <c r="C89" s="11">
        <v>80.414036650355698</v>
      </c>
      <c r="D89" s="11">
        <v>24</v>
      </c>
      <c r="E89" s="11">
        <v>79</v>
      </c>
      <c r="F89" s="11">
        <v>5133.8467010866898</v>
      </c>
      <c r="G89" s="11" t="s">
        <v>55</v>
      </c>
      <c r="H89" s="11">
        <v>5</v>
      </c>
      <c r="I89" s="11">
        <v>7</v>
      </c>
      <c r="J89" s="11">
        <v>55</v>
      </c>
      <c r="K89" s="11">
        <v>10</v>
      </c>
      <c r="L89" s="11" t="s">
        <v>36</v>
      </c>
      <c r="M89" s="11">
        <v>6.5758037975485299</v>
      </c>
      <c r="N89" s="11" t="s">
        <v>28</v>
      </c>
      <c r="O89" s="11" t="s">
        <v>62</v>
      </c>
      <c r="P89" s="11">
        <v>27</v>
      </c>
      <c r="Q89" s="11">
        <v>523</v>
      </c>
      <c r="R89" s="11">
        <v>17</v>
      </c>
      <c r="S89" s="11">
        <v>28.696996824143099</v>
      </c>
      <c r="T89" s="11" t="s">
        <v>46</v>
      </c>
      <c r="U89" s="11">
        <v>3.6937377878392699</v>
      </c>
      <c r="V89" s="11" t="s">
        <v>56</v>
      </c>
      <c r="W89" s="11" t="s">
        <v>32</v>
      </c>
      <c r="X89" s="11">
        <v>879.35921773492396</v>
      </c>
    </row>
    <row r="90" spans="1:24" ht="12.75">
      <c r="A90" s="11" t="s">
        <v>57</v>
      </c>
      <c r="B90" s="11" t="s">
        <v>142</v>
      </c>
      <c r="C90" s="11">
        <v>75.270406975724995</v>
      </c>
      <c r="D90" s="11">
        <v>58</v>
      </c>
      <c r="E90" s="11">
        <v>737</v>
      </c>
      <c r="F90" s="11">
        <v>9444.7420330629793</v>
      </c>
      <c r="G90" s="11" t="s">
        <v>55</v>
      </c>
      <c r="H90" s="11">
        <v>60</v>
      </c>
      <c r="I90" s="11">
        <v>18</v>
      </c>
      <c r="J90" s="11">
        <v>85</v>
      </c>
      <c r="K90" s="11">
        <v>7</v>
      </c>
      <c r="L90" s="11" t="s">
        <v>36</v>
      </c>
      <c r="M90" s="11">
        <v>3.8012531329310701</v>
      </c>
      <c r="N90" s="11" t="s">
        <v>61</v>
      </c>
      <c r="O90" s="11" t="s">
        <v>29</v>
      </c>
      <c r="P90" s="11">
        <v>21</v>
      </c>
      <c r="Q90" s="11">
        <v>953</v>
      </c>
      <c r="R90" s="11">
        <v>11</v>
      </c>
      <c r="S90" s="11">
        <v>68.1849190570411</v>
      </c>
      <c r="T90" s="11" t="s">
        <v>30</v>
      </c>
      <c r="U90" s="11">
        <v>0.722204401882931</v>
      </c>
      <c r="V90" s="11" t="s">
        <v>56</v>
      </c>
      <c r="W90" s="11" t="s">
        <v>48</v>
      </c>
      <c r="X90" s="11">
        <v>103.916247960704</v>
      </c>
    </row>
    <row r="91" spans="1:24" ht="12.75">
      <c r="A91" s="11" t="s">
        <v>57</v>
      </c>
      <c r="B91" s="11" t="s">
        <v>143</v>
      </c>
      <c r="C91" s="11">
        <v>97.760085581938597</v>
      </c>
      <c r="D91" s="11">
        <v>10</v>
      </c>
      <c r="E91" s="11">
        <v>134</v>
      </c>
      <c r="F91" s="11">
        <v>5924.6825668532301</v>
      </c>
      <c r="G91" s="11" t="s">
        <v>38</v>
      </c>
      <c r="H91" s="11">
        <v>90</v>
      </c>
      <c r="I91" s="11">
        <v>1</v>
      </c>
      <c r="J91" s="11">
        <v>27</v>
      </c>
      <c r="K91" s="11">
        <v>8</v>
      </c>
      <c r="L91" s="11" t="s">
        <v>27</v>
      </c>
      <c r="M91" s="11">
        <v>9.9298162452772498</v>
      </c>
      <c r="N91" s="11" t="s">
        <v>39</v>
      </c>
      <c r="O91" s="11" t="s">
        <v>45</v>
      </c>
      <c r="P91" s="11">
        <v>23</v>
      </c>
      <c r="Q91" s="11">
        <v>370</v>
      </c>
      <c r="R91" s="11">
        <v>11</v>
      </c>
      <c r="S91" s="11">
        <v>46.603873381644398</v>
      </c>
      <c r="T91" s="11" t="s">
        <v>30</v>
      </c>
      <c r="U91" s="11">
        <v>1.9076657339590699</v>
      </c>
      <c r="V91" s="11" t="s">
        <v>47</v>
      </c>
      <c r="W91" s="11" t="s">
        <v>32</v>
      </c>
      <c r="X91" s="11">
        <v>517.49997392906005</v>
      </c>
    </row>
    <row r="92" spans="1:24" ht="12.75">
      <c r="A92" s="11" t="s">
        <v>33</v>
      </c>
      <c r="B92" s="11" t="s">
        <v>144</v>
      </c>
      <c r="C92" s="11">
        <v>13.881913501359101</v>
      </c>
      <c r="D92" s="11">
        <v>56</v>
      </c>
      <c r="E92" s="11">
        <v>320</v>
      </c>
      <c r="F92" s="11">
        <v>9592.6335702803099</v>
      </c>
      <c r="G92" s="11" t="s">
        <v>26</v>
      </c>
      <c r="H92" s="11">
        <v>66</v>
      </c>
      <c r="I92" s="11">
        <v>18</v>
      </c>
      <c r="J92" s="11">
        <v>96</v>
      </c>
      <c r="K92" s="11">
        <v>7</v>
      </c>
      <c r="L92" s="11" t="s">
        <v>27</v>
      </c>
      <c r="M92" s="11">
        <v>7.6744307081126903</v>
      </c>
      <c r="N92" s="11" t="s">
        <v>28</v>
      </c>
      <c r="O92" s="11" t="s">
        <v>53</v>
      </c>
      <c r="P92" s="11">
        <v>8</v>
      </c>
      <c r="Q92" s="11">
        <v>585</v>
      </c>
      <c r="R92" s="11">
        <v>8</v>
      </c>
      <c r="S92" s="11">
        <v>85.675963335797903</v>
      </c>
      <c r="T92" s="11" t="s">
        <v>64</v>
      </c>
      <c r="U92" s="11">
        <v>1.2193822244013801</v>
      </c>
      <c r="V92" s="11" t="s">
        <v>47</v>
      </c>
      <c r="W92" s="11" t="s">
        <v>32</v>
      </c>
      <c r="X92" s="11">
        <v>990.07847250581096</v>
      </c>
    </row>
    <row r="93" spans="1:24" ht="12.75">
      <c r="A93" s="11" t="s">
        <v>57</v>
      </c>
      <c r="B93" s="11" t="s">
        <v>145</v>
      </c>
      <c r="C93" s="11">
        <v>62.111965463961702</v>
      </c>
      <c r="D93" s="11">
        <v>90</v>
      </c>
      <c r="E93" s="11">
        <v>916</v>
      </c>
      <c r="F93" s="11">
        <v>1935.20679350759</v>
      </c>
      <c r="G93" s="11" t="s">
        <v>55</v>
      </c>
      <c r="H93" s="11">
        <v>98</v>
      </c>
      <c r="I93" s="11">
        <v>22</v>
      </c>
      <c r="J93" s="11">
        <v>85</v>
      </c>
      <c r="K93" s="11">
        <v>7</v>
      </c>
      <c r="L93" s="11" t="s">
        <v>27</v>
      </c>
      <c r="M93" s="11">
        <v>7.4715140844011403</v>
      </c>
      <c r="N93" s="11" t="s">
        <v>52</v>
      </c>
      <c r="O93" s="11" t="s">
        <v>50</v>
      </c>
      <c r="P93" s="11">
        <v>5</v>
      </c>
      <c r="Q93" s="11">
        <v>207</v>
      </c>
      <c r="R93" s="11">
        <v>28</v>
      </c>
      <c r="S93" s="11">
        <v>39.772882502339897</v>
      </c>
      <c r="T93" s="11" t="s">
        <v>30</v>
      </c>
      <c r="U93" s="11">
        <v>0.62600185820939402</v>
      </c>
      <c r="V93" s="11" t="s">
        <v>47</v>
      </c>
      <c r="W93" s="11" t="s">
        <v>32</v>
      </c>
      <c r="X93" s="11">
        <v>996.77831495062298</v>
      </c>
    </row>
    <row r="94" spans="1:24" ht="12.75">
      <c r="A94" s="11" t="s">
        <v>57</v>
      </c>
      <c r="B94" s="11" t="s">
        <v>146</v>
      </c>
      <c r="C94" s="11">
        <v>47.714233075820196</v>
      </c>
      <c r="D94" s="11">
        <v>44</v>
      </c>
      <c r="E94" s="11">
        <v>276</v>
      </c>
      <c r="F94" s="11">
        <v>2100.1297546259302</v>
      </c>
      <c r="G94" s="11" t="s">
        <v>55</v>
      </c>
      <c r="H94" s="11">
        <v>90</v>
      </c>
      <c r="I94" s="11">
        <v>25</v>
      </c>
      <c r="J94" s="11">
        <v>10</v>
      </c>
      <c r="K94" s="11">
        <v>8</v>
      </c>
      <c r="L94" s="11" t="s">
        <v>27</v>
      </c>
      <c r="M94" s="11">
        <v>4.4695000261236002</v>
      </c>
      <c r="N94" s="11" t="s">
        <v>61</v>
      </c>
      <c r="O94" s="11" t="s">
        <v>29</v>
      </c>
      <c r="P94" s="11">
        <v>4</v>
      </c>
      <c r="Q94" s="11">
        <v>671</v>
      </c>
      <c r="R94" s="11">
        <v>29</v>
      </c>
      <c r="S94" s="11">
        <v>62.612690395614301</v>
      </c>
      <c r="T94" s="11" t="s">
        <v>64</v>
      </c>
      <c r="U94" s="11">
        <v>0.33343182522473902</v>
      </c>
      <c r="V94" s="11" t="s">
        <v>47</v>
      </c>
      <c r="W94" s="11" t="s">
        <v>32</v>
      </c>
      <c r="X94" s="11">
        <v>230.092782536762</v>
      </c>
    </row>
    <row r="95" spans="1:24" ht="12.75">
      <c r="A95" s="11" t="s">
        <v>24</v>
      </c>
      <c r="B95" s="11" t="s">
        <v>147</v>
      </c>
      <c r="C95" s="11">
        <v>69.290831002905406</v>
      </c>
      <c r="D95" s="11">
        <v>88</v>
      </c>
      <c r="E95" s="11">
        <v>114</v>
      </c>
      <c r="F95" s="11">
        <v>4531.4021336919004</v>
      </c>
      <c r="G95" s="11" t="s">
        <v>38</v>
      </c>
      <c r="H95" s="11">
        <v>63</v>
      </c>
      <c r="I95" s="11">
        <v>17</v>
      </c>
      <c r="J95" s="11">
        <v>66</v>
      </c>
      <c r="K95" s="11">
        <v>1</v>
      </c>
      <c r="L95" s="11" t="s">
        <v>43</v>
      </c>
      <c r="M95" s="11">
        <v>7.00643205900439</v>
      </c>
      <c r="N95" s="11" t="s">
        <v>52</v>
      </c>
      <c r="O95" s="11" t="s">
        <v>62</v>
      </c>
      <c r="P95" s="11">
        <v>21</v>
      </c>
      <c r="Q95" s="11">
        <v>824</v>
      </c>
      <c r="R95" s="11">
        <v>20</v>
      </c>
      <c r="S95" s="11">
        <v>35.633652343343797</v>
      </c>
      <c r="T95" s="11" t="s">
        <v>46</v>
      </c>
      <c r="U95" s="11">
        <v>4.1657817954241398</v>
      </c>
      <c r="V95" s="11" t="s">
        <v>40</v>
      </c>
      <c r="W95" s="11" t="s">
        <v>48</v>
      </c>
      <c r="X95" s="11">
        <v>823.52384588815505</v>
      </c>
    </row>
    <row r="96" spans="1:24" ht="12.75">
      <c r="A96" s="11" t="s">
        <v>57</v>
      </c>
      <c r="B96" s="11" t="s">
        <v>148</v>
      </c>
      <c r="C96" s="11">
        <v>3.0376887246314102</v>
      </c>
      <c r="D96" s="11">
        <v>97</v>
      </c>
      <c r="E96" s="11">
        <v>987</v>
      </c>
      <c r="F96" s="11">
        <v>7888.3565466618702</v>
      </c>
      <c r="G96" s="11" t="s">
        <v>38</v>
      </c>
      <c r="H96" s="11">
        <v>77</v>
      </c>
      <c r="I96" s="11">
        <v>26</v>
      </c>
      <c r="J96" s="11">
        <v>72</v>
      </c>
      <c r="K96" s="11">
        <v>9</v>
      </c>
      <c r="L96" s="11" t="s">
        <v>27</v>
      </c>
      <c r="M96" s="11">
        <v>6.9429459420325799</v>
      </c>
      <c r="N96" s="11" t="s">
        <v>61</v>
      </c>
      <c r="O96" s="11" t="s">
        <v>50</v>
      </c>
      <c r="P96" s="11">
        <v>12</v>
      </c>
      <c r="Q96" s="11">
        <v>908</v>
      </c>
      <c r="R96" s="11">
        <v>14</v>
      </c>
      <c r="S96" s="11">
        <v>60.387378614862101</v>
      </c>
      <c r="T96" s="11" t="s">
        <v>64</v>
      </c>
      <c r="U96" s="11">
        <v>1.4636074984727701</v>
      </c>
      <c r="V96" s="11" t="s">
        <v>47</v>
      </c>
      <c r="W96" s="11" t="s">
        <v>32</v>
      </c>
      <c r="X96" s="11">
        <v>846.66525698669398</v>
      </c>
    </row>
    <row r="97" spans="1:24" ht="12.75">
      <c r="A97" s="11" t="s">
        <v>24</v>
      </c>
      <c r="B97" s="11" t="s">
        <v>149</v>
      </c>
      <c r="C97" s="11">
        <v>77.903927219447695</v>
      </c>
      <c r="D97" s="11">
        <v>65</v>
      </c>
      <c r="E97" s="11">
        <v>672</v>
      </c>
      <c r="F97" s="11">
        <v>7386.3639440486604</v>
      </c>
      <c r="G97" s="11" t="s">
        <v>38</v>
      </c>
      <c r="H97" s="11">
        <v>15</v>
      </c>
      <c r="I97" s="11">
        <v>14</v>
      </c>
      <c r="J97" s="11">
        <v>26</v>
      </c>
      <c r="K97" s="11">
        <v>9</v>
      </c>
      <c r="L97" s="11" t="s">
        <v>27</v>
      </c>
      <c r="M97" s="11">
        <v>8.6303388696027508</v>
      </c>
      <c r="N97" s="11" t="s">
        <v>52</v>
      </c>
      <c r="O97" s="11" t="s">
        <v>29</v>
      </c>
      <c r="P97" s="11">
        <v>18</v>
      </c>
      <c r="Q97" s="11">
        <v>450</v>
      </c>
      <c r="R97" s="11">
        <v>26</v>
      </c>
      <c r="S97" s="11">
        <v>58.890685768589897</v>
      </c>
      <c r="T97" s="11" t="s">
        <v>30</v>
      </c>
      <c r="U97" s="11">
        <v>1.21088212958506</v>
      </c>
      <c r="V97" s="11" t="s">
        <v>40</v>
      </c>
      <c r="W97" s="11" t="s">
        <v>48</v>
      </c>
      <c r="X97" s="11">
        <v>778.86424137664699</v>
      </c>
    </row>
    <row r="98" spans="1:24" ht="12.75">
      <c r="A98" s="11" t="s">
        <v>57</v>
      </c>
      <c r="B98" s="11" t="s">
        <v>150</v>
      </c>
      <c r="C98" s="11">
        <v>24.423131420373299</v>
      </c>
      <c r="D98" s="11">
        <v>29</v>
      </c>
      <c r="E98" s="11">
        <v>324</v>
      </c>
      <c r="F98" s="11">
        <v>7698.4247656321104</v>
      </c>
      <c r="G98" s="11" t="s">
        <v>26</v>
      </c>
      <c r="H98" s="11">
        <v>67</v>
      </c>
      <c r="I98" s="11">
        <v>2</v>
      </c>
      <c r="J98" s="11">
        <v>32</v>
      </c>
      <c r="K98" s="11">
        <v>3</v>
      </c>
      <c r="L98" s="11" t="s">
        <v>43</v>
      </c>
      <c r="M98" s="11">
        <v>5.3528780439967996</v>
      </c>
      <c r="N98" s="11" t="s">
        <v>28</v>
      </c>
      <c r="O98" s="11" t="s">
        <v>29</v>
      </c>
      <c r="P98" s="11">
        <v>28</v>
      </c>
      <c r="Q98" s="11">
        <v>648</v>
      </c>
      <c r="R98" s="11">
        <v>28</v>
      </c>
      <c r="S98" s="11">
        <v>17.803756331391199</v>
      </c>
      <c r="T98" s="11" t="s">
        <v>30</v>
      </c>
      <c r="U98" s="11">
        <v>3.8720476814821301</v>
      </c>
      <c r="V98" s="11" t="s">
        <v>31</v>
      </c>
      <c r="W98" s="11" t="s">
        <v>48</v>
      </c>
      <c r="X98" s="11">
        <v>188.74214114905601</v>
      </c>
    </row>
    <row r="99" spans="1:24" ht="12.75">
      <c r="A99" s="11" t="s">
        <v>24</v>
      </c>
      <c r="B99" s="11" t="s">
        <v>151</v>
      </c>
      <c r="C99" s="11">
        <v>3.5261112591434101</v>
      </c>
      <c r="D99" s="11">
        <v>56</v>
      </c>
      <c r="E99" s="11">
        <v>62</v>
      </c>
      <c r="F99" s="11">
        <v>4370.9165799845296</v>
      </c>
      <c r="G99" s="11" t="s">
        <v>55</v>
      </c>
      <c r="H99" s="11">
        <v>46</v>
      </c>
      <c r="I99" s="11">
        <v>19</v>
      </c>
      <c r="J99" s="11">
        <v>4</v>
      </c>
      <c r="K99" s="11">
        <v>9</v>
      </c>
      <c r="L99" s="11" t="s">
        <v>36</v>
      </c>
      <c r="M99" s="11">
        <v>7.9048456112096703</v>
      </c>
      <c r="N99" s="11" t="s">
        <v>52</v>
      </c>
      <c r="O99" s="11" t="s">
        <v>29</v>
      </c>
      <c r="P99" s="11">
        <v>10</v>
      </c>
      <c r="Q99" s="11">
        <v>535</v>
      </c>
      <c r="R99" s="11">
        <v>13</v>
      </c>
      <c r="S99" s="11">
        <v>65.765155926367399</v>
      </c>
      <c r="T99" s="11" t="s">
        <v>46</v>
      </c>
      <c r="U99" s="11">
        <v>3.3762378347179798</v>
      </c>
      <c r="V99" s="11" t="s">
        <v>31</v>
      </c>
      <c r="W99" s="11" t="s">
        <v>48</v>
      </c>
      <c r="X99" s="11">
        <v>540.13242286796697</v>
      </c>
    </row>
    <row r="100" spans="1:24" ht="12.75">
      <c r="A100" s="11" t="s">
        <v>33</v>
      </c>
      <c r="B100" s="11" t="s">
        <v>152</v>
      </c>
      <c r="C100" s="11">
        <v>19.754604866878601</v>
      </c>
      <c r="D100" s="11">
        <v>43</v>
      </c>
      <c r="E100" s="11">
        <v>913</v>
      </c>
      <c r="F100" s="11">
        <v>8525.9525596835192</v>
      </c>
      <c r="G100" s="11" t="s">
        <v>35</v>
      </c>
      <c r="H100" s="11">
        <v>53</v>
      </c>
      <c r="I100" s="11">
        <v>1</v>
      </c>
      <c r="J100" s="11">
        <v>27</v>
      </c>
      <c r="K100" s="11">
        <v>7</v>
      </c>
      <c r="L100" s="11" t="s">
        <v>27</v>
      </c>
      <c r="M100" s="11">
        <v>1.4098010951380699</v>
      </c>
      <c r="N100" s="11" t="s">
        <v>44</v>
      </c>
      <c r="O100" s="11" t="s">
        <v>62</v>
      </c>
      <c r="P100" s="11">
        <v>28</v>
      </c>
      <c r="Q100" s="11">
        <v>581</v>
      </c>
      <c r="R100" s="11">
        <v>9</v>
      </c>
      <c r="S100" s="11">
        <v>5.6046908643717801</v>
      </c>
      <c r="T100" s="11" t="s">
        <v>30</v>
      </c>
      <c r="U100" s="11">
        <v>2.9081221693512598</v>
      </c>
      <c r="V100" s="11" t="s">
        <v>47</v>
      </c>
      <c r="W100" s="11" t="s">
        <v>48</v>
      </c>
      <c r="X100" s="11">
        <v>882.19886354704101</v>
      </c>
    </row>
    <row r="101" spans="1:24" ht="12.75">
      <c r="A101" s="11" t="s">
        <v>24</v>
      </c>
      <c r="B101" s="11" t="s">
        <v>153</v>
      </c>
      <c r="C101" s="11">
        <v>68.517832699276596</v>
      </c>
      <c r="D101" s="11">
        <v>17</v>
      </c>
      <c r="E101" s="11">
        <v>627</v>
      </c>
      <c r="F101" s="11">
        <v>9185.1858291817007</v>
      </c>
      <c r="G101" s="11" t="s">
        <v>38</v>
      </c>
      <c r="H101" s="11">
        <v>55</v>
      </c>
      <c r="I101" s="11">
        <v>8</v>
      </c>
      <c r="J101" s="11">
        <v>59</v>
      </c>
      <c r="K101" s="11">
        <v>6</v>
      </c>
      <c r="L101" s="11" t="s">
        <v>27</v>
      </c>
      <c r="M101" s="11">
        <v>1.3110237561206199</v>
      </c>
      <c r="N101" s="11" t="s">
        <v>61</v>
      </c>
      <c r="O101" s="11" t="s">
        <v>62</v>
      </c>
      <c r="P101" s="11">
        <v>29</v>
      </c>
      <c r="Q101" s="11">
        <v>921</v>
      </c>
      <c r="R101" s="11">
        <v>2</v>
      </c>
      <c r="S101" s="11">
        <v>38.072898520625998</v>
      </c>
      <c r="T101" s="11" t="s">
        <v>46</v>
      </c>
      <c r="U101" s="11">
        <v>0.34602729070550298</v>
      </c>
      <c r="V101" s="11" t="s">
        <v>47</v>
      </c>
      <c r="W101" s="11" t="s">
        <v>32</v>
      </c>
      <c r="X101" s="11">
        <v>210.743008964246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AB101"/>
  <sheetViews>
    <sheetView workbookViewId="0">
      <selection activeCell="Y12" sqref="Y12"/>
    </sheetView>
  </sheetViews>
  <sheetFormatPr defaultColWidth="9" defaultRowHeight="12.75"/>
  <cols>
    <col min="1" max="1" width="13.42578125" bestFit="1" customWidth="1"/>
    <col min="2" max="2" width="14.42578125" bestFit="1" customWidth="1"/>
    <col min="3" max="3" width="6.28515625" bestFit="1" customWidth="1"/>
    <col min="4" max="4" width="12" bestFit="1" customWidth="1"/>
    <col min="5" max="5" width="11.7109375" bestFit="1" customWidth="1"/>
    <col min="6" max="6" width="23" bestFit="1" customWidth="1"/>
    <col min="7" max="7" width="18.85546875" bestFit="1" customWidth="1"/>
    <col min="8" max="8" width="22.5703125" bestFit="1" customWidth="1"/>
    <col min="9" max="9" width="12.28515625" bestFit="1" customWidth="1"/>
    <col min="10" max="10" width="11.85546875" bestFit="1" customWidth="1"/>
    <col min="11" max="11" width="16.42578125" bestFit="1" customWidth="1"/>
    <col min="12" max="12" width="14.7109375" bestFit="1" customWidth="1"/>
    <col min="13" max="13" width="16.28515625" bestFit="1" customWidth="1"/>
    <col min="14" max="14" width="14.140625" bestFit="1" customWidth="1"/>
    <col min="15" max="15" width="14.5703125" bestFit="1" customWidth="1"/>
    <col min="16" max="16" width="9.85546875" bestFit="1" customWidth="1"/>
    <col min="17" max="17" width="11.140625" bestFit="1" customWidth="1"/>
    <col min="18" max="18" width="19" bestFit="1" customWidth="1"/>
    <col min="19" max="19" width="22.7109375" bestFit="1" customWidth="1"/>
    <col min="20" max="20" width="19" bestFit="1" customWidth="1"/>
    <col min="21" max="21" width="17.140625" bestFit="1" customWidth="1"/>
    <col min="22" max="22" width="12.85546875" bestFit="1" customWidth="1"/>
    <col min="23" max="23" width="20.85546875" bestFit="1" customWidth="1"/>
    <col min="24" max="24" width="8.7109375" bestFit="1" customWidth="1"/>
    <col min="25" max="27" width="12" bestFit="1" customWidth="1"/>
    <col min="28" max="28" width="14" bestFit="1" customWidth="1"/>
  </cols>
  <sheetData>
    <row r="1" spans="1:28">
      <c r="A1" t="s">
        <v>0</v>
      </c>
      <c r="B1" s="10" t="s">
        <v>154</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155</v>
      </c>
      <c r="AA1" t="s">
        <v>156</v>
      </c>
      <c r="AB1" t="s">
        <v>157</v>
      </c>
    </row>
    <row r="2" spans="1:28">
      <c r="A2" t="s">
        <v>24</v>
      </c>
      <c r="B2" t="str">
        <f>PROPER(TRIM(Table1[[#This Row],[Product type]]))</f>
        <v>Haircare</v>
      </c>
      <c r="C2" t="s">
        <v>25</v>
      </c>
      <c r="D2">
        <v>69.808005542115694</v>
      </c>
      <c r="E2">
        <v>55</v>
      </c>
      <c r="F2">
        <v>802</v>
      </c>
      <c r="G2">
        <v>8661.9967923923796</v>
      </c>
      <c r="H2" t="s">
        <v>26</v>
      </c>
      <c r="I2">
        <v>58</v>
      </c>
      <c r="J2">
        <v>7</v>
      </c>
      <c r="K2">
        <v>96</v>
      </c>
      <c r="L2">
        <v>4</v>
      </c>
      <c r="M2" t="s">
        <v>27</v>
      </c>
      <c r="N2">
        <v>2.9565721394308002</v>
      </c>
      <c r="O2" t="s">
        <v>28</v>
      </c>
      <c r="P2" t="s">
        <v>29</v>
      </c>
      <c r="Q2">
        <v>29</v>
      </c>
      <c r="R2">
        <v>215</v>
      </c>
      <c r="S2">
        <v>29</v>
      </c>
      <c r="T2">
        <v>46.279879240508301</v>
      </c>
      <c r="U2" t="s">
        <v>30</v>
      </c>
      <c r="V2">
        <v>0.226410360849925</v>
      </c>
      <c r="W2" t="s">
        <v>31</v>
      </c>
      <c r="X2" t="s">
        <v>32</v>
      </c>
      <c r="Y2">
        <v>187.75207545920301</v>
      </c>
      <c r="Z2">
        <f t="shared" ref="Z2:Z33" si="0">T2+N2+Y2</f>
        <v>236.988526839142</v>
      </c>
      <c r="AA2">
        <f t="shared" ref="AA2:AA33" si="1">G2-Z2</f>
        <v>8425.0082655532406</v>
      </c>
      <c r="AB2">
        <f t="shared" ref="AB2:AB33" si="2">AA2/G2</f>
        <v>0.97264042777673598</v>
      </c>
    </row>
    <row r="3" spans="1:28">
      <c r="A3" t="s">
        <v>33</v>
      </c>
      <c r="B3" t="str">
        <f>PROPER(TRIM(Table1[[#This Row],[Product type]]))</f>
        <v>Skincare</v>
      </c>
      <c r="C3" t="s">
        <v>34</v>
      </c>
      <c r="D3">
        <v>14.8435232750843</v>
      </c>
      <c r="E3">
        <v>95</v>
      </c>
      <c r="F3">
        <v>736</v>
      </c>
      <c r="G3">
        <v>7460.9000654458396</v>
      </c>
      <c r="H3" t="s">
        <v>35</v>
      </c>
      <c r="I3">
        <v>53</v>
      </c>
      <c r="J3">
        <v>30</v>
      </c>
      <c r="K3">
        <v>37</v>
      </c>
      <c r="L3">
        <v>2</v>
      </c>
      <c r="M3" t="s">
        <v>36</v>
      </c>
      <c r="N3">
        <v>9.7165747714313095</v>
      </c>
      <c r="O3" t="s">
        <v>28</v>
      </c>
      <c r="P3" t="s">
        <v>29</v>
      </c>
      <c r="Q3">
        <v>23</v>
      </c>
      <c r="R3">
        <v>517</v>
      </c>
      <c r="S3">
        <v>30</v>
      </c>
      <c r="T3">
        <v>33.616768953730002</v>
      </c>
      <c r="U3" t="s">
        <v>30</v>
      </c>
      <c r="V3">
        <v>4.8540680263886999</v>
      </c>
      <c r="W3" t="s">
        <v>31</v>
      </c>
      <c r="X3" t="s">
        <v>32</v>
      </c>
      <c r="Y3">
        <v>503.06557914966902</v>
      </c>
      <c r="Z3">
        <f t="shared" si="0"/>
        <v>546.39892287482996</v>
      </c>
      <c r="AA3">
        <f t="shared" si="1"/>
        <v>6914.50114257101</v>
      </c>
      <c r="AB3">
        <f t="shared" si="2"/>
        <v>0.92676501252102195</v>
      </c>
    </row>
    <row r="4" spans="1:28">
      <c r="A4" t="s">
        <v>24</v>
      </c>
      <c r="B4" t="str">
        <f>PROPER(TRIM(Table1[[#This Row],[Product type]]))</f>
        <v>Haircare</v>
      </c>
      <c r="C4" t="s">
        <v>37</v>
      </c>
      <c r="D4">
        <v>11.319683293090501</v>
      </c>
      <c r="E4">
        <v>34</v>
      </c>
      <c r="F4">
        <v>8</v>
      </c>
      <c r="G4">
        <v>9577.7496258687297</v>
      </c>
      <c r="H4" t="s">
        <v>38</v>
      </c>
      <c r="I4">
        <v>1</v>
      </c>
      <c r="J4">
        <v>10</v>
      </c>
      <c r="K4">
        <v>88</v>
      </c>
      <c r="L4">
        <v>2</v>
      </c>
      <c r="M4" t="s">
        <v>27</v>
      </c>
      <c r="N4">
        <v>8.0544792617321495</v>
      </c>
      <c r="O4" t="s">
        <v>39</v>
      </c>
      <c r="P4" t="s">
        <v>29</v>
      </c>
      <c r="Q4">
        <v>12</v>
      </c>
      <c r="R4">
        <v>971</v>
      </c>
      <c r="S4">
        <v>27</v>
      </c>
      <c r="T4">
        <v>30.6880193482842</v>
      </c>
      <c r="U4" t="s">
        <v>30</v>
      </c>
      <c r="V4">
        <v>4.5805926191992201</v>
      </c>
      <c r="W4" t="s">
        <v>40</v>
      </c>
      <c r="X4" t="s">
        <v>41</v>
      </c>
      <c r="Y4">
        <v>141.920281771519</v>
      </c>
      <c r="Z4">
        <f t="shared" si="0"/>
        <v>180.66278038153499</v>
      </c>
      <c r="AA4">
        <f t="shared" si="1"/>
        <v>9397.0868454871907</v>
      </c>
      <c r="AB4">
        <f t="shared" si="2"/>
        <v>0.98113724126870305</v>
      </c>
    </row>
    <row r="5" spans="1:28">
      <c r="A5" t="s">
        <v>33</v>
      </c>
      <c r="B5" t="str">
        <f>PROPER(TRIM(Table1[[#This Row],[Product type]]))</f>
        <v>Skincare</v>
      </c>
      <c r="C5" t="s">
        <v>42</v>
      </c>
      <c r="D5">
        <v>61.1633430164377</v>
      </c>
      <c r="E5">
        <v>68</v>
      </c>
      <c r="F5">
        <v>83</v>
      </c>
      <c r="G5">
        <v>7766.8364256852301</v>
      </c>
      <c r="H5" t="s">
        <v>26</v>
      </c>
      <c r="I5">
        <v>23</v>
      </c>
      <c r="J5">
        <v>13</v>
      </c>
      <c r="K5">
        <v>59</v>
      </c>
      <c r="L5">
        <v>6</v>
      </c>
      <c r="M5" t="s">
        <v>43</v>
      </c>
      <c r="N5">
        <v>1.7295685635434199</v>
      </c>
      <c r="O5" t="s">
        <v>44</v>
      </c>
      <c r="P5" t="s">
        <v>45</v>
      </c>
      <c r="Q5">
        <v>24</v>
      </c>
      <c r="R5">
        <v>937</v>
      </c>
      <c r="S5">
        <v>18</v>
      </c>
      <c r="T5">
        <v>35.624741397125</v>
      </c>
      <c r="U5" t="s">
        <v>46</v>
      </c>
      <c r="V5">
        <v>4.7466486206477496</v>
      </c>
      <c r="W5" t="s">
        <v>47</v>
      </c>
      <c r="X5" t="s">
        <v>48</v>
      </c>
      <c r="Y5">
        <v>254.776159219286</v>
      </c>
      <c r="Z5">
        <f t="shared" si="0"/>
        <v>292.13046917995399</v>
      </c>
      <c r="AA5">
        <f t="shared" si="1"/>
        <v>7474.7059565052796</v>
      </c>
      <c r="AB5">
        <f t="shared" si="2"/>
        <v>0.96238745698134298</v>
      </c>
    </row>
    <row r="6" spans="1:28">
      <c r="A6" t="s">
        <v>33</v>
      </c>
      <c r="B6" t="str">
        <f>PROPER(TRIM(Table1[[#This Row],[Product type]]))</f>
        <v>Skincare</v>
      </c>
      <c r="C6" t="s">
        <v>49</v>
      </c>
      <c r="D6">
        <v>4.8054960363458896</v>
      </c>
      <c r="E6">
        <v>26</v>
      </c>
      <c r="F6">
        <v>871</v>
      </c>
      <c r="G6">
        <v>2686.50515156744</v>
      </c>
      <c r="H6" t="s">
        <v>26</v>
      </c>
      <c r="I6">
        <v>5</v>
      </c>
      <c r="J6">
        <v>3</v>
      </c>
      <c r="K6">
        <v>56</v>
      </c>
      <c r="L6">
        <v>8</v>
      </c>
      <c r="M6" t="s">
        <v>36</v>
      </c>
      <c r="N6">
        <v>3.8905479158706702</v>
      </c>
      <c r="O6" t="s">
        <v>39</v>
      </c>
      <c r="P6" t="s">
        <v>50</v>
      </c>
      <c r="Q6">
        <v>5</v>
      </c>
      <c r="R6">
        <v>414</v>
      </c>
      <c r="S6">
        <v>3</v>
      </c>
      <c r="T6">
        <v>92.065160598712794</v>
      </c>
      <c r="U6" t="s">
        <v>46</v>
      </c>
      <c r="V6">
        <v>3.1455795228330001</v>
      </c>
      <c r="W6" t="s">
        <v>40</v>
      </c>
      <c r="X6" t="s">
        <v>48</v>
      </c>
      <c r="Y6">
        <v>923.44063171192204</v>
      </c>
      <c r="Z6">
        <f t="shared" si="0"/>
        <v>1019.39634022651</v>
      </c>
      <c r="AA6">
        <f t="shared" si="1"/>
        <v>1667.1088113409301</v>
      </c>
      <c r="AB6">
        <f t="shared" si="2"/>
        <v>0.6205492702548</v>
      </c>
    </row>
    <row r="7" spans="1:28">
      <c r="A7" t="s">
        <v>24</v>
      </c>
      <c r="B7" t="str">
        <f>PROPER(TRIM(Table1[[#This Row],[Product type]]))</f>
        <v>Haircare</v>
      </c>
      <c r="C7" t="s">
        <v>51</v>
      </c>
      <c r="D7">
        <v>1.6999760138659299</v>
      </c>
      <c r="E7">
        <v>87</v>
      </c>
      <c r="F7">
        <v>147</v>
      </c>
      <c r="G7">
        <v>2828.3487459757498</v>
      </c>
      <c r="H7" t="s">
        <v>26</v>
      </c>
      <c r="I7">
        <v>90</v>
      </c>
      <c r="J7">
        <v>27</v>
      </c>
      <c r="K7">
        <v>66</v>
      </c>
      <c r="L7">
        <v>3</v>
      </c>
      <c r="M7" t="s">
        <v>27</v>
      </c>
      <c r="N7">
        <v>4.4440988643822896</v>
      </c>
      <c r="O7" t="s">
        <v>52</v>
      </c>
      <c r="P7" t="s">
        <v>53</v>
      </c>
      <c r="Q7">
        <v>10</v>
      </c>
      <c r="R7">
        <v>104</v>
      </c>
      <c r="S7">
        <v>17</v>
      </c>
      <c r="T7">
        <v>56.766475557431797</v>
      </c>
      <c r="U7" t="s">
        <v>46</v>
      </c>
      <c r="V7">
        <v>2.7791935115711599</v>
      </c>
      <c r="W7" t="s">
        <v>31</v>
      </c>
      <c r="X7" t="s">
        <v>48</v>
      </c>
      <c r="Y7">
        <v>235.461236735537</v>
      </c>
      <c r="Z7">
        <f t="shared" si="0"/>
        <v>296.67181115735099</v>
      </c>
      <c r="AA7">
        <f t="shared" si="1"/>
        <v>2531.6769348183998</v>
      </c>
      <c r="AB7">
        <f t="shared" si="2"/>
        <v>0.89510776859485097</v>
      </c>
    </row>
    <row r="8" spans="1:28">
      <c r="A8" t="s">
        <v>33</v>
      </c>
      <c r="B8" t="str">
        <f>PROPER(TRIM(Table1[[#This Row],[Product type]]))</f>
        <v>Skincare</v>
      </c>
      <c r="C8" t="s">
        <v>54</v>
      </c>
      <c r="D8">
        <v>4.0783328631079403</v>
      </c>
      <c r="E8">
        <v>48</v>
      </c>
      <c r="F8">
        <v>65</v>
      </c>
      <c r="G8">
        <v>7823.4765595317303</v>
      </c>
      <c r="H8" t="s">
        <v>55</v>
      </c>
      <c r="I8">
        <v>11</v>
      </c>
      <c r="J8">
        <v>15</v>
      </c>
      <c r="K8">
        <v>58</v>
      </c>
      <c r="L8">
        <v>8</v>
      </c>
      <c r="M8" t="s">
        <v>43</v>
      </c>
      <c r="N8">
        <v>3.8807633029519999</v>
      </c>
      <c r="O8" t="s">
        <v>28</v>
      </c>
      <c r="P8" t="s">
        <v>45</v>
      </c>
      <c r="Q8">
        <v>14</v>
      </c>
      <c r="R8">
        <v>314</v>
      </c>
      <c r="S8">
        <v>24</v>
      </c>
      <c r="T8">
        <v>1.0850685695870601</v>
      </c>
      <c r="U8" t="s">
        <v>30</v>
      </c>
      <c r="V8">
        <v>1.0009106193041299</v>
      </c>
      <c r="W8" t="s">
        <v>56</v>
      </c>
      <c r="X8" t="s">
        <v>48</v>
      </c>
      <c r="Y8">
        <v>134.36909686103101</v>
      </c>
      <c r="Z8">
        <f t="shared" si="0"/>
        <v>139.33492873357</v>
      </c>
      <c r="AA8">
        <f t="shared" si="1"/>
        <v>7684.1416307981599</v>
      </c>
      <c r="AB8">
        <f t="shared" si="2"/>
        <v>0.982190151951844</v>
      </c>
    </row>
    <row r="9" spans="1:28">
      <c r="A9" t="s">
        <v>57</v>
      </c>
      <c r="B9" t="str">
        <f>PROPER(TRIM(Table1[[#This Row],[Product type]]))</f>
        <v>Cosmetics</v>
      </c>
      <c r="C9" t="s">
        <v>58</v>
      </c>
      <c r="D9">
        <v>42.958384382459997</v>
      </c>
      <c r="E9">
        <v>59</v>
      </c>
      <c r="F9">
        <v>426</v>
      </c>
      <c r="G9">
        <v>8496.1038130898305</v>
      </c>
      <c r="H9" t="s">
        <v>35</v>
      </c>
      <c r="I9">
        <v>93</v>
      </c>
      <c r="J9">
        <v>17</v>
      </c>
      <c r="K9">
        <v>11</v>
      </c>
      <c r="L9">
        <v>1</v>
      </c>
      <c r="M9" t="s">
        <v>27</v>
      </c>
      <c r="N9">
        <v>2.3483387844177801</v>
      </c>
      <c r="O9" t="s">
        <v>52</v>
      </c>
      <c r="P9" t="s">
        <v>53</v>
      </c>
      <c r="Q9">
        <v>22</v>
      </c>
      <c r="R9">
        <v>564</v>
      </c>
      <c r="S9">
        <v>1</v>
      </c>
      <c r="T9">
        <v>99.466108603599096</v>
      </c>
      <c r="U9" t="s">
        <v>46</v>
      </c>
      <c r="V9">
        <v>0.39817718685065001</v>
      </c>
      <c r="W9" t="s">
        <v>31</v>
      </c>
      <c r="X9" t="s">
        <v>41</v>
      </c>
      <c r="Y9">
        <v>802.05631181755803</v>
      </c>
      <c r="Z9">
        <f t="shared" si="0"/>
        <v>903.87075920557504</v>
      </c>
      <c r="AA9">
        <f t="shared" si="1"/>
        <v>7592.2330538842598</v>
      </c>
      <c r="AB9">
        <f t="shared" si="2"/>
        <v>0.89361349871773099</v>
      </c>
    </row>
    <row r="10" spans="1:28">
      <c r="A10" t="s">
        <v>57</v>
      </c>
      <c r="B10" t="str">
        <f>PROPER(TRIM(Table1[[#This Row],[Product type]]))</f>
        <v>Cosmetics</v>
      </c>
      <c r="C10" t="s">
        <v>59</v>
      </c>
      <c r="D10">
        <v>68.717596748527299</v>
      </c>
      <c r="E10">
        <v>78</v>
      </c>
      <c r="F10">
        <v>150</v>
      </c>
      <c r="G10">
        <v>7517.3632106311197</v>
      </c>
      <c r="H10" t="s">
        <v>35</v>
      </c>
      <c r="I10">
        <v>5</v>
      </c>
      <c r="J10">
        <v>10</v>
      </c>
      <c r="K10">
        <v>15</v>
      </c>
      <c r="L10">
        <v>7</v>
      </c>
      <c r="M10" t="s">
        <v>43</v>
      </c>
      <c r="N10">
        <v>3.4047338570830199</v>
      </c>
      <c r="O10" t="s">
        <v>52</v>
      </c>
      <c r="P10" t="s">
        <v>29</v>
      </c>
      <c r="Q10">
        <v>13</v>
      </c>
      <c r="R10">
        <v>769</v>
      </c>
      <c r="S10">
        <v>8</v>
      </c>
      <c r="T10">
        <v>11.423027139565599</v>
      </c>
      <c r="U10" t="s">
        <v>30</v>
      </c>
      <c r="V10">
        <v>2.7098626911099601</v>
      </c>
      <c r="W10" t="s">
        <v>56</v>
      </c>
      <c r="X10" t="s">
        <v>32</v>
      </c>
      <c r="Y10">
        <v>505.55713422546398</v>
      </c>
      <c r="Z10">
        <f t="shared" si="0"/>
        <v>520.38489522211296</v>
      </c>
      <c r="AA10">
        <f t="shared" si="1"/>
        <v>6996.9783154090101</v>
      </c>
      <c r="AB10">
        <f t="shared" si="2"/>
        <v>0.93077560832950301</v>
      </c>
    </row>
    <row r="11" spans="1:28">
      <c r="A11" t="s">
        <v>33</v>
      </c>
      <c r="B11" t="str">
        <f>PROPER(TRIM(Table1[[#This Row],[Product type]]))</f>
        <v>Skincare</v>
      </c>
      <c r="C11" t="s">
        <v>60</v>
      </c>
      <c r="D11">
        <v>64.0157329412785</v>
      </c>
      <c r="E11">
        <v>35</v>
      </c>
      <c r="F11">
        <v>980</v>
      </c>
      <c r="G11">
        <v>4971.1459875855498</v>
      </c>
      <c r="H11" t="s">
        <v>38</v>
      </c>
      <c r="I11">
        <v>14</v>
      </c>
      <c r="J11">
        <v>27</v>
      </c>
      <c r="K11">
        <v>83</v>
      </c>
      <c r="L11">
        <v>1</v>
      </c>
      <c r="M11" t="s">
        <v>36</v>
      </c>
      <c r="N11">
        <v>7.1666452910482104</v>
      </c>
      <c r="O11" t="s">
        <v>61</v>
      </c>
      <c r="P11" t="s">
        <v>62</v>
      </c>
      <c r="Q11">
        <v>29</v>
      </c>
      <c r="R11">
        <v>963</v>
      </c>
      <c r="S11">
        <v>23</v>
      </c>
      <c r="T11">
        <v>47.957601634951502</v>
      </c>
      <c r="U11" t="s">
        <v>30</v>
      </c>
      <c r="V11">
        <v>3.8446144787675798</v>
      </c>
      <c r="W11" t="s">
        <v>47</v>
      </c>
      <c r="X11" t="s">
        <v>32</v>
      </c>
      <c r="Y11">
        <v>995.92946149864099</v>
      </c>
      <c r="Z11">
        <f t="shared" si="0"/>
        <v>1051.05370842464</v>
      </c>
      <c r="AA11">
        <f t="shared" si="1"/>
        <v>3920.09227916091</v>
      </c>
      <c r="AB11">
        <f t="shared" si="2"/>
        <v>0.78856913254017502</v>
      </c>
    </row>
    <row r="12" spans="1:28">
      <c r="A12" t="s">
        <v>33</v>
      </c>
      <c r="B12" t="str">
        <f>PROPER(TRIM(Table1[[#This Row],[Product type]]))</f>
        <v>Skincare</v>
      </c>
      <c r="C12" t="s">
        <v>63</v>
      </c>
      <c r="D12">
        <v>15.707795681912099</v>
      </c>
      <c r="E12">
        <v>11</v>
      </c>
      <c r="F12">
        <v>996</v>
      </c>
      <c r="G12">
        <v>2330.9658020919401</v>
      </c>
      <c r="H12" t="s">
        <v>26</v>
      </c>
      <c r="I12">
        <v>51</v>
      </c>
      <c r="J12">
        <v>13</v>
      </c>
      <c r="K12">
        <v>80</v>
      </c>
      <c r="L12">
        <v>2</v>
      </c>
      <c r="M12" t="s">
        <v>43</v>
      </c>
      <c r="N12">
        <v>8.6732112112786108</v>
      </c>
      <c r="O12" t="s">
        <v>44</v>
      </c>
      <c r="P12" t="s">
        <v>45</v>
      </c>
      <c r="Q12">
        <v>18</v>
      </c>
      <c r="R12">
        <v>830</v>
      </c>
      <c r="S12">
        <v>5</v>
      </c>
      <c r="T12">
        <v>96.527352785310896</v>
      </c>
      <c r="U12" t="s">
        <v>64</v>
      </c>
      <c r="V12">
        <v>1.72731392835594</v>
      </c>
      <c r="W12" t="s">
        <v>31</v>
      </c>
      <c r="X12" t="s">
        <v>32</v>
      </c>
      <c r="Y12">
        <v>806.10317770292295</v>
      </c>
      <c r="Z12">
        <f t="shared" si="0"/>
        <v>911.30374169951199</v>
      </c>
      <c r="AA12">
        <f t="shared" si="1"/>
        <v>1419.66206039243</v>
      </c>
      <c r="AB12">
        <f t="shared" si="2"/>
        <v>0.60904456818643304</v>
      </c>
    </row>
    <row r="13" spans="1:28">
      <c r="A13" t="s">
        <v>33</v>
      </c>
      <c r="B13" t="str">
        <f>PROPER(TRIM(Table1[[#This Row],[Product type]]))</f>
        <v>Skincare</v>
      </c>
      <c r="C13" t="s">
        <v>65</v>
      </c>
      <c r="D13">
        <v>90.635459982288594</v>
      </c>
      <c r="E13">
        <v>95</v>
      </c>
      <c r="F13">
        <v>960</v>
      </c>
      <c r="G13">
        <v>6099.9441155814502</v>
      </c>
      <c r="H13" t="s">
        <v>35</v>
      </c>
      <c r="I13">
        <v>46</v>
      </c>
      <c r="J13">
        <v>23</v>
      </c>
      <c r="K13">
        <v>60</v>
      </c>
      <c r="L13">
        <v>1</v>
      </c>
      <c r="M13" t="s">
        <v>36</v>
      </c>
      <c r="N13">
        <v>4.5239431243166601</v>
      </c>
      <c r="O13" t="s">
        <v>61</v>
      </c>
      <c r="P13" t="s">
        <v>45</v>
      </c>
      <c r="Q13">
        <v>28</v>
      </c>
      <c r="R13">
        <v>362</v>
      </c>
      <c r="S13">
        <v>11</v>
      </c>
      <c r="T13">
        <v>27.5923630866636</v>
      </c>
      <c r="U13" t="s">
        <v>30</v>
      </c>
      <c r="V13">
        <v>2.1169821372994301E-2</v>
      </c>
      <c r="W13" t="s">
        <v>40</v>
      </c>
      <c r="X13" t="s">
        <v>48</v>
      </c>
      <c r="Y13">
        <v>126.72303340940699</v>
      </c>
      <c r="Z13">
        <f t="shared" si="0"/>
        <v>158.83933962038699</v>
      </c>
      <c r="AA13">
        <f t="shared" si="1"/>
        <v>5941.1047759610601</v>
      </c>
      <c r="AB13">
        <f t="shared" si="2"/>
        <v>0.97396052543913403</v>
      </c>
    </row>
    <row r="14" spans="1:28">
      <c r="A14" t="s">
        <v>24</v>
      </c>
      <c r="B14" t="str">
        <f>PROPER(TRIM(Table1[[#This Row],[Product type]]))</f>
        <v>Haircare</v>
      </c>
      <c r="C14" t="s">
        <v>66</v>
      </c>
      <c r="D14">
        <v>71.213389075359999</v>
      </c>
      <c r="E14">
        <v>41</v>
      </c>
      <c r="F14">
        <v>336</v>
      </c>
      <c r="G14">
        <v>2873.74144602144</v>
      </c>
      <c r="H14" t="s">
        <v>38</v>
      </c>
      <c r="I14">
        <v>100</v>
      </c>
      <c r="J14">
        <v>30</v>
      </c>
      <c r="K14">
        <v>85</v>
      </c>
      <c r="L14">
        <v>4</v>
      </c>
      <c r="M14" t="s">
        <v>36</v>
      </c>
      <c r="N14">
        <v>1.32527401018452</v>
      </c>
      <c r="O14" t="s">
        <v>52</v>
      </c>
      <c r="P14" t="s">
        <v>45</v>
      </c>
      <c r="Q14">
        <v>3</v>
      </c>
      <c r="R14">
        <v>563</v>
      </c>
      <c r="S14">
        <v>3</v>
      </c>
      <c r="T14">
        <v>32.321286213424003</v>
      </c>
      <c r="U14" t="s">
        <v>46</v>
      </c>
      <c r="V14">
        <v>2.1612537475559099</v>
      </c>
      <c r="W14" t="s">
        <v>31</v>
      </c>
      <c r="X14" t="s">
        <v>32</v>
      </c>
      <c r="Y14">
        <v>402.96878907376998</v>
      </c>
      <c r="Z14">
        <f t="shared" si="0"/>
        <v>436.61534929737797</v>
      </c>
      <c r="AA14">
        <f t="shared" si="1"/>
        <v>2437.1260967240601</v>
      </c>
      <c r="AB14">
        <f t="shared" si="2"/>
        <v>0.84806728180022894</v>
      </c>
    </row>
    <row r="15" spans="1:28">
      <c r="A15" t="s">
        <v>33</v>
      </c>
      <c r="B15" t="str">
        <f>PROPER(TRIM(Table1[[#This Row],[Product type]]))</f>
        <v>Skincare</v>
      </c>
      <c r="C15" t="s">
        <v>67</v>
      </c>
      <c r="D15">
        <v>16.160393317379899</v>
      </c>
      <c r="E15">
        <v>5</v>
      </c>
      <c r="F15">
        <v>249</v>
      </c>
      <c r="G15">
        <v>4052.7384162378598</v>
      </c>
      <c r="H15" t="s">
        <v>55</v>
      </c>
      <c r="I15">
        <v>80</v>
      </c>
      <c r="J15">
        <v>8</v>
      </c>
      <c r="K15">
        <v>48</v>
      </c>
      <c r="L15">
        <v>9</v>
      </c>
      <c r="M15" t="s">
        <v>36</v>
      </c>
      <c r="N15">
        <v>9.5372830611083295</v>
      </c>
      <c r="O15" t="s">
        <v>44</v>
      </c>
      <c r="P15" t="s">
        <v>53</v>
      </c>
      <c r="Q15">
        <v>23</v>
      </c>
      <c r="R15">
        <v>173</v>
      </c>
      <c r="S15">
        <v>10</v>
      </c>
      <c r="T15">
        <v>97.829050110173199</v>
      </c>
      <c r="U15" t="s">
        <v>30</v>
      </c>
      <c r="V15">
        <v>1.63107423007153</v>
      </c>
      <c r="W15" t="s">
        <v>31</v>
      </c>
      <c r="X15" t="s">
        <v>32</v>
      </c>
      <c r="Y15">
        <v>547.24100516096803</v>
      </c>
      <c r="Z15">
        <f t="shared" si="0"/>
        <v>654.60733833225004</v>
      </c>
      <c r="AA15">
        <f t="shared" si="1"/>
        <v>3398.1310779056098</v>
      </c>
      <c r="AB15">
        <f t="shared" si="2"/>
        <v>0.83847777203940099</v>
      </c>
    </row>
    <row r="16" spans="1:28">
      <c r="A16" t="s">
        <v>33</v>
      </c>
      <c r="B16" t="str">
        <f>PROPER(TRIM(Table1[[#This Row],[Product type]]))</f>
        <v>Skincare</v>
      </c>
      <c r="C16" t="s">
        <v>68</v>
      </c>
      <c r="D16">
        <v>99.171328638624104</v>
      </c>
      <c r="E16">
        <v>26</v>
      </c>
      <c r="F16">
        <v>562</v>
      </c>
      <c r="G16">
        <v>8653.5709264697998</v>
      </c>
      <c r="H16" t="s">
        <v>26</v>
      </c>
      <c r="I16">
        <v>54</v>
      </c>
      <c r="J16">
        <v>29</v>
      </c>
      <c r="K16">
        <v>78</v>
      </c>
      <c r="L16">
        <v>5</v>
      </c>
      <c r="M16" t="s">
        <v>27</v>
      </c>
      <c r="N16">
        <v>2.0397701894493299</v>
      </c>
      <c r="O16" t="s">
        <v>39</v>
      </c>
      <c r="P16" t="s">
        <v>45</v>
      </c>
      <c r="Q16">
        <v>25</v>
      </c>
      <c r="R16">
        <v>558</v>
      </c>
      <c r="S16">
        <v>14</v>
      </c>
      <c r="T16">
        <v>5.7914366298629796</v>
      </c>
      <c r="U16" t="s">
        <v>30</v>
      </c>
      <c r="V16">
        <v>0.100682851565093</v>
      </c>
      <c r="W16" t="s">
        <v>40</v>
      </c>
      <c r="X16" t="s">
        <v>32</v>
      </c>
      <c r="Y16">
        <v>929.23528996088896</v>
      </c>
      <c r="Z16">
        <f t="shared" si="0"/>
        <v>937.06649678020096</v>
      </c>
      <c r="AA16">
        <f t="shared" si="1"/>
        <v>7716.5044296896003</v>
      </c>
      <c r="AB16">
        <f t="shared" si="2"/>
        <v>0.89171331641670903</v>
      </c>
    </row>
    <row r="17" spans="1:28">
      <c r="A17" t="s">
        <v>33</v>
      </c>
      <c r="B17" t="str">
        <f>PROPER(TRIM(Table1[[#This Row],[Product type]]))</f>
        <v>Skincare</v>
      </c>
      <c r="C17" t="s">
        <v>69</v>
      </c>
      <c r="D17">
        <v>36.989244928626903</v>
      </c>
      <c r="E17">
        <v>94</v>
      </c>
      <c r="F17">
        <v>469</v>
      </c>
      <c r="G17">
        <v>5442.0867853976697</v>
      </c>
      <c r="H17" t="s">
        <v>26</v>
      </c>
      <c r="I17">
        <v>9</v>
      </c>
      <c r="J17">
        <v>8</v>
      </c>
      <c r="K17">
        <v>69</v>
      </c>
      <c r="L17">
        <v>7</v>
      </c>
      <c r="M17" t="s">
        <v>27</v>
      </c>
      <c r="N17">
        <v>2.4220397232752</v>
      </c>
      <c r="O17" t="s">
        <v>39</v>
      </c>
      <c r="P17" t="s">
        <v>53</v>
      </c>
      <c r="Q17">
        <v>14</v>
      </c>
      <c r="R17">
        <v>580</v>
      </c>
      <c r="S17">
        <v>7</v>
      </c>
      <c r="T17">
        <v>97.121281751474299</v>
      </c>
      <c r="U17" t="s">
        <v>64</v>
      </c>
      <c r="V17">
        <v>2.2644057611985402</v>
      </c>
      <c r="W17" t="s">
        <v>56</v>
      </c>
      <c r="X17" t="s">
        <v>32</v>
      </c>
      <c r="Y17">
        <v>127.861800001625</v>
      </c>
      <c r="Z17">
        <f t="shared" si="0"/>
        <v>227.405121476375</v>
      </c>
      <c r="AA17">
        <f t="shared" si="1"/>
        <v>5214.6816639212902</v>
      </c>
      <c r="AB17">
        <f t="shared" si="2"/>
        <v>0.95821361723106802</v>
      </c>
    </row>
    <row r="18" spans="1:28">
      <c r="A18" t="s">
        <v>33</v>
      </c>
      <c r="B18" t="str">
        <f>PROPER(TRIM(Table1[[#This Row],[Product type]]))</f>
        <v>Skincare</v>
      </c>
      <c r="C18" t="s">
        <v>70</v>
      </c>
      <c r="D18">
        <v>7.5471721097912701</v>
      </c>
      <c r="E18">
        <v>74</v>
      </c>
      <c r="F18">
        <v>280</v>
      </c>
      <c r="G18">
        <v>6453.7979681762799</v>
      </c>
      <c r="H18" t="s">
        <v>35</v>
      </c>
      <c r="I18">
        <v>2</v>
      </c>
      <c r="J18">
        <v>5</v>
      </c>
      <c r="K18">
        <v>78</v>
      </c>
      <c r="L18">
        <v>1</v>
      </c>
      <c r="M18" t="s">
        <v>27</v>
      </c>
      <c r="N18">
        <v>4.1913245857054999</v>
      </c>
      <c r="O18" t="s">
        <v>39</v>
      </c>
      <c r="P18" t="s">
        <v>53</v>
      </c>
      <c r="Q18">
        <v>3</v>
      </c>
      <c r="R18">
        <v>399</v>
      </c>
      <c r="S18">
        <v>21</v>
      </c>
      <c r="T18">
        <v>77.106342497849994</v>
      </c>
      <c r="U18" t="s">
        <v>64</v>
      </c>
      <c r="V18">
        <v>1.01256308925804</v>
      </c>
      <c r="W18" t="s">
        <v>40</v>
      </c>
      <c r="X18" t="s">
        <v>48</v>
      </c>
      <c r="Y18">
        <v>865.52577977123997</v>
      </c>
      <c r="Z18">
        <f t="shared" si="0"/>
        <v>946.82344685479598</v>
      </c>
      <c r="AA18">
        <f t="shared" si="1"/>
        <v>5506.9745213214801</v>
      </c>
      <c r="AB18">
        <f t="shared" si="2"/>
        <v>0.85329205352823401</v>
      </c>
    </row>
    <row r="19" spans="1:28">
      <c r="A19" t="s">
        <v>57</v>
      </c>
      <c r="B19" t="str">
        <f>PROPER(TRIM(Table1[[#This Row],[Product type]]))</f>
        <v>Cosmetics</v>
      </c>
      <c r="C19" t="s">
        <v>71</v>
      </c>
      <c r="D19">
        <v>81.462534369237005</v>
      </c>
      <c r="E19">
        <v>82</v>
      </c>
      <c r="F19">
        <v>126</v>
      </c>
      <c r="G19">
        <v>2629.39643484526</v>
      </c>
      <c r="H19" t="s">
        <v>35</v>
      </c>
      <c r="I19">
        <v>45</v>
      </c>
      <c r="J19">
        <v>17</v>
      </c>
      <c r="K19">
        <v>85</v>
      </c>
      <c r="L19">
        <v>9</v>
      </c>
      <c r="M19" t="s">
        <v>43</v>
      </c>
      <c r="N19">
        <v>3.5854189582323399</v>
      </c>
      <c r="O19" t="s">
        <v>39</v>
      </c>
      <c r="P19" t="s">
        <v>62</v>
      </c>
      <c r="Q19">
        <v>7</v>
      </c>
      <c r="R19">
        <v>453</v>
      </c>
      <c r="S19">
        <v>16</v>
      </c>
      <c r="T19">
        <v>47.679680368355299</v>
      </c>
      <c r="U19" t="s">
        <v>46</v>
      </c>
      <c r="V19">
        <v>0.102020754918176</v>
      </c>
      <c r="W19" t="s">
        <v>40</v>
      </c>
      <c r="X19" t="s">
        <v>41</v>
      </c>
      <c r="Y19">
        <v>670.93439079241</v>
      </c>
      <c r="Z19">
        <f t="shared" si="0"/>
        <v>722.19949011899803</v>
      </c>
      <c r="AA19">
        <f t="shared" si="1"/>
        <v>1907.19694472626</v>
      </c>
      <c r="AB19">
        <f t="shared" si="2"/>
        <v>0.72533640019121004</v>
      </c>
    </row>
    <row r="20" spans="1:28">
      <c r="A20" t="s">
        <v>24</v>
      </c>
      <c r="B20" t="str">
        <f>PROPER(TRIM(Table1[[#This Row],[Product type]]))</f>
        <v>Haircare</v>
      </c>
      <c r="C20" t="s">
        <v>72</v>
      </c>
      <c r="D20">
        <v>36.4436277704609</v>
      </c>
      <c r="E20">
        <v>23</v>
      </c>
      <c r="F20">
        <v>620</v>
      </c>
      <c r="G20">
        <v>9364.6735050761708</v>
      </c>
      <c r="H20" t="s">
        <v>38</v>
      </c>
      <c r="I20">
        <v>10</v>
      </c>
      <c r="J20">
        <v>10</v>
      </c>
      <c r="K20">
        <v>46</v>
      </c>
      <c r="L20">
        <v>8</v>
      </c>
      <c r="M20" t="s">
        <v>43</v>
      </c>
      <c r="N20">
        <v>4.3392247141107001</v>
      </c>
      <c r="O20" t="s">
        <v>61</v>
      </c>
      <c r="P20" t="s">
        <v>45</v>
      </c>
      <c r="Q20">
        <v>18</v>
      </c>
      <c r="R20">
        <v>374</v>
      </c>
      <c r="S20">
        <v>17</v>
      </c>
      <c r="T20">
        <v>27.107980854843898</v>
      </c>
      <c r="U20" t="s">
        <v>30</v>
      </c>
      <c r="V20">
        <v>2.2319391107292601</v>
      </c>
      <c r="W20" t="s">
        <v>56</v>
      </c>
      <c r="X20" t="s">
        <v>48</v>
      </c>
      <c r="Y20">
        <v>593.48025872065102</v>
      </c>
      <c r="Z20">
        <f t="shared" si="0"/>
        <v>624.92746428960595</v>
      </c>
      <c r="AA20">
        <f t="shared" si="1"/>
        <v>8739.7460407865692</v>
      </c>
      <c r="AB20">
        <f t="shared" si="2"/>
        <v>0.933267565179837</v>
      </c>
    </row>
    <row r="21" spans="1:28">
      <c r="A21" t="s">
        <v>33</v>
      </c>
      <c r="B21" t="str">
        <f>PROPER(TRIM(Table1[[#This Row],[Product type]]))</f>
        <v>Skincare</v>
      </c>
      <c r="C21" t="s">
        <v>73</v>
      </c>
      <c r="D21">
        <v>51.123870087964697</v>
      </c>
      <c r="E21">
        <v>100</v>
      </c>
      <c r="F21">
        <v>187</v>
      </c>
      <c r="G21">
        <v>2553.4955849912099</v>
      </c>
      <c r="H21" t="s">
        <v>38</v>
      </c>
      <c r="I21">
        <v>48</v>
      </c>
      <c r="J21">
        <v>11</v>
      </c>
      <c r="K21">
        <v>94</v>
      </c>
      <c r="L21">
        <v>3</v>
      </c>
      <c r="M21" t="s">
        <v>36</v>
      </c>
      <c r="N21">
        <v>4.7426358828418698</v>
      </c>
      <c r="O21" t="s">
        <v>52</v>
      </c>
      <c r="P21" t="s">
        <v>62</v>
      </c>
      <c r="Q21">
        <v>20</v>
      </c>
      <c r="R21">
        <v>694</v>
      </c>
      <c r="S21">
        <v>16</v>
      </c>
      <c r="T21">
        <v>82.373320587990193</v>
      </c>
      <c r="U21" t="s">
        <v>46</v>
      </c>
      <c r="V21">
        <v>3.64645086541702</v>
      </c>
      <c r="W21" t="s">
        <v>31</v>
      </c>
      <c r="X21" t="s">
        <v>41</v>
      </c>
      <c r="Y21">
        <v>477.30763109090299</v>
      </c>
      <c r="Z21">
        <f t="shared" si="0"/>
        <v>564.42358756173496</v>
      </c>
      <c r="AA21">
        <f t="shared" si="1"/>
        <v>1989.07199742947</v>
      </c>
      <c r="AB21">
        <f t="shared" si="2"/>
        <v>0.77896042159646905</v>
      </c>
    </row>
    <row r="22" spans="1:28">
      <c r="A22" t="s">
        <v>33</v>
      </c>
      <c r="B22" t="str">
        <f>PROPER(TRIM(Table1[[#This Row],[Product type]]))</f>
        <v>Skincare</v>
      </c>
      <c r="C22" t="s">
        <v>74</v>
      </c>
      <c r="D22">
        <v>96.341072439963298</v>
      </c>
      <c r="E22">
        <v>22</v>
      </c>
      <c r="F22">
        <v>320</v>
      </c>
      <c r="G22">
        <v>8128.0276968511898</v>
      </c>
      <c r="H22" t="s">
        <v>38</v>
      </c>
      <c r="I22">
        <v>27</v>
      </c>
      <c r="J22">
        <v>12</v>
      </c>
      <c r="K22">
        <v>68</v>
      </c>
      <c r="L22">
        <v>6</v>
      </c>
      <c r="M22" t="s">
        <v>36</v>
      </c>
      <c r="N22">
        <v>8.8783346509268402</v>
      </c>
      <c r="O22" t="s">
        <v>39</v>
      </c>
      <c r="P22" t="s">
        <v>62</v>
      </c>
      <c r="Q22">
        <v>29</v>
      </c>
      <c r="R22">
        <v>309</v>
      </c>
      <c r="S22">
        <v>6</v>
      </c>
      <c r="T22">
        <v>65.686259608488598</v>
      </c>
      <c r="U22" t="s">
        <v>64</v>
      </c>
      <c r="V22">
        <v>4.2314165735345304</v>
      </c>
      <c r="W22" t="s">
        <v>40</v>
      </c>
      <c r="X22" t="s">
        <v>32</v>
      </c>
      <c r="Y22">
        <v>493.871215316205</v>
      </c>
      <c r="Z22">
        <f t="shared" si="0"/>
        <v>568.43580957562006</v>
      </c>
      <c r="AA22">
        <f t="shared" si="1"/>
        <v>7559.5918872755701</v>
      </c>
      <c r="AB22">
        <f t="shared" si="2"/>
        <v>0.93006473024251202</v>
      </c>
    </row>
    <row r="23" spans="1:28">
      <c r="A23" t="s">
        <v>57</v>
      </c>
      <c r="B23" t="str">
        <f>PROPER(TRIM(Table1[[#This Row],[Product type]]))</f>
        <v>Cosmetics</v>
      </c>
      <c r="C23" t="s">
        <v>75</v>
      </c>
      <c r="D23">
        <v>84.893868984950799</v>
      </c>
      <c r="E23">
        <v>60</v>
      </c>
      <c r="F23">
        <v>601</v>
      </c>
      <c r="G23">
        <v>7087.0526963574302</v>
      </c>
      <c r="H23" t="s">
        <v>38</v>
      </c>
      <c r="I23">
        <v>69</v>
      </c>
      <c r="J23">
        <v>25</v>
      </c>
      <c r="K23">
        <v>7</v>
      </c>
      <c r="L23">
        <v>6</v>
      </c>
      <c r="M23" t="s">
        <v>27</v>
      </c>
      <c r="N23">
        <v>6.0378837692182898</v>
      </c>
      <c r="O23" t="s">
        <v>44</v>
      </c>
      <c r="P23" t="s">
        <v>62</v>
      </c>
      <c r="Q23">
        <v>19</v>
      </c>
      <c r="R23">
        <v>791</v>
      </c>
      <c r="S23">
        <v>4</v>
      </c>
      <c r="T23">
        <v>61.735728954160898</v>
      </c>
      <c r="U23" t="s">
        <v>30</v>
      </c>
      <c r="V23">
        <v>1.8607567631014899E-2</v>
      </c>
      <c r="W23" t="s">
        <v>40</v>
      </c>
      <c r="X23" t="s">
        <v>41</v>
      </c>
      <c r="Y23">
        <v>523.36091472015801</v>
      </c>
      <c r="Z23">
        <f t="shared" si="0"/>
        <v>591.13452744353697</v>
      </c>
      <c r="AA23">
        <f t="shared" si="1"/>
        <v>6495.9181689138904</v>
      </c>
      <c r="AB23">
        <f t="shared" si="2"/>
        <v>0.91658951149786605</v>
      </c>
    </row>
    <row r="24" spans="1:28">
      <c r="A24" t="s">
        <v>24</v>
      </c>
      <c r="B24" t="str">
        <f>PROPER(TRIM(Table1[[#This Row],[Product type]]))</f>
        <v>Haircare</v>
      </c>
      <c r="C24" t="s">
        <v>76</v>
      </c>
      <c r="D24">
        <v>27.679780886501899</v>
      </c>
      <c r="E24">
        <v>55</v>
      </c>
      <c r="F24">
        <v>884</v>
      </c>
      <c r="G24">
        <v>2390.8078665561702</v>
      </c>
      <c r="H24" t="s">
        <v>38</v>
      </c>
      <c r="I24">
        <v>71</v>
      </c>
      <c r="J24">
        <v>1</v>
      </c>
      <c r="K24">
        <v>63</v>
      </c>
      <c r="L24">
        <v>10</v>
      </c>
      <c r="M24" t="s">
        <v>36</v>
      </c>
      <c r="N24">
        <v>9.5676489209230393</v>
      </c>
      <c r="O24" t="s">
        <v>52</v>
      </c>
      <c r="P24" t="s">
        <v>45</v>
      </c>
      <c r="Q24">
        <v>22</v>
      </c>
      <c r="R24">
        <v>780</v>
      </c>
      <c r="S24">
        <v>28</v>
      </c>
      <c r="T24">
        <v>50.120839612977299</v>
      </c>
      <c r="U24" t="s">
        <v>46</v>
      </c>
      <c r="V24">
        <v>2.5912754732111098</v>
      </c>
      <c r="W24" t="s">
        <v>47</v>
      </c>
      <c r="X24" t="s">
        <v>41</v>
      </c>
      <c r="Y24">
        <v>205.57199582694699</v>
      </c>
      <c r="Z24">
        <f t="shared" si="0"/>
        <v>265.26048436084699</v>
      </c>
      <c r="AA24">
        <f t="shared" si="1"/>
        <v>2125.5473821953201</v>
      </c>
      <c r="AB24">
        <f t="shared" si="2"/>
        <v>0.88904985295077699</v>
      </c>
    </row>
    <row r="25" spans="1:28">
      <c r="A25" t="s">
        <v>57</v>
      </c>
      <c r="B25" t="str">
        <f>PROPER(TRIM(Table1[[#This Row],[Product type]]))</f>
        <v>Cosmetics</v>
      </c>
      <c r="C25" t="s">
        <v>77</v>
      </c>
      <c r="D25">
        <v>4.3243411858641601</v>
      </c>
      <c r="E25">
        <v>30</v>
      </c>
      <c r="F25">
        <v>391</v>
      </c>
      <c r="G25">
        <v>8858.3675710114803</v>
      </c>
      <c r="H25" t="s">
        <v>38</v>
      </c>
      <c r="I25">
        <v>84</v>
      </c>
      <c r="J25">
        <v>5</v>
      </c>
      <c r="K25">
        <v>29</v>
      </c>
      <c r="L25">
        <v>7</v>
      </c>
      <c r="M25" t="s">
        <v>36</v>
      </c>
      <c r="N25">
        <v>2.92485760114555</v>
      </c>
      <c r="O25" t="s">
        <v>44</v>
      </c>
      <c r="P25" t="s">
        <v>45</v>
      </c>
      <c r="Q25">
        <v>11</v>
      </c>
      <c r="R25">
        <v>568</v>
      </c>
      <c r="S25">
        <v>29</v>
      </c>
      <c r="T25">
        <v>98.6099572427038</v>
      </c>
      <c r="U25" t="s">
        <v>30</v>
      </c>
      <c r="V25">
        <v>1.3422915627227301</v>
      </c>
      <c r="W25" t="s">
        <v>47</v>
      </c>
      <c r="X25" t="s">
        <v>48</v>
      </c>
      <c r="Y25">
        <v>196.329446112412</v>
      </c>
      <c r="Z25">
        <f t="shared" si="0"/>
        <v>297.86426095626098</v>
      </c>
      <c r="AA25">
        <f t="shared" si="1"/>
        <v>8560.5033100552191</v>
      </c>
      <c r="AB25">
        <f t="shared" si="2"/>
        <v>0.96637481357953503</v>
      </c>
    </row>
    <row r="26" spans="1:28">
      <c r="A26" t="s">
        <v>24</v>
      </c>
      <c r="B26" t="str">
        <f>PROPER(TRIM(Table1[[#This Row],[Product type]]))</f>
        <v>Haircare</v>
      </c>
      <c r="C26" t="s">
        <v>78</v>
      </c>
      <c r="D26">
        <v>4.1563083593111001</v>
      </c>
      <c r="E26">
        <v>32</v>
      </c>
      <c r="F26">
        <v>209</v>
      </c>
      <c r="G26">
        <v>9049.0778609398894</v>
      </c>
      <c r="H26" t="s">
        <v>55</v>
      </c>
      <c r="I26">
        <v>4</v>
      </c>
      <c r="J26">
        <v>26</v>
      </c>
      <c r="K26">
        <v>2</v>
      </c>
      <c r="L26">
        <v>8</v>
      </c>
      <c r="M26" t="s">
        <v>43</v>
      </c>
      <c r="N26">
        <v>9.7412916892843597</v>
      </c>
      <c r="O26" t="s">
        <v>61</v>
      </c>
      <c r="P26" t="s">
        <v>53</v>
      </c>
      <c r="Q26">
        <v>28</v>
      </c>
      <c r="R26">
        <v>447</v>
      </c>
      <c r="S26">
        <v>3</v>
      </c>
      <c r="T26">
        <v>40.382359702924802</v>
      </c>
      <c r="U26" t="s">
        <v>30</v>
      </c>
      <c r="V26">
        <v>3.69131029262872</v>
      </c>
      <c r="W26" t="s">
        <v>40</v>
      </c>
      <c r="X26" t="s">
        <v>48</v>
      </c>
      <c r="Y26">
        <v>758.72477260293795</v>
      </c>
      <c r="Z26">
        <f t="shared" si="0"/>
        <v>808.84842399514696</v>
      </c>
      <c r="AA26">
        <f t="shared" si="1"/>
        <v>8240.2294369447409</v>
      </c>
      <c r="AB26">
        <f t="shared" si="2"/>
        <v>0.91061537579574603</v>
      </c>
    </row>
    <row r="27" spans="1:28">
      <c r="A27" t="s">
        <v>24</v>
      </c>
      <c r="B27" t="str">
        <f>PROPER(TRIM(Table1[[#This Row],[Product type]]))</f>
        <v>Haircare</v>
      </c>
      <c r="C27" t="s">
        <v>79</v>
      </c>
      <c r="D27">
        <v>39.629343985092603</v>
      </c>
      <c r="E27">
        <v>73</v>
      </c>
      <c r="F27">
        <v>142</v>
      </c>
      <c r="G27">
        <v>2174.7770543506499</v>
      </c>
      <c r="H27" t="s">
        <v>55</v>
      </c>
      <c r="I27">
        <v>82</v>
      </c>
      <c r="J27">
        <v>11</v>
      </c>
      <c r="K27">
        <v>52</v>
      </c>
      <c r="L27">
        <v>3</v>
      </c>
      <c r="M27" t="s">
        <v>43</v>
      </c>
      <c r="N27">
        <v>2.2310736812817198</v>
      </c>
      <c r="O27" t="s">
        <v>52</v>
      </c>
      <c r="P27" t="s">
        <v>45</v>
      </c>
      <c r="Q27">
        <v>19</v>
      </c>
      <c r="R27">
        <v>934</v>
      </c>
      <c r="S27">
        <v>23</v>
      </c>
      <c r="T27">
        <v>78.280383118415301</v>
      </c>
      <c r="U27" t="s">
        <v>30</v>
      </c>
      <c r="V27">
        <v>3.79723121711418</v>
      </c>
      <c r="W27" t="s">
        <v>31</v>
      </c>
      <c r="X27" t="s">
        <v>32</v>
      </c>
      <c r="Y27">
        <v>458.53594573920901</v>
      </c>
      <c r="Z27">
        <f t="shared" si="0"/>
        <v>539.047402538906</v>
      </c>
      <c r="AA27">
        <f t="shared" si="1"/>
        <v>1635.72965181174</v>
      </c>
      <c r="AB27">
        <f t="shared" si="2"/>
        <v>0.75213670685896805</v>
      </c>
    </row>
    <row r="28" spans="1:28">
      <c r="A28" t="s">
        <v>24</v>
      </c>
      <c r="B28" t="str">
        <f>PROPER(TRIM(Table1[[#This Row],[Product type]]))</f>
        <v>Haircare</v>
      </c>
      <c r="C28" t="s">
        <v>80</v>
      </c>
      <c r="D28">
        <v>97.446946617892806</v>
      </c>
      <c r="E28">
        <v>9</v>
      </c>
      <c r="F28">
        <v>353</v>
      </c>
      <c r="G28">
        <v>3716.49332589403</v>
      </c>
      <c r="H28" t="s">
        <v>55</v>
      </c>
      <c r="I28">
        <v>59</v>
      </c>
      <c r="J28">
        <v>16</v>
      </c>
      <c r="K28">
        <v>48</v>
      </c>
      <c r="L28">
        <v>4</v>
      </c>
      <c r="M28" t="s">
        <v>27</v>
      </c>
      <c r="N28">
        <v>6.5075486210785503</v>
      </c>
      <c r="O28" t="s">
        <v>61</v>
      </c>
      <c r="P28" t="s">
        <v>53</v>
      </c>
      <c r="Q28">
        <v>26</v>
      </c>
      <c r="R28">
        <v>171</v>
      </c>
      <c r="S28">
        <v>4</v>
      </c>
      <c r="T28">
        <v>15.972229757181699</v>
      </c>
      <c r="U28" t="s">
        <v>64</v>
      </c>
      <c r="V28">
        <v>2.1193197367249201</v>
      </c>
      <c r="W28" t="s">
        <v>47</v>
      </c>
      <c r="X28" t="s">
        <v>48</v>
      </c>
      <c r="Y28">
        <v>617.86691645837698</v>
      </c>
      <c r="Z28">
        <f t="shared" si="0"/>
        <v>640.34669483663697</v>
      </c>
      <c r="AA28">
        <f t="shared" si="1"/>
        <v>3076.1466310573901</v>
      </c>
      <c r="AB28">
        <f t="shared" si="2"/>
        <v>0.82770137366448904</v>
      </c>
    </row>
    <row r="29" spans="1:28">
      <c r="A29" t="s">
        <v>57</v>
      </c>
      <c r="B29" t="str">
        <f>PROPER(TRIM(Table1[[#This Row],[Product type]]))</f>
        <v>Cosmetics</v>
      </c>
      <c r="C29" t="s">
        <v>81</v>
      </c>
      <c r="D29">
        <v>92.557360812401996</v>
      </c>
      <c r="E29">
        <v>42</v>
      </c>
      <c r="F29">
        <v>352</v>
      </c>
      <c r="G29">
        <v>2686.4572235759802</v>
      </c>
      <c r="H29" t="s">
        <v>38</v>
      </c>
      <c r="I29">
        <v>47</v>
      </c>
      <c r="J29">
        <v>9</v>
      </c>
      <c r="K29">
        <v>62</v>
      </c>
      <c r="L29">
        <v>8</v>
      </c>
      <c r="M29" t="s">
        <v>43</v>
      </c>
      <c r="N29">
        <v>7.4067509529980704</v>
      </c>
      <c r="O29" t="s">
        <v>44</v>
      </c>
      <c r="P29" t="s">
        <v>29</v>
      </c>
      <c r="Q29">
        <v>25</v>
      </c>
      <c r="R29">
        <v>291</v>
      </c>
      <c r="S29">
        <v>4</v>
      </c>
      <c r="T29">
        <v>10.5282450700421</v>
      </c>
      <c r="U29" t="s">
        <v>46</v>
      </c>
      <c r="V29">
        <v>2.8646678378833701</v>
      </c>
      <c r="W29" t="s">
        <v>56</v>
      </c>
      <c r="X29" t="s">
        <v>32</v>
      </c>
      <c r="Y29">
        <v>762.45918215568304</v>
      </c>
      <c r="Z29">
        <f t="shared" si="0"/>
        <v>780.394178178723</v>
      </c>
      <c r="AA29">
        <f t="shared" si="1"/>
        <v>1906.0630453972601</v>
      </c>
      <c r="AB29">
        <f t="shared" si="2"/>
        <v>0.709508057180255</v>
      </c>
    </row>
    <row r="30" spans="1:28">
      <c r="A30" t="s">
        <v>57</v>
      </c>
      <c r="B30" t="str">
        <f>PROPER(TRIM(Table1[[#This Row],[Product type]]))</f>
        <v>Cosmetics</v>
      </c>
      <c r="C30" t="s">
        <v>82</v>
      </c>
      <c r="D30">
        <v>2.3972747055971402</v>
      </c>
      <c r="E30">
        <v>12</v>
      </c>
      <c r="F30">
        <v>394</v>
      </c>
      <c r="G30">
        <v>6117.3246150839896</v>
      </c>
      <c r="H30" t="s">
        <v>35</v>
      </c>
      <c r="I30">
        <v>48</v>
      </c>
      <c r="J30">
        <v>15</v>
      </c>
      <c r="K30">
        <v>24</v>
      </c>
      <c r="L30">
        <v>4</v>
      </c>
      <c r="M30" t="s">
        <v>27</v>
      </c>
      <c r="N30">
        <v>9.8981405080692202</v>
      </c>
      <c r="O30" t="s">
        <v>39</v>
      </c>
      <c r="P30" t="s">
        <v>29</v>
      </c>
      <c r="Q30">
        <v>13</v>
      </c>
      <c r="R30">
        <v>171</v>
      </c>
      <c r="S30">
        <v>7</v>
      </c>
      <c r="T30">
        <v>59.429381810691503</v>
      </c>
      <c r="U30" t="s">
        <v>46</v>
      </c>
      <c r="V30">
        <v>0.81575707929567198</v>
      </c>
      <c r="W30" t="s">
        <v>40</v>
      </c>
      <c r="X30" t="s">
        <v>48</v>
      </c>
      <c r="Y30">
        <v>123.437027511827</v>
      </c>
      <c r="Z30">
        <f t="shared" si="0"/>
        <v>192.76454983058801</v>
      </c>
      <c r="AA30">
        <f t="shared" si="1"/>
        <v>5924.5600652534004</v>
      </c>
      <c r="AB30">
        <f t="shared" si="2"/>
        <v>0.968488749255635</v>
      </c>
    </row>
    <row r="31" spans="1:28">
      <c r="A31" t="s">
        <v>57</v>
      </c>
      <c r="B31" t="str">
        <f>PROPER(TRIM(Table1[[#This Row],[Product type]]))</f>
        <v>Cosmetics</v>
      </c>
      <c r="C31" t="s">
        <v>83</v>
      </c>
      <c r="D31">
        <v>63.447559185207297</v>
      </c>
      <c r="E31">
        <v>3</v>
      </c>
      <c r="F31">
        <v>253</v>
      </c>
      <c r="G31">
        <v>8318.9031946171708</v>
      </c>
      <c r="H31" t="s">
        <v>35</v>
      </c>
      <c r="I31">
        <v>45</v>
      </c>
      <c r="J31">
        <v>5</v>
      </c>
      <c r="K31">
        <v>67</v>
      </c>
      <c r="L31">
        <v>7</v>
      </c>
      <c r="M31" t="s">
        <v>27</v>
      </c>
      <c r="N31">
        <v>8.1009731453970293</v>
      </c>
      <c r="O31" t="s">
        <v>39</v>
      </c>
      <c r="P31" t="s">
        <v>45</v>
      </c>
      <c r="Q31">
        <v>16</v>
      </c>
      <c r="R31">
        <v>329</v>
      </c>
      <c r="S31">
        <v>7</v>
      </c>
      <c r="T31">
        <v>39.292875586065698</v>
      </c>
      <c r="U31" t="s">
        <v>64</v>
      </c>
      <c r="V31">
        <v>3.8780989365884802</v>
      </c>
      <c r="W31" t="s">
        <v>31</v>
      </c>
      <c r="X31" t="s">
        <v>32</v>
      </c>
      <c r="Y31">
        <v>764.93537594070801</v>
      </c>
      <c r="Z31">
        <f t="shared" si="0"/>
        <v>812.32922467217099</v>
      </c>
      <c r="AA31">
        <f t="shared" si="1"/>
        <v>7506.5739699449996</v>
      </c>
      <c r="AB31">
        <f t="shared" si="2"/>
        <v>0.90235140310350104</v>
      </c>
    </row>
    <row r="32" spans="1:28">
      <c r="A32" t="s">
        <v>24</v>
      </c>
      <c r="B32" t="str">
        <f>PROPER(TRIM(Table1[[#This Row],[Product type]]))</f>
        <v>Haircare</v>
      </c>
      <c r="C32" t="s">
        <v>84</v>
      </c>
      <c r="D32">
        <v>8.0228592105263896</v>
      </c>
      <c r="E32">
        <v>10</v>
      </c>
      <c r="F32">
        <v>327</v>
      </c>
      <c r="G32">
        <v>2766.3423668660798</v>
      </c>
      <c r="H32" t="s">
        <v>55</v>
      </c>
      <c r="I32">
        <v>60</v>
      </c>
      <c r="J32">
        <v>26</v>
      </c>
      <c r="K32">
        <v>35</v>
      </c>
      <c r="L32">
        <v>7</v>
      </c>
      <c r="M32" t="s">
        <v>27</v>
      </c>
      <c r="N32">
        <v>8.9545283153180097</v>
      </c>
      <c r="O32" t="s">
        <v>52</v>
      </c>
      <c r="P32" t="s">
        <v>45</v>
      </c>
      <c r="Q32">
        <v>27</v>
      </c>
      <c r="R32">
        <v>806</v>
      </c>
      <c r="S32">
        <v>30</v>
      </c>
      <c r="T32">
        <v>51.634893400109299</v>
      </c>
      <c r="U32" t="s">
        <v>30</v>
      </c>
      <c r="V32">
        <v>0.96539470535239302</v>
      </c>
      <c r="W32" t="s">
        <v>31</v>
      </c>
      <c r="X32" t="s">
        <v>41</v>
      </c>
      <c r="Y32">
        <v>880.08098824716103</v>
      </c>
      <c r="Z32">
        <f t="shared" si="0"/>
        <v>940.670409962588</v>
      </c>
      <c r="AA32">
        <f t="shared" si="1"/>
        <v>1825.6719569034899</v>
      </c>
      <c r="AB32">
        <f t="shared" si="2"/>
        <v>0.65995878846035605</v>
      </c>
    </row>
    <row r="33" spans="1:28">
      <c r="A33" t="s">
        <v>33</v>
      </c>
      <c r="B33" t="str">
        <f>PROPER(TRIM(Table1[[#This Row],[Product type]]))</f>
        <v>Skincare</v>
      </c>
      <c r="C33" t="s">
        <v>85</v>
      </c>
      <c r="D33">
        <v>50.847393051718697</v>
      </c>
      <c r="E33">
        <v>28</v>
      </c>
      <c r="F33">
        <v>168</v>
      </c>
      <c r="G33">
        <v>9655.1351027193905</v>
      </c>
      <c r="H33" t="s">
        <v>55</v>
      </c>
      <c r="I33">
        <v>6</v>
      </c>
      <c r="J33">
        <v>17</v>
      </c>
      <c r="K33">
        <v>44</v>
      </c>
      <c r="L33">
        <v>4</v>
      </c>
      <c r="M33" t="s">
        <v>27</v>
      </c>
      <c r="N33">
        <v>2.6796609649813998</v>
      </c>
      <c r="O33" t="s">
        <v>28</v>
      </c>
      <c r="P33" t="s">
        <v>62</v>
      </c>
      <c r="Q33">
        <v>24</v>
      </c>
      <c r="R33">
        <v>461</v>
      </c>
      <c r="S33">
        <v>8</v>
      </c>
      <c r="T33">
        <v>60.251145661598002</v>
      </c>
      <c r="U33" t="s">
        <v>30</v>
      </c>
      <c r="V33">
        <v>2.9890000066550702</v>
      </c>
      <c r="W33" t="s">
        <v>47</v>
      </c>
      <c r="X33" t="s">
        <v>41</v>
      </c>
      <c r="Y33">
        <v>609.379206618426</v>
      </c>
      <c r="Z33">
        <f t="shared" si="0"/>
        <v>672.31001324500505</v>
      </c>
      <c r="AA33">
        <f t="shared" si="1"/>
        <v>8982.8250894743906</v>
      </c>
      <c r="AB33">
        <f t="shared" si="2"/>
        <v>0.93036762240068005</v>
      </c>
    </row>
    <row r="34" spans="1:28">
      <c r="A34" t="s">
        <v>33</v>
      </c>
      <c r="B34" t="str">
        <f>PROPER(TRIM(Table1[[#This Row],[Product type]]))</f>
        <v>Skincare</v>
      </c>
      <c r="C34" t="s">
        <v>86</v>
      </c>
      <c r="D34">
        <v>79.209936015656695</v>
      </c>
      <c r="E34">
        <v>43</v>
      </c>
      <c r="F34">
        <v>781</v>
      </c>
      <c r="G34">
        <v>9571.5504873278096</v>
      </c>
      <c r="H34" t="s">
        <v>38</v>
      </c>
      <c r="I34">
        <v>89</v>
      </c>
      <c r="J34">
        <v>13</v>
      </c>
      <c r="K34">
        <v>64</v>
      </c>
      <c r="L34">
        <v>4</v>
      </c>
      <c r="M34" t="s">
        <v>43</v>
      </c>
      <c r="N34">
        <v>6.5991049012385803</v>
      </c>
      <c r="O34" t="s">
        <v>28</v>
      </c>
      <c r="P34" t="s">
        <v>45</v>
      </c>
      <c r="Q34">
        <v>30</v>
      </c>
      <c r="R34">
        <v>737</v>
      </c>
      <c r="S34">
        <v>7</v>
      </c>
      <c r="T34">
        <v>29.6924671537497</v>
      </c>
      <c r="U34" t="s">
        <v>64</v>
      </c>
      <c r="V34">
        <v>1.94603611938611</v>
      </c>
      <c r="W34" t="s">
        <v>31</v>
      </c>
      <c r="X34" t="s">
        <v>48</v>
      </c>
      <c r="Y34">
        <v>761.17390951487698</v>
      </c>
      <c r="Z34">
        <f t="shared" ref="Z34:Z65" si="3">T34+N34+Y34</f>
        <v>797.46548156986501</v>
      </c>
      <c r="AA34">
        <f t="shared" ref="AA34:AA65" si="4">G34-Z34</f>
        <v>8774.0850057579391</v>
      </c>
      <c r="AB34">
        <f t="shared" ref="AB34:AB65" si="5">AA34/G34</f>
        <v>0.91668377211971397</v>
      </c>
    </row>
    <row r="35" spans="1:28">
      <c r="A35" t="s">
        <v>57</v>
      </c>
      <c r="B35" t="str">
        <f>PROPER(TRIM(Table1[[#This Row],[Product type]]))</f>
        <v>Cosmetics</v>
      </c>
      <c r="C35" t="s">
        <v>87</v>
      </c>
      <c r="D35">
        <v>64.795435000155607</v>
      </c>
      <c r="E35">
        <v>63</v>
      </c>
      <c r="F35">
        <v>616</v>
      </c>
      <c r="G35">
        <v>5149.9983504080301</v>
      </c>
      <c r="H35" t="s">
        <v>26</v>
      </c>
      <c r="I35">
        <v>4</v>
      </c>
      <c r="J35">
        <v>17</v>
      </c>
      <c r="K35">
        <v>95</v>
      </c>
      <c r="L35">
        <v>9</v>
      </c>
      <c r="M35" t="s">
        <v>43</v>
      </c>
      <c r="N35">
        <v>4.85827050343664</v>
      </c>
      <c r="O35" t="s">
        <v>44</v>
      </c>
      <c r="P35" t="s">
        <v>62</v>
      </c>
      <c r="Q35">
        <v>1</v>
      </c>
      <c r="R35">
        <v>251</v>
      </c>
      <c r="S35">
        <v>23</v>
      </c>
      <c r="T35">
        <v>23.853427512896101</v>
      </c>
      <c r="U35" t="s">
        <v>46</v>
      </c>
      <c r="V35">
        <v>3.54104601225092</v>
      </c>
      <c r="W35" t="s">
        <v>56</v>
      </c>
      <c r="X35" t="s">
        <v>48</v>
      </c>
      <c r="Y35">
        <v>371.25529551987103</v>
      </c>
      <c r="Z35">
        <f t="shared" si="3"/>
        <v>399.96699353620397</v>
      </c>
      <c r="AA35">
        <f t="shared" si="4"/>
        <v>4750.0313568718302</v>
      </c>
      <c r="AB35">
        <f t="shared" si="5"/>
        <v>0.92233648123314205</v>
      </c>
    </row>
    <row r="36" spans="1:28">
      <c r="A36" t="s">
        <v>33</v>
      </c>
      <c r="B36" t="str">
        <f>PROPER(TRIM(Table1[[#This Row],[Product type]]))</f>
        <v>Skincare</v>
      </c>
      <c r="C36" t="s">
        <v>88</v>
      </c>
      <c r="D36">
        <v>37.467592329842397</v>
      </c>
      <c r="E36">
        <v>96</v>
      </c>
      <c r="F36">
        <v>602</v>
      </c>
      <c r="G36">
        <v>9061.7108955077201</v>
      </c>
      <c r="H36" t="s">
        <v>38</v>
      </c>
      <c r="I36">
        <v>1</v>
      </c>
      <c r="J36">
        <v>26</v>
      </c>
      <c r="K36">
        <v>21</v>
      </c>
      <c r="L36">
        <v>7</v>
      </c>
      <c r="M36" t="s">
        <v>36</v>
      </c>
      <c r="N36">
        <v>1.0194875708221101</v>
      </c>
      <c r="O36" t="s">
        <v>39</v>
      </c>
      <c r="P36" t="s">
        <v>62</v>
      </c>
      <c r="Q36">
        <v>4</v>
      </c>
      <c r="R36">
        <v>452</v>
      </c>
      <c r="S36">
        <v>10</v>
      </c>
      <c r="T36">
        <v>10.754272815029299</v>
      </c>
      <c r="U36" t="s">
        <v>64</v>
      </c>
      <c r="V36">
        <v>0.64660455937205397</v>
      </c>
      <c r="W36" t="s">
        <v>31</v>
      </c>
      <c r="X36" t="s">
        <v>32</v>
      </c>
      <c r="Y36">
        <v>510.35800043352299</v>
      </c>
      <c r="Z36">
        <f t="shared" si="3"/>
        <v>522.13176081937399</v>
      </c>
      <c r="AA36">
        <f t="shared" si="4"/>
        <v>8539.5791346883507</v>
      </c>
      <c r="AB36">
        <f t="shared" si="5"/>
        <v>0.94238044373295804</v>
      </c>
    </row>
    <row r="37" spans="1:28">
      <c r="A37" t="s">
        <v>57</v>
      </c>
      <c r="B37" t="str">
        <f>PROPER(TRIM(Table1[[#This Row],[Product type]]))</f>
        <v>Cosmetics</v>
      </c>
      <c r="C37" t="s">
        <v>89</v>
      </c>
      <c r="D37">
        <v>84.957786816350406</v>
      </c>
      <c r="E37">
        <v>11</v>
      </c>
      <c r="F37">
        <v>449</v>
      </c>
      <c r="G37">
        <v>6541.3293448024597</v>
      </c>
      <c r="H37" t="s">
        <v>35</v>
      </c>
      <c r="I37">
        <v>42</v>
      </c>
      <c r="J37">
        <v>27</v>
      </c>
      <c r="K37">
        <v>85</v>
      </c>
      <c r="L37">
        <v>8</v>
      </c>
      <c r="M37" t="s">
        <v>43</v>
      </c>
      <c r="N37">
        <v>5.2881899903273997</v>
      </c>
      <c r="O37" t="s">
        <v>39</v>
      </c>
      <c r="P37" t="s">
        <v>50</v>
      </c>
      <c r="Q37">
        <v>3</v>
      </c>
      <c r="R37">
        <v>367</v>
      </c>
      <c r="S37">
        <v>2</v>
      </c>
      <c r="T37">
        <v>58.004787044743701</v>
      </c>
      <c r="U37" t="s">
        <v>64</v>
      </c>
      <c r="V37">
        <v>0.54115409806058101</v>
      </c>
      <c r="W37" t="s">
        <v>56</v>
      </c>
      <c r="X37" t="s">
        <v>41</v>
      </c>
      <c r="Y37">
        <v>553.42047123035502</v>
      </c>
      <c r="Z37">
        <f t="shared" si="3"/>
        <v>616.713448265426</v>
      </c>
      <c r="AA37">
        <f t="shared" si="4"/>
        <v>5924.6158965370296</v>
      </c>
      <c r="AB37">
        <f t="shared" si="5"/>
        <v>0.90572047121347798</v>
      </c>
    </row>
    <row r="38" spans="1:28">
      <c r="A38" t="s">
        <v>33</v>
      </c>
      <c r="B38" t="str">
        <f>PROPER(TRIM(Table1[[#This Row],[Product type]]))</f>
        <v>Skincare</v>
      </c>
      <c r="C38" t="s">
        <v>90</v>
      </c>
      <c r="D38">
        <v>9.81300257875405</v>
      </c>
      <c r="E38">
        <v>34</v>
      </c>
      <c r="F38">
        <v>963</v>
      </c>
      <c r="G38">
        <v>7573.4024578487297</v>
      </c>
      <c r="H38" t="s">
        <v>35</v>
      </c>
      <c r="I38">
        <v>18</v>
      </c>
      <c r="J38">
        <v>23</v>
      </c>
      <c r="K38">
        <v>28</v>
      </c>
      <c r="L38">
        <v>3</v>
      </c>
      <c r="M38" t="s">
        <v>27</v>
      </c>
      <c r="N38">
        <v>2.1079512671590801</v>
      </c>
      <c r="O38" t="s">
        <v>61</v>
      </c>
      <c r="P38" t="s">
        <v>50</v>
      </c>
      <c r="Q38">
        <v>26</v>
      </c>
      <c r="R38">
        <v>671</v>
      </c>
      <c r="S38">
        <v>19</v>
      </c>
      <c r="T38">
        <v>45.531364237162101</v>
      </c>
      <c r="U38" t="s">
        <v>46</v>
      </c>
      <c r="V38">
        <v>3.8055333792433501</v>
      </c>
      <c r="W38" t="s">
        <v>40</v>
      </c>
      <c r="X38" t="s">
        <v>41</v>
      </c>
      <c r="Y38">
        <v>403.80897424817999</v>
      </c>
      <c r="Z38">
        <f t="shared" si="3"/>
        <v>451.44828975250101</v>
      </c>
      <c r="AA38">
        <f t="shared" si="4"/>
        <v>7121.9541680962302</v>
      </c>
      <c r="AB38">
        <f t="shared" si="5"/>
        <v>0.94039029455187095</v>
      </c>
    </row>
    <row r="39" spans="1:28">
      <c r="A39" t="s">
        <v>33</v>
      </c>
      <c r="B39" t="str">
        <f>PROPER(TRIM(Table1[[#This Row],[Product type]]))</f>
        <v>Skincare</v>
      </c>
      <c r="C39" t="s">
        <v>91</v>
      </c>
      <c r="D39">
        <v>23.3998447526143</v>
      </c>
      <c r="E39">
        <v>5</v>
      </c>
      <c r="F39">
        <v>963</v>
      </c>
      <c r="G39">
        <v>2438.3399304700201</v>
      </c>
      <c r="H39" t="s">
        <v>35</v>
      </c>
      <c r="I39">
        <v>25</v>
      </c>
      <c r="J39">
        <v>8</v>
      </c>
      <c r="K39">
        <v>21</v>
      </c>
      <c r="L39">
        <v>9</v>
      </c>
      <c r="M39" t="s">
        <v>36</v>
      </c>
      <c r="N39">
        <v>1.53265527359043</v>
      </c>
      <c r="O39" t="s">
        <v>28</v>
      </c>
      <c r="P39" t="s">
        <v>45</v>
      </c>
      <c r="Q39">
        <v>24</v>
      </c>
      <c r="R39">
        <v>867</v>
      </c>
      <c r="S39">
        <v>15</v>
      </c>
      <c r="T39">
        <v>34.343277465075303</v>
      </c>
      <c r="U39" t="s">
        <v>30</v>
      </c>
      <c r="V39">
        <v>2.61028808484811</v>
      </c>
      <c r="W39" t="s">
        <v>56</v>
      </c>
      <c r="X39" t="s">
        <v>48</v>
      </c>
      <c r="Y39">
        <v>183.932968043594</v>
      </c>
      <c r="Z39">
        <f t="shared" si="3"/>
        <v>219.80890078226</v>
      </c>
      <c r="AA39">
        <f t="shared" si="4"/>
        <v>2218.5310296877601</v>
      </c>
      <c r="AB39">
        <f t="shared" si="5"/>
        <v>0.90985305287606499</v>
      </c>
    </row>
    <row r="40" spans="1:28">
      <c r="A40" t="s">
        <v>57</v>
      </c>
      <c r="B40" t="str">
        <f>PROPER(TRIM(Table1[[#This Row],[Product type]]))</f>
        <v>Cosmetics</v>
      </c>
      <c r="C40" t="s">
        <v>92</v>
      </c>
      <c r="D40">
        <v>52.075930682707799</v>
      </c>
      <c r="E40">
        <v>75</v>
      </c>
      <c r="F40">
        <v>705</v>
      </c>
      <c r="G40">
        <v>9692.3180402184298</v>
      </c>
      <c r="H40" t="s">
        <v>26</v>
      </c>
      <c r="I40">
        <v>69</v>
      </c>
      <c r="J40">
        <v>1</v>
      </c>
      <c r="K40">
        <v>88</v>
      </c>
      <c r="L40">
        <v>5</v>
      </c>
      <c r="M40" t="s">
        <v>27</v>
      </c>
      <c r="N40">
        <v>9.2359314372492207</v>
      </c>
      <c r="O40" t="s">
        <v>44</v>
      </c>
      <c r="P40" t="s">
        <v>29</v>
      </c>
      <c r="Q40">
        <v>10</v>
      </c>
      <c r="R40">
        <v>841</v>
      </c>
      <c r="S40">
        <v>12</v>
      </c>
      <c r="T40">
        <v>5.9306936455283097</v>
      </c>
      <c r="U40" t="s">
        <v>30</v>
      </c>
      <c r="V40">
        <v>0.613326899164507</v>
      </c>
      <c r="W40" t="s">
        <v>40</v>
      </c>
      <c r="X40" t="s">
        <v>32</v>
      </c>
      <c r="Y40">
        <v>339.67286994860598</v>
      </c>
      <c r="Z40">
        <f t="shared" si="3"/>
        <v>354.83949503138399</v>
      </c>
      <c r="AA40">
        <f t="shared" si="4"/>
        <v>9337.4785451870503</v>
      </c>
      <c r="AB40">
        <f t="shared" si="5"/>
        <v>0.96338961499622999</v>
      </c>
    </row>
    <row r="41" spans="1:28">
      <c r="A41" t="s">
        <v>33</v>
      </c>
      <c r="B41" t="str">
        <f>PROPER(TRIM(Table1[[#This Row],[Product type]]))</f>
        <v>Skincare</v>
      </c>
      <c r="C41" t="s">
        <v>93</v>
      </c>
      <c r="D41">
        <v>19.127477265823199</v>
      </c>
      <c r="E41">
        <v>26</v>
      </c>
      <c r="F41">
        <v>176</v>
      </c>
      <c r="G41">
        <v>1912.4656631007599</v>
      </c>
      <c r="H41" t="s">
        <v>35</v>
      </c>
      <c r="I41">
        <v>78</v>
      </c>
      <c r="J41">
        <v>29</v>
      </c>
      <c r="K41">
        <v>34</v>
      </c>
      <c r="L41">
        <v>3</v>
      </c>
      <c r="M41" t="s">
        <v>36</v>
      </c>
      <c r="N41">
        <v>5.5625037788303802</v>
      </c>
      <c r="O41" t="s">
        <v>61</v>
      </c>
      <c r="P41" t="s">
        <v>45</v>
      </c>
      <c r="Q41">
        <v>30</v>
      </c>
      <c r="R41">
        <v>791</v>
      </c>
      <c r="S41">
        <v>6</v>
      </c>
      <c r="T41">
        <v>9.0058074287816403</v>
      </c>
      <c r="U41" t="s">
        <v>46</v>
      </c>
      <c r="V41">
        <v>1.4519722039968099</v>
      </c>
      <c r="W41" t="s">
        <v>40</v>
      </c>
      <c r="X41" t="s">
        <v>32</v>
      </c>
      <c r="Y41">
        <v>653.67299455203295</v>
      </c>
      <c r="Z41">
        <f t="shared" si="3"/>
        <v>668.241305759645</v>
      </c>
      <c r="AA41">
        <f t="shared" si="4"/>
        <v>1244.2243573411099</v>
      </c>
      <c r="AB41">
        <f t="shared" si="5"/>
        <v>0.65058650795528605</v>
      </c>
    </row>
    <row r="42" spans="1:28">
      <c r="A42" t="s">
        <v>33</v>
      </c>
      <c r="B42" t="str">
        <f>PROPER(TRIM(Table1[[#This Row],[Product type]]))</f>
        <v>Skincare</v>
      </c>
      <c r="C42" t="s">
        <v>94</v>
      </c>
      <c r="D42">
        <v>80.541424170940303</v>
      </c>
      <c r="E42">
        <v>97</v>
      </c>
      <c r="F42">
        <v>933</v>
      </c>
      <c r="G42">
        <v>5724.9593504562599</v>
      </c>
      <c r="H42" t="s">
        <v>35</v>
      </c>
      <c r="I42">
        <v>90</v>
      </c>
      <c r="J42">
        <v>20</v>
      </c>
      <c r="K42">
        <v>39</v>
      </c>
      <c r="L42">
        <v>8</v>
      </c>
      <c r="M42" t="s">
        <v>43</v>
      </c>
      <c r="N42">
        <v>7.2295951397364702</v>
      </c>
      <c r="O42" t="s">
        <v>39</v>
      </c>
      <c r="P42" t="s">
        <v>45</v>
      </c>
      <c r="Q42">
        <v>18</v>
      </c>
      <c r="R42">
        <v>793</v>
      </c>
      <c r="S42">
        <v>1</v>
      </c>
      <c r="T42">
        <v>88.179407104217404</v>
      </c>
      <c r="U42" t="s">
        <v>30</v>
      </c>
      <c r="V42">
        <v>4.2132694305865597</v>
      </c>
      <c r="W42" t="s">
        <v>31</v>
      </c>
      <c r="X42" t="s">
        <v>48</v>
      </c>
      <c r="Y42">
        <v>529.80872398069096</v>
      </c>
      <c r="Z42">
        <f t="shared" si="3"/>
        <v>625.21772622464505</v>
      </c>
      <c r="AA42">
        <f t="shared" si="4"/>
        <v>5099.7416242316103</v>
      </c>
      <c r="AB42">
        <f t="shared" si="5"/>
        <v>0.890790888117866</v>
      </c>
    </row>
    <row r="43" spans="1:28">
      <c r="A43" t="s">
        <v>33</v>
      </c>
      <c r="B43" t="str">
        <f>PROPER(TRIM(Table1[[#This Row],[Product type]]))</f>
        <v>Skincare</v>
      </c>
      <c r="C43" t="s">
        <v>95</v>
      </c>
      <c r="D43">
        <v>99.113291615317095</v>
      </c>
      <c r="E43">
        <v>35</v>
      </c>
      <c r="F43">
        <v>556</v>
      </c>
      <c r="G43">
        <v>5521.2052590109697</v>
      </c>
      <c r="H43" t="s">
        <v>35</v>
      </c>
      <c r="I43">
        <v>64</v>
      </c>
      <c r="J43">
        <v>19</v>
      </c>
      <c r="K43">
        <v>38</v>
      </c>
      <c r="L43">
        <v>8</v>
      </c>
      <c r="M43" t="s">
        <v>27</v>
      </c>
      <c r="N43">
        <v>5.7732637437666501</v>
      </c>
      <c r="O43" t="s">
        <v>52</v>
      </c>
      <c r="P43" t="s">
        <v>62</v>
      </c>
      <c r="Q43">
        <v>18</v>
      </c>
      <c r="R43">
        <v>892</v>
      </c>
      <c r="S43">
        <v>7</v>
      </c>
      <c r="T43">
        <v>95.332064548772493</v>
      </c>
      <c r="U43" t="s">
        <v>46</v>
      </c>
      <c r="V43">
        <v>4.5302262398259602E-2</v>
      </c>
      <c r="W43" t="s">
        <v>56</v>
      </c>
      <c r="X43" t="s">
        <v>48</v>
      </c>
      <c r="Y43">
        <v>275.52437113130901</v>
      </c>
      <c r="Z43">
        <f t="shared" si="3"/>
        <v>376.62969942384802</v>
      </c>
      <c r="AA43">
        <f t="shared" si="4"/>
        <v>5144.5755595871196</v>
      </c>
      <c r="AB43">
        <f t="shared" si="5"/>
        <v>0.931784876353009</v>
      </c>
    </row>
    <row r="44" spans="1:28">
      <c r="A44" t="s">
        <v>33</v>
      </c>
      <c r="B44" t="str">
        <f>PROPER(TRIM(Table1[[#This Row],[Product type]]))</f>
        <v>Skincare</v>
      </c>
      <c r="C44" t="s">
        <v>96</v>
      </c>
      <c r="D44">
        <v>46.529167614516702</v>
      </c>
      <c r="E44">
        <v>98</v>
      </c>
      <c r="F44">
        <v>155</v>
      </c>
      <c r="G44">
        <v>1839.60942585676</v>
      </c>
      <c r="H44" t="s">
        <v>35</v>
      </c>
      <c r="I44">
        <v>22</v>
      </c>
      <c r="J44">
        <v>27</v>
      </c>
      <c r="K44">
        <v>57</v>
      </c>
      <c r="L44">
        <v>4</v>
      </c>
      <c r="M44" t="s">
        <v>43</v>
      </c>
      <c r="N44">
        <v>7.5262483268515004</v>
      </c>
      <c r="O44" t="s">
        <v>44</v>
      </c>
      <c r="P44" t="s">
        <v>53</v>
      </c>
      <c r="Q44">
        <v>26</v>
      </c>
      <c r="R44">
        <v>179</v>
      </c>
      <c r="S44">
        <v>7</v>
      </c>
      <c r="T44">
        <v>96.422820639571796</v>
      </c>
      <c r="U44" t="s">
        <v>46</v>
      </c>
      <c r="V44">
        <v>4.9392552886209398</v>
      </c>
      <c r="W44" t="s">
        <v>31</v>
      </c>
      <c r="X44" t="s">
        <v>48</v>
      </c>
      <c r="Y44">
        <v>635.65712050199102</v>
      </c>
      <c r="Z44">
        <f t="shared" si="3"/>
        <v>739.60618946841396</v>
      </c>
      <c r="AA44">
        <f t="shared" si="4"/>
        <v>1100.0032363883499</v>
      </c>
      <c r="AB44">
        <f t="shared" si="5"/>
        <v>0.59795477285948495</v>
      </c>
    </row>
    <row r="45" spans="1:28">
      <c r="A45" t="s">
        <v>24</v>
      </c>
      <c r="B45" t="str">
        <f>PROPER(TRIM(Table1[[#This Row],[Product type]]))</f>
        <v>Haircare</v>
      </c>
      <c r="C45" t="s">
        <v>97</v>
      </c>
      <c r="D45">
        <v>11.7432717763092</v>
      </c>
      <c r="E45">
        <v>6</v>
      </c>
      <c r="F45">
        <v>598</v>
      </c>
      <c r="G45">
        <v>5737.4255991190203</v>
      </c>
      <c r="H45" t="s">
        <v>38</v>
      </c>
      <c r="I45">
        <v>36</v>
      </c>
      <c r="J45">
        <v>29</v>
      </c>
      <c r="K45">
        <v>85</v>
      </c>
      <c r="L45">
        <v>9</v>
      </c>
      <c r="M45" t="s">
        <v>27</v>
      </c>
      <c r="N45">
        <v>3.6940212683884499</v>
      </c>
      <c r="O45" t="s">
        <v>44</v>
      </c>
      <c r="P45" t="s">
        <v>29</v>
      </c>
      <c r="Q45">
        <v>1</v>
      </c>
      <c r="R45">
        <v>206</v>
      </c>
      <c r="S45">
        <v>23</v>
      </c>
      <c r="T45">
        <v>26.2773659573324</v>
      </c>
      <c r="U45" t="s">
        <v>30</v>
      </c>
      <c r="V45">
        <v>0.37230476798509698</v>
      </c>
      <c r="W45" t="s">
        <v>40</v>
      </c>
      <c r="X45" t="s">
        <v>48</v>
      </c>
      <c r="Y45">
        <v>716.04411975933999</v>
      </c>
      <c r="Z45">
        <f t="shared" si="3"/>
        <v>746.01550698506105</v>
      </c>
      <c r="AA45">
        <f t="shared" si="4"/>
        <v>4991.4100921339596</v>
      </c>
      <c r="AB45">
        <f t="shared" si="5"/>
        <v>0.869973824654108</v>
      </c>
    </row>
    <row r="46" spans="1:28">
      <c r="A46" t="s">
        <v>57</v>
      </c>
      <c r="B46" t="str">
        <f>PROPER(TRIM(Table1[[#This Row],[Product type]]))</f>
        <v>Cosmetics</v>
      </c>
      <c r="C46" t="s">
        <v>98</v>
      </c>
      <c r="D46">
        <v>51.355790913110297</v>
      </c>
      <c r="E46">
        <v>34</v>
      </c>
      <c r="F46">
        <v>919</v>
      </c>
      <c r="G46">
        <v>7152.28604943551</v>
      </c>
      <c r="H46" t="s">
        <v>35</v>
      </c>
      <c r="I46">
        <v>13</v>
      </c>
      <c r="J46">
        <v>19</v>
      </c>
      <c r="K46">
        <v>72</v>
      </c>
      <c r="L46">
        <v>6</v>
      </c>
      <c r="M46" t="s">
        <v>43</v>
      </c>
      <c r="N46">
        <v>7.5774496573766896</v>
      </c>
      <c r="O46" t="s">
        <v>61</v>
      </c>
      <c r="P46" t="s">
        <v>50</v>
      </c>
      <c r="Q46">
        <v>7</v>
      </c>
      <c r="R46">
        <v>834</v>
      </c>
      <c r="S46">
        <v>18</v>
      </c>
      <c r="T46">
        <v>22.554106620887701</v>
      </c>
      <c r="U46" t="s">
        <v>46</v>
      </c>
      <c r="V46">
        <v>2.9626263204548802</v>
      </c>
      <c r="W46" t="s">
        <v>47</v>
      </c>
      <c r="X46" t="s">
        <v>48</v>
      </c>
      <c r="Y46">
        <v>610.45326961922694</v>
      </c>
      <c r="Z46">
        <f t="shared" si="3"/>
        <v>640.58482589749099</v>
      </c>
      <c r="AA46">
        <f t="shared" si="4"/>
        <v>6511.7012235380198</v>
      </c>
      <c r="AB46">
        <f t="shared" si="5"/>
        <v>0.91043635259134403</v>
      </c>
    </row>
    <row r="47" spans="1:28">
      <c r="A47" t="s">
        <v>24</v>
      </c>
      <c r="B47" t="str">
        <f>PROPER(TRIM(Table1[[#This Row],[Product type]]))</f>
        <v>Haircare</v>
      </c>
      <c r="C47" t="s">
        <v>99</v>
      </c>
      <c r="D47">
        <v>33.784138033065503</v>
      </c>
      <c r="E47">
        <v>1</v>
      </c>
      <c r="F47">
        <v>24</v>
      </c>
      <c r="G47">
        <v>5267.9568075105199</v>
      </c>
      <c r="H47" t="s">
        <v>55</v>
      </c>
      <c r="I47">
        <v>93</v>
      </c>
      <c r="J47">
        <v>7</v>
      </c>
      <c r="K47">
        <v>52</v>
      </c>
      <c r="L47">
        <v>6</v>
      </c>
      <c r="M47" t="s">
        <v>27</v>
      </c>
      <c r="N47">
        <v>5.2151550087119096</v>
      </c>
      <c r="O47" t="s">
        <v>61</v>
      </c>
      <c r="P47" t="s">
        <v>62</v>
      </c>
      <c r="Q47">
        <v>25</v>
      </c>
      <c r="R47">
        <v>794</v>
      </c>
      <c r="S47">
        <v>25</v>
      </c>
      <c r="T47">
        <v>66.312544439991598</v>
      </c>
      <c r="U47" t="s">
        <v>64</v>
      </c>
      <c r="V47">
        <v>3.2196046120841002</v>
      </c>
      <c r="W47" t="s">
        <v>47</v>
      </c>
      <c r="X47" t="s">
        <v>48</v>
      </c>
      <c r="Y47">
        <v>495.30569702847299</v>
      </c>
      <c r="Z47">
        <f t="shared" si="3"/>
        <v>566.83339647717696</v>
      </c>
      <c r="AA47">
        <f t="shared" si="4"/>
        <v>4701.1234110333398</v>
      </c>
      <c r="AB47">
        <f t="shared" si="5"/>
        <v>0.89239976385739495</v>
      </c>
    </row>
    <row r="48" spans="1:28">
      <c r="A48" t="s">
        <v>24</v>
      </c>
      <c r="B48" t="str">
        <f>PROPER(TRIM(Table1[[#This Row],[Product type]]))</f>
        <v>Haircare</v>
      </c>
      <c r="C48" t="s">
        <v>100</v>
      </c>
      <c r="D48">
        <v>27.082207199888899</v>
      </c>
      <c r="E48">
        <v>75</v>
      </c>
      <c r="F48">
        <v>859</v>
      </c>
      <c r="G48">
        <v>2556.7673606335902</v>
      </c>
      <c r="H48" t="s">
        <v>26</v>
      </c>
      <c r="I48">
        <v>92</v>
      </c>
      <c r="J48">
        <v>29</v>
      </c>
      <c r="K48">
        <v>6</v>
      </c>
      <c r="L48">
        <v>8</v>
      </c>
      <c r="M48" t="s">
        <v>27</v>
      </c>
      <c r="N48">
        <v>4.0709558370840799</v>
      </c>
      <c r="O48" t="s">
        <v>28</v>
      </c>
      <c r="P48" t="s">
        <v>62</v>
      </c>
      <c r="Q48">
        <v>18</v>
      </c>
      <c r="R48">
        <v>870</v>
      </c>
      <c r="S48">
        <v>23</v>
      </c>
      <c r="T48">
        <v>77.322353211051606</v>
      </c>
      <c r="U48" t="s">
        <v>30</v>
      </c>
      <c r="V48">
        <v>3.6486105925361998</v>
      </c>
      <c r="W48" t="s">
        <v>31</v>
      </c>
      <c r="X48" t="s">
        <v>32</v>
      </c>
      <c r="Y48">
        <v>380.43593711196399</v>
      </c>
      <c r="Z48">
        <f t="shared" si="3"/>
        <v>461.82924616010001</v>
      </c>
      <c r="AA48">
        <f t="shared" si="4"/>
        <v>2094.9381144734898</v>
      </c>
      <c r="AB48">
        <f t="shared" si="5"/>
        <v>0.81936986005419998</v>
      </c>
    </row>
    <row r="49" spans="1:28">
      <c r="A49" t="s">
        <v>33</v>
      </c>
      <c r="B49" t="str">
        <f>PROPER(TRIM(Table1[[#This Row],[Product type]]))</f>
        <v>Skincare</v>
      </c>
      <c r="C49" t="s">
        <v>101</v>
      </c>
      <c r="D49">
        <v>95.712135880936003</v>
      </c>
      <c r="E49">
        <v>93</v>
      </c>
      <c r="F49">
        <v>910</v>
      </c>
      <c r="G49">
        <v>7089.4742499341801</v>
      </c>
      <c r="H49" t="s">
        <v>55</v>
      </c>
      <c r="I49">
        <v>4</v>
      </c>
      <c r="J49">
        <v>15</v>
      </c>
      <c r="K49">
        <v>51</v>
      </c>
      <c r="L49">
        <v>9</v>
      </c>
      <c r="M49" t="s">
        <v>27</v>
      </c>
      <c r="N49">
        <v>8.9787507559499709</v>
      </c>
      <c r="O49" t="s">
        <v>39</v>
      </c>
      <c r="P49" t="s">
        <v>45</v>
      </c>
      <c r="Q49">
        <v>10</v>
      </c>
      <c r="R49">
        <v>964</v>
      </c>
      <c r="S49">
        <v>20</v>
      </c>
      <c r="T49">
        <v>19.7129929112936</v>
      </c>
      <c r="U49" t="s">
        <v>30</v>
      </c>
      <c r="V49">
        <v>0.38057358671321301</v>
      </c>
      <c r="W49" t="s">
        <v>47</v>
      </c>
      <c r="X49" t="s">
        <v>48</v>
      </c>
      <c r="Y49">
        <v>581.60235505058597</v>
      </c>
      <c r="Z49">
        <f t="shared" si="3"/>
        <v>610.29409871783002</v>
      </c>
      <c r="AA49">
        <f t="shared" si="4"/>
        <v>6479.1801512163502</v>
      </c>
      <c r="AB49">
        <f t="shared" si="5"/>
        <v>0.91391546436274895</v>
      </c>
    </row>
    <row r="50" spans="1:28">
      <c r="A50" t="s">
        <v>24</v>
      </c>
      <c r="B50" t="str">
        <f>PROPER(TRIM(Table1[[#This Row],[Product type]]))</f>
        <v>Haircare</v>
      </c>
      <c r="C50" t="s">
        <v>102</v>
      </c>
      <c r="D50">
        <v>76.035544426891704</v>
      </c>
      <c r="E50">
        <v>28</v>
      </c>
      <c r="F50">
        <v>29</v>
      </c>
      <c r="G50">
        <v>7397.0710045871801</v>
      </c>
      <c r="H50" t="s">
        <v>26</v>
      </c>
      <c r="I50">
        <v>30</v>
      </c>
      <c r="J50">
        <v>16</v>
      </c>
      <c r="K50">
        <v>9</v>
      </c>
      <c r="L50">
        <v>3</v>
      </c>
      <c r="M50" t="s">
        <v>43</v>
      </c>
      <c r="N50">
        <v>7.0958331565551296</v>
      </c>
      <c r="O50" t="s">
        <v>61</v>
      </c>
      <c r="P50" t="s">
        <v>29</v>
      </c>
      <c r="Q50">
        <v>9</v>
      </c>
      <c r="R50">
        <v>109</v>
      </c>
      <c r="S50">
        <v>18</v>
      </c>
      <c r="T50">
        <v>23.126363582464698</v>
      </c>
      <c r="U50" t="s">
        <v>46</v>
      </c>
      <c r="V50">
        <v>1.6981125407144</v>
      </c>
      <c r="W50" t="s">
        <v>47</v>
      </c>
      <c r="X50" t="s">
        <v>32</v>
      </c>
      <c r="Y50">
        <v>768.65191395437</v>
      </c>
      <c r="Z50">
        <f t="shared" si="3"/>
        <v>798.87411069338998</v>
      </c>
      <c r="AA50">
        <f t="shared" si="4"/>
        <v>6598.1968938937898</v>
      </c>
      <c r="AB50">
        <f t="shared" si="5"/>
        <v>0.89200129210629697</v>
      </c>
    </row>
    <row r="51" spans="1:28">
      <c r="A51" t="s">
        <v>57</v>
      </c>
      <c r="B51" t="str">
        <f>PROPER(TRIM(Table1[[#This Row],[Product type]]))</f>
        <v>Cosmetics</v>
      </c>
      <c r="C51" t="s">
        <v>103</v>
      </c>
      <c r="D51">
        <v>78.897913205639995</v>
      </c>
      <c r="E51">
        <v>19</v>
      </c>
      <c r="F51">
        <v>99</v>
      </c>
      <c r="G51">
        <v>8001.6132065190004</v>
      </c>
      <c r="H51" t="s">
        <v>38</v>
      </c>
      <c r="I51">
        <v>97</v>
      </c>
      <c r="J51">
        <v>24</v>
      </c>
      <c r="K51">
        <v>9</v>
      </c>
      <c r="L51">
        <v>6</v>
      </c>
      <c r="M51" t="s">
        <v>43</v>
      </c>
      <c r="N51">
        <v>2.5056210329009101</v>
      </c>
      <c r="O51" t="s">
        <v>44</v>
      </c>
      <c r="P51" t="s">
        <v>50</v>
      </c>
      <c r="Q51">
        <v>28</v>
      </c>
      <c r="R51">
        <v>177</v>
      </c>
      <c r="S51">
        <v>28</v>
      </c>
      <c r="T51">
        <v>14.1478154439792</v>
      </c>
      <c r="U51" t="s">
        <v>64</v>
      </c>
      <c r="V51">
        <v>2.8258139854001301</v>
      </c>
      <c r="W51" t="s">
        <v>47</v>
      </c>
      <c r="X51" t="s">
        <v>48</v>
      </c>
      <c r="Y51">
        <v>336.89016851997701</v>
      </c>
      <c r="Z51">
        <f t="shared" si="3"/>
        <v>353.54360499685703</v>
      </c>
      <c r="AA51">
        <f t="shared" si="4"/>
        <v>7648.0696015221401</v>
      </c>
      <c r="AB51">
        <f t="shared" si="5"/>
        <v>0.95581595912324002</v>
      </c>
    </row>
    <row r="52" spans="1:28">
      <c r="A52" t="s">
        <v>57</v>
      </c>
      <c r="B52" t="str">
        <f>PROPER(TRIM(Table1[[#This Row],[Product type]]))</f>
        <v>Cosmetics</v>
      </c>
      <c r="C52" t="s">
        <v>104</v>
      </c>
      <c r="D52">
        <v>14.203484264803</v>
      </c>
      <c r="E52">
        <v>91</v>
      </c>
      <c r="F52">
        <v>633</v>
      </c>
      <c r="G52">
        <v>5910.8853896688897</v>
      </c>
      <c r="H52" t="s">
        <v>35</v>
      </c>
      <c r="I52">
        <v>31</v>
      </c>
      <c r="J52">
        <v>23</v>
      </c>
      <c r="K52">
        <v>82</v>
      </c>
      <c r="L52">
        <v>10</v>
      </c>
      <c r="M52" t="s">
        <v>36</v>
      </c>
      <c r="N52">
        <v>6.2478609149759903</v>
      </c>
      <c r="O52" t="s">
        <v>61</v>
      </c>
      <c r="P52" t="s">
        <v>50</v>
      </c>
      <c r="Q52">
        <v>20</v>
      </c>
      <c r="R52">
        <v>306</v>
      </c>
      <c r="S52">
        <v>21</v>
      </c>
      <c r="T52">
        <v>45.178757924634503</v>
      </c>
      <c r="U52" t="s">
        <v>46</v>
      </c>
      <c r="V52">
        <v>4.7548008046711798</v>
      </c>
      <c r="W52" t="s">
        <v>47</v>
      </c>
      <c r="X52" t="s">
        <v>32</v>
      </c>
      <c r="Y52">
        <v>496.24865029194001</v>
      </c>
      <c r="Z52">
        <f t="shared" si="3"/>
        <v>547.67526913155098</v>
      </c>
      <c r="AA52">
        <f t="shared" si="4"/>
        <v>5363.2101205373401</v>
      </c>
      <c r="AB52">
        <f t="shared" si="5"/>
        <v>0.90734463062187198</v>
      </c>
    </row>
    <row r="53" spans="1:28">
      <c r="A53" t="s">
        <v>24</v>
      </c>
      <c r="B53" t="str">
        <f>PROPER(TRIM(Table1[[#This Row],[Product type]]))</f>
        <v>Haircare</v>
      </c>
      <c r="C53" t="s">
        <v>105</v>
      </c>
      <c r="D53">
        <v>26.700760972461701</v>
      </c>
      <c r="E53">
        <v>61</v>
      </c>
      <c r="F53">
        <v>154</v>
      </c>
      <c r="G53">
        <v>9866.4654579796897</v>
      </c>
      <c r="H53" t="s">
        <v>55</v>
      </c>
      <c r="I53">
        <v>100</v>
      </c>
      <c r="J53">
        <v>4</v>
      </c>
      <c r="K53">
        <v>52</v>
      </c>
      <c r="L53">
        <v>1</v>
      </c>
      <c r="M53" t="s">
        <v>36</v>
      </c>
      <c r="N53">
        <v>4.78300055794766</v>
      </c>
      <c r="O53" t="s">
        <v>44</v>
      </c>
      <c r="P53" t="s">
        <v>53</v>
      </c>
      <c r="Q53">
        <v>18</v>
      </c>
      <c r="R53">
        <v>673</v>
      </c>
      <c r="S53">
        <v>28</v>
      </c>
      <c r="T53">
        <v>14.190328344569901</v>
      </c>
      <c r="U53" t="s">
        <v>30</v>
      </c>
      <c r="V53">
        <v>1.77295117208355</v>
      </c>
      <c r="W53" t="s">
        <v>31</v>
      </c>
      <c r="X53" t="s">
        <v>48</v>
      </c>
      <c r="Y53">
        <v>694.98231757944495</v>
      </c>
      <c r="Z53">
        <f t="shared" si="3"/>
        <v>713.95564648196296</v>
      </c>
      <c r="AA53">
        <f t="shared" si="4"/>
        <v>9152.50981149773</v>
      </c>
      <c r="AB53">
        <f t="shared" si="5"/>
        <v>0.92763815476549005</v>
      </c>
    </row>
    <row r="54" spans="1:28">
      <c r="A54" t="s">
        <v>33</v>
      </c>
      <c r="B54" t="str">
        <f>PROPER(TRIM(Table1[[#This Row],[Product type]]))</f>
        <v>Skincare</v>
      </c>
      <c r="C54" t="s">
        <v>106</v>
      </c>
      <c r="D54">
        <v>98.031829656465007</v>
      </c>
      <c r="E54">
        <v>1</v>
      </c>
      <c r="F54">
        <v>820</v>
      </c>
      <c r="G54">
        <v>9435.7626089121295</v>
      </c>
      <c r="H54" t="s">
        <v>55</v>
      </c>
      <c r="I54">
        <v>64</v>
      </c>
      <c r="J54">
        <v>11</v>
      </c>
      <c r="K54">
        <v>11</v>
      </c>
      <c r="L54">
        <v>1</v>
      </c>
      <c r="M54" t="s">
        <v>27</v>
      </c>
      <c r="N54">
        <v>8.6310521797689397</v>
      </c>
      <c r="O54" t="s">
        <v>39</v>
      </c>
      <c r="P54" t="s">
        <v>29</v>
      </c>
      <c r="Q54">
        <v>10</v>
      </c>
      <c r="R54">
        <v>727</v>
      </c>
      <c r="S54">
        <v>27</v>
      </c>
      <c r="T54">
        <v>9.1668491485971497</v>
      </c>
      <c r="U54" t="s">
        <v>30</v>
      </c>
      <c r="V54">
        <v>2.1224716191438202</v>
      </c>
      <c r="W54" t="s">
        <v>40</v>
      </c>
      <c r="X54" t="s">
        <v>41</v>
      </c>
      <c r="Y54">
        <v>602.89849883838303</v>
      </c>
      <c r="Z54">
        <f t="shared" si="3"/>
        <v>620.69640016674896</v>
      </c>
      <c r="AA54">
        <f t="shared" si="4"/>
        <v>8815.0662087453802</v>
      </c>
      <c r="AB54">
        <f t="shared" si="5"/>
        <v>0.934218735051632</v>
      </c>
    </row>
    <row r="55" spans="1:28">
      <c r="A55" t="s">
        <v>33</v>
      </c>
      <c r="B55" t="str">
        <f>PROPER(TRIM(Table1[[#This Row],[Product type]]))</f>
        <v>Skincare</v>
      </c>
      <c r="C55" t="s">
        <v>107</v>
      </c>
      <c r="D55">
        <v>30.3414707112142</v>
      </c>
      <c r="E55">
        <v>93</v>
      </c>
      <c r="F55">
        <v>242</v>
      </c>
      <c r="G55">
        <v>8232.3348294258194</v>
      </c>
      <c r="H55" t="s">
        <v>55</v>
      </c>
      <c r="I55">
        <v>96</v>
      </c>
      <c r="J55">
        <v>25</v>
      </c>
      <c r="K55">
        <v>54</v>
      </c>
      <c r="L55">
        <v>3</v>
      </c>
      <c r="M55" t="s">
        <v>27</v>
      </c>
      <c r="N55">
        <v>1.0134865660958901</v>
      </c>
      <c r="O55" t="s">
        <v>39</v>
      </c>
      <c r="P55" t="s">
        <v>50</v>
      </c>
      <c r="Q55">
        <v>1</v>
      </c>
      <c r="R55">
        <v>631</v>
      </c>
      <c r="S55">
        <v>17</v>
      </c>
      <c r="T55">
        <v>83.344058991677898</v>
      </c>
      <c r="U55" t="s">
        <v>30</v>
      </c>
      <c r="V55">
        <v>1.41034757607602</v>
      </c>
      <c r="W55" t="s">
        <v>40</v>
      </c>
      <c r="X55" t="s">
        <v>32</v>
      </c>
      <c r="Y55">
        <v>750.73784066827</v>
      </c>
      <c r="Z55">
        <f t="shared" si="3"/>
        <v>835.09538622604396</v>
      </c>
      <c r="AA55">
        <f t="shared" si="4"/>
        <v>7397.23944319978</v>
      </c>
      <c r="AB55">
        <f t="shared" si="5"/>
        <v>0.89855910825674101</v>
      </c>
    </row>
    <row r="56" spans="1:28">
      <c r="A56" t="s">
        <v>24</v>
      </c>
      <c r="B56" t="str">
        <f>PROPER(TRIM(Table1[[#This Row],[Product type]]))</f>
        <v>Haircare</v>
      </c>
      <c r="C56" t="s">
        <v>108</v>
      </c>
      <c r="D56">
        <v>31.1462431602408</v>
      </c>
      <c r="E56">
        <v>11</v>
      </c>
      <c r="F56">
        <v>622</v>
      </c>
      <c r="G56">
        <v>6088.0214799408504</v>
      </c>
      <c r="H56" t="s">
        <v>26</v>
      </c>
      <c r="I56">
        <v>33</v>
      </c>
      <c r="J56">
        <v>22</v>
      </c>
      <c r="K56">
        <v>61</v>
      </c>
      <c r="L56">
        <v>3</v>
      </c>
      <c r="M56" t="s">
        <v>27</v>
      </c>
      <c r="N56">
        <v>4.3051034712876302</v>
      </c>
      <c r="O56" t="s">
        <v>39</v>
      </c>
      <c r="P56" t="s">
        <v>45</v>
      </c>
      <c r="Q56">
        <v>26</v>
      </c>
      <c r="R56">
        <v>497</v>
      </c>
      <c r="S56">
        <v>29</v>
      </c>
      <c r="T56">
        <v>30.186023375822501</v>
      </c>
      <c r="U56" t="s">
        <v>64</v>
      </c>
      <c r="V56">
        <v>2.4787719755397402</v>
      </c>
      <c r="W56" t="s">
        <v>31</v>
      </c>
      <c r="X56" t="s">
        <v>32</v>
      </c>
      <c r="Y56">
        <v>814.06999658218695</v>
      </c>
      <c r="Z56">
        <f t="shared" si="3"/>
        <v>848.56112342929703</v>
      </c>
      <c r="AA56">
        <f t="shared" si="4"/>
        <v>5239.4603565115503</v>
      </c>
      <c r="AB56">
        <f t="shared" si="5"/>
        <v>0.86061791565204204</v>
      </c>
    </row>
    <row r="57" spans="1:28">
      <c r="A57" t="s">
        <v>24</v>
      </c>
      <c r="B57" t="str">
        <f>PROPER(TRIM(Table1[[#This Row],[Product type]]))</f>
        <v>Haircare</v>
      </c>
      <c r="C57" t="s">
        <v>109</v>
      </c>
      <c r="D57">
        <v>79.855058340789398</v>
      </c>
      <c r="E57">
        <v>16</v>
      </c>
      <c r="F57">
        <v>701</v>
      </c>
      <c r="G57">
        <v>2925.6751703038099</v>
      </c>
      <c r="H57" t="s">
        <v>55</v>
      </c>
      <c r="I57">
        <v>97</v>
      </c>
      <c r="J57">
        <v>11</v>
      </c>
      <c r="K57">
        <v>11</v>
      </c>
      <c r="L57">
        <v>5</v>
      </c>
      <c r="M57" t="s">
        <v>36</v>
      </c>
      <c r="N57">
        <v>5.0143649550309002</v>
      </c>
      <c r="O57" t="s">
        <v>61</v>
      </c>
      <c r="P57" t="s">
        <v>50</v>
      </c>
      <c r="Q57">
        <v>27</v>
      </c>
      <c r="R57">
        <v>918</v>
      </c>
      <c r="S57">
        <v>5</v>
      </c>
      <c r="T57">
        <v>30.323545256616502</v>
      </c>
      <c r="U57" t="s">
        <v>46</v>
      </c>
      <c r="V57">
        <v>4.5489196593963799</v>
      </c>
      <c r="W57" t="s">
        <v>56</v>
      </c>
      <c r="X57" t="s">
        <v>32</v>
      </c>
      <c r="Y57">
        <v>323.01292795247798</v>
      </c>
      <c r="Z57">
        <f t="shared" si="3"/>
        <v>358.35083816412498</v>
      </c>
      <c r="AA57">
        <f t="shared" si="4"/>
        <v>2567.3243321396799</v>
      </c>
      <c r="AB57">
        <f t="shared" si="5"/>
        <v>0.87751516579780997</v>
      </c>
    </row>
    <row r="58" spans="1:28">
      <c r="A58" t="s">
        <v>33</v>
      </c>
      <c r="B58" t="str">
        <f>PROPER(TRIM(Table1[[#This Row],[Product type]]))</f>
        <v>Skincare</v>
      </c>
      <c r="C58" t="s">
        <v>110</v>
      </c>
      <c r="D58">
        <v>20.9863860370433</v>
      </c>
      <c r="E58">
        <v>90</v>
      </c>
      <c r="F58">
        <v>93</v>
      </c>
      <c r="G58">
        <v>4767.0204843441297</v>
      </c>
      <c r="H58" t="s">
        <v>26</v>
      </c>
      <c r="I58">
        <v>25</v>
      </c>
      <c r="J58">
        <v>23</v>
      </c>
      <c r="K58">
        <v>83</v>
      </c>
      <c r="L58">
        <v>5</v>
      </c>
      <c r="M58" t="s">
        <v>43</v>
      </c>
      <c r="N58">
        <v>1.77442971407173</v>
      </c>
      <c r="O58" t="s">
        <v>39</v>
      </c>
      <c r="P58" t="s">
        <v>29</v>
      </c>
      <c r="Q58">
        <v>24</v>
      </c>
      <c r="R58">
        <v>826</v>
      </c>
      <c r="S58">
        <v>28</v>
      </c>
      <c r="T58">
        <v>12.8362845728327</v>
      </c>
      <c r="U58" t="s">
        <v>64</v>
      </c>
      <c r="V58">
        <v>1.1737554953874501</v>
      </c>
      <c r="W58" t="s">
        <v>40</v>
      </c>
      <c r="X58" t="s">
        <v>32</v>
      </c>
      <c r="Y58">
        <v>832.210808706021</v>
      </c>
      <c r="Z58">
        <f t="shared" si="3"/>
        <v>846.821522992925</v>
      </c>
      <c r="AA58">
        <f t="shared" si="4"/>
        <v>3920.1989613512001</v>
      </c>
      <c r="AB58">
        <f t="shared" si="5"/>
        <v>0.82235832093147898</v>
      </c>
    </row>
    <row r="59" spans="1:28">
      <c r="A59" t="s">
        <v>24</v>
      </c>
      <c r="B59" t="str">
        <f>PROPER(TRIM(Table1[[#This Row],[Product type]]))</f>
        <v>Haircare</v>
      </c>
      <c r="C59" t="s">
        <v>111</v>
      </c>
      <c r="D59">
        <v>49.263205350734097</v>
      </c>
      <c r="E59">
        <v>65</v>
      </c>
      <c r="F59">
        <v>227</v>
      </c>
      <c r="G59">
        <v>1605.8669003924001</v>
      </c>
      <c r="H59" t="s">
        <v>38</v>
      </c>
      <c r="I59">
        <v>5</v>
      </c>
      <c r="J59">
        <v>18</v>
      </c>
      <c r="K59">
        <v>51</v>
      </c>
      <c r="L59">
        <v>1</v>
      </c>
      <c r="M59" t="s">
        <v>27</v>
      </c>
      <c r="N59">
        <v>9.1605585353818704</v>
      </c>
      <c r="O59" t="s">
        <v>61</v>
      </c>
      <c r="P59" t="s">
        <v>50</v>
      </c>
      <c r="Q59">
        <v>21</v>
      </c>
      <c r="R59">
        <v>588</v>
      </c>
      <c r="S59">
        <v>25</v>
      </c>
      <c r="T59">
        <v>67.779622987078099</v>
      </c>
      <c r="U59" t="s">
        <v>30</v>
      </c>
      <c r="V59">
        <v>2.5111748302126999</v>
      </c>
      <c r="W59" t="s">
        <v>47</v>
      </c>
      <c r="X59" t="s">
        <v>48</v>
      </c>
      <c r="Y59">
        <v>482.19123860252802</v>
      </c>
      <c r="Z59">
        <f t="shared" si="3"/>
        <v>559.13142012498804</v>
      </c>
      <c r="AA59">
        <f t="shared" si="4"/>
        <v>1046.7354802674099</v>
      </c>
      <c r="AB59">
        <f t="shared" si="5"/>
        <v>0.65181957484249697</v>
      </c>
    </row>
    <row r="60" spans="1:28">
      <c r="A60" t="s">
        <v>33</v>
      </c>
      <c r="B60" t="str">
        <f>PROPER(TRIM(Table1[[#This Row],[Product type]]))</f>
        <v>Skincare</v>
      </c>
      <c r="C60" t="s">
        <v>112</v>
      </c>
      <c r="D60">
        <v>59.841561377289302</v>
      </c>
      <c r="E60">
        <v>81</v>
      </c>
      <c r="F60">
        <v>896</v>
      </c>
      <c r="G60">
        <v>2021.1498103371</v>
      </c>
      <c r="H60" t="s">
        <v>26</v>
      </c>
      <c r="I60">
        <v>10</v>
      </c>
      <c r="J60">
        <v>5</v>
      </c>
      <c r="K60">
        <v>44</v>
      </c>
      <c r="L60">
        <v>7</v>
      </c>
      <c r="M60" t="s">
        <v>36</v>
      </c>
      <c r="N60">
        <v>4.9384385647120901</v>
      </c>
      <c r="O60" t="s">
        <v>28</v>
      </c>
      <c r="P60" t="s">
        <v>50</v>
      </c>
      <c r="Q60">
        <v>18</v>
      </c>
      <c r="R60">
        <v>396</v>
      </c>
      <c r="S60">
        <v>7</v>
      </c>
      <c r="T60">
        <v>65.047415094691402</v>
      </c>
      <c r="U60" t="s">
        <v>46</v>
      </c>
      <c r="V60">
        <v>1.7303747198591899</v>
      </c>
      <c r="W60" t="s">
        <v>31</v>
      </c>
      <c r="X60" t="s">
        <v>32</v>
      </c>
      <c r="Y60">
        <v>110.364335231364</v>
      </c>
      <c r="Z60">
        <f t="shared" si="3"/>
        <v>180.35018889076699</v>
      </c>
      <c r="AA60">
        <f t="shared" si="4"/>
        <v>1840.7996214463301</v>
      </c>
      <c r="AB60">
        <f t="shared" si="5"/>
        <v>0.91076851999373198</v>
      </c>
    </row>
    <row r="61" spans="1:28">
      <c r="A61" t="s">
        <v>57</v>
      </c>
      <c r="B61" t="str">
        <f>PROPER(TRIM(Table1[[#This Row],[Product type]]))</f>
        <v>Cosmetics</v>
      </c>
      <c r="C61" t="s">
        <v>113</v>
      </c>
      <c r="D61">
        <v>63.828398347710902</v>
      </c>
      <c r="E61">
        <v>30</v>
      </c>
      <c r="F61">
        <v>484</v>
      </c>
      <c r="G61">
        <v>1061.6185230132801</v>
      </c>
      <c r="H61" t="s">
        <v>26</v>
      </c>
      <c r="I61">
        <v>100</v>
      </c>
      <c r="J61">
        <v>16</v>
      </c>
      <c r="K61">
        <v>26</v>
      </c>
      <c r="L61">
        <v>7</v>
      </c>
      <c r="M61" t="s">
        <v>27</v>
      </c>
      <c r="N61">
        <v>7.2937225968677204</v>
      </c>
      <c r="O61" t="s">
        <v>39</v>
      </c>
      <c r="P61" t="s">
        <v>45</v>
      </c>
      <c r="Q61">
        <v>11</v>
      </c>
      <c r="R61">
        <v>176</v>
      </c>
      <c r="S61">
        <v>4</v>
      </c>
      <c r="T61">
        <v>1.90076224351945</v>
      </c>
      <c r="U61" t="s">
        <v>46</v>
      </c>
      <c r="V61">
        <v>0.44719401546382298</v>
      </c>
      <c r="W61" t="s">
        <v>40</v>
      </c>
      <c r="X61" t="s">
        <v>48</v>
      </c>
      <c r="Y61">
        <v>312.57427361009297</v>
      </c>
      <c r="Z61">
        <f t="shared" si="3"/>
        <v>321.76875845047999</v>
      </c>
      <c r="AA61">
        <f t="shared" si="4"/>
        <v>739.84976456280003</v>
      </c>
      <c r="AB61">
        <f t="shared" si="5"/>
        <v>0.69690736222538996</v>
      </c>
    </row>
    <row r="62" spans="1:28">
      <c r="A62" t="s">
        <v>33</v>
      </c>
      <c r="B62" t="str">
        <f>PROPER(TRIM(Table1[[#This Row],[Product type]]))</f>
        <v>Skincare</v>
      </c>
      <c r="C62" t="s">
        <v>114</v>
      </c>
      <c r="D62">
        <v>17.028027920188698</v>
      </c>
      <c r="E62">
        <v>16</v>
      </c>
      <c r="F62">
        <v>380</v>
      </c>
      <c r="G62">
        <v>8864.0843495864301</v>
      </c>
      <c r="H62" t="s">
        <v>35</v>
      </c>
      <c r="I62">
        <v>41</v>
      </c>
      <c r="J62">
        <v>27</v>
      </c>
      <c r="K62">
        <v>72</v>
      </c>
      <c r="L62">
        <v>8</v>
      </c>
      <c r="M62" t="s">
        <v>43</v>
      </c>
      <c r="N62">
        <v>4.3813681581023101</v>
      </c>
      <c r="O62" t="s">
        <v>52</v>
      </c>
      <c r="P62" t="s">
        <v>29</v>
      </c>
      <c r="Q62">
        <v>29</v>
      </c>
      <c r="R62">
        <v>929</v>
      </c>
      <c r="S62">
        <v>24</v>
      </c>
      <c r="T62">
        <v>87.213057815135599</v>
      </c>
      <c r="U62" t="s">
        <v>46</v>
      </c>
      <c r="V62">
        <v>2.8530906166490499</v>
      </c>
      <c r="W62" t="s">
        <v>47</v>
      </c>
      <c r="X62" t="s">
        <v>48</v>
      </c>
      <c r="Y62">
        <v>430.16909697513597</v>
      </c>
      <c r="Z62">
        <f t="shared" si="3"/>
        <v>521.76352294837397</v>
      </c>
      <c r="AA62">
        <f t="shared" si="4"/>
        <v>8342.3208266380607</v>
      </c>
      <c r="AB62">
        <f t="shared" si="5"/>
        <v>0.94113734680641703</v>
      </c>
    </row>
    <row r="63" spans="1:28">
      <c r="A63" t="s">
        <v>24</v>
      </c>
      <c r="B63" t="str">
        <f>PROPER(TRIM(Table1[[#This Row],[Product type]]))</f>
        <v>Haircare</v>
      </c>
      <c r="C63" t="s">
        <v>115</v>
      </c>
      <c r="D63">
        <v>52.028749903294901</v>
      </c>
      <c r="E63">
        <v>23</v>
      </c>
      <c r="F63">
        <v>117</v>
      </c>
      <c r="G63">
        <v>6885.5893508962499</v>
      </c>
      <c r="H63" t="s">
        <v>38</v>
      </c>
      <c r="I63">
        <v>32</v>
      </c>
      <c r="J63">
        <v>23</v>
      </c>
      <c r="K63">
        <v>36</v>
      </c>
      <c r="L63">
        <v>7</v>
      </c>
      <c r="M63" t="s">
        <v>43</v>
      </c>
      <c r="N63">
        <v>9.0303404225219399</v>
      </c>
      <c r="O63" t="s">
        <v>52</v>
      </c>
      <c r="P63" t="s">
        <v>45</v>
      </c>
      <c r="Q63">
        <v>14</v>
      </c>
      <c r="R63">
        <v>480</v>
      </c>
      <c r="S63">
        <v>12</v>
      </c>
      <c r="T63">
        <v>78.702393968878894</v>
      </c>
      <c r="U63" t="s">
        <v>46</v>
      </c>
      <c r="V63">
        <v>4.3674705382050503</v>
      </c>
      <c r="W63" t="s">
        <v>40</v>
      </c>
      <c r="X63" t="s">
        <v>48</v>
      </c>
      <c r="Y63">
        <v>164.366528243419</v>
      </c>
      <c r="Z63">
        <f t="shared" si="3"/>
        <v>252.09926263482001</v>
      </c>
      <c r="AA63">
        <f t="shared" si="4"/>
        <v>6633.4900882614302</v>
      </c>
      <c r="AB63">
        <f t="shared" si="5"/>
        <v>0.96338740959014602</v>
      </c>
    </row>
    <row r="64" spans="1:28">
      <c r="A64" t="s">
        <v>57</v>
      </c>
      <c r="B64" t="str">
        <f>PROPER(TRIM(Table1[[#This Row],[Product type]]))</f>
        <v>Cosmetics</v>
      </c>
      <c r="C64" t="s">
        <v>116</v>
      </c>
      <c r="D64">
        <v>72.796353955587307</v>
      </c>
      <c r="E64">
        <v>89</v>
      </c>
      <c r="F64">
        <v>270</v>
      </c>
      <c r="G64">
        <v>3899.7468337292198</v>
      </c>
      <c r="H64" t="s">
        <v>38</v>
      </c>
      <c r="I64">
        <v>86</v>
      </c>
      <c r="J64">
        <v>2</v>
      </c>
      <c r="K64">
        <v>40</v>
      </c>
      <c r="L64">
        <v>7</v>
      </c>
      <c r="M64" t="s">
        <v>43</v>
      </c>
      <c r="N64">
        <v>7.2917013887767697</v>
      </c>
      <c r="O64" t="s">
        <v>61</v>
      </c>
      <c r="P64" t="s">
        <v>29</v>
      </c>
      <c r="Q64">
        <v>13</v>
      </c>
      <c r="R64">
        <v>751</v>
      </c>
      <c r="S64">
        <v>14</v>
      </c>
      <c r="T64">
        <v>21.048642725168602</v>
      </c>
      <c r="U64" t="s">
        <v>64</v>
      </c>
      <c r="V64">
        <v>1.87400140404437</v>
      </c>
      <c r="W64" t="s">
        <v>56</v>
      </c>
      <c r="X64" t="s">
        <v>41</v>
      </c>
      <c r="Y64">
        <v>320.84651575911101</v>
      </c>
      <c r="Z64">
        <f t="shared" si="3"/>
        <v>349.18685987305599</v>
      </c>
      <c r="AA64">
        <f t="shared" si="4"/>
        <v>3550.55997385616</v>
      </c>
      <c r="AB64">
        <f t="shared" si="5"/>
        <v>0.91045909522820501</v>
      </c>
    </row>
    <row r="65" spans="1:28">
      <c r="A65" t="s">
        <v>33</v>
      </c>
      <c r="B65" t="str">
        <f>PROPER(TRIM(Table1[[#This Row],[Product type]]))</f>
        <v>Skincare</v>
      </c>
      <c r="C65" t="s">
        <v>117</v>
      </c>
      <c r="D65">
        <v>13.0173767852878</v>
      </c>
      <c r="E65">
        <v>55</v>
      </c>
      <c r="F65">
        <v>246</v>
      </c>
      <c r="G65">
        <v>4256.9491408502199</v>
      </c>
      <c r="H65" t="s">
        <v>26</v>
      </c>
      <c r="I65">
        <v>54</v>
      </c>
      <c r="J65">
        <v>19</v>
      </c>
      <c r="K65">
        <v>10</v>
      </c>
      <c r="L65">
        <v>4</v>
      </c>
      <c r="M65" t="s">
        <v>36</v>
      </c>
      <c r="N65">
        <v>2.45793352798733</v>
      </c>
      <c r="O65" t="s">
        <v>28</v>
      </c>
      <c r="P65" t="s">
        <v>53</v>
      </c>
      <c r="Q65">
        <v>18</v>
      </c>
      <c r="R65">
        <v>736</v>
      </c>
      <c r="S65">
        <v>10</v>
      </c>
      <c r="T65">
        <v>20.075003975630398</v>
      </c>
      <c r="U65" t="s">
        <v>30</v>
      </c>
      <c r="V65">
        <v>3.6328432903821302</v>
      </c>
      <c r="W65" t="s">
        <v>56</v>
      </c>
      <c r="X65" t="s">
        <v>48</v>
      </c>
      <c r="Y65">
        <v>687.28617786641701</v>
      </c>
      <c r="Z65">
        <f t="shared" si="3"/>
        <v>709.81911537003498</v>
      </c>
      <c r="AA65">
        <f t="shared" si="4"/>
        <v>3547.1300254801899</v>
      </c>
      <c r="AB65">
        <f t="shared" si="5"/>
        <v>0.83325637871532898</v>
      </c>
    </row>
    <row r="66" spans="1:28">
      <c r="A66" t="s">
        <v>33</v>
      </c>
      <c r="B66" t="str">
        <f>PROPER(TRIM(Table1[[#This Row],[Product type]]))</f>
        <v>Skincare</v>
      </c>
      <c r="C66" t="s">
        <v>118</v>
      </c>
      <c r="D66">
        <v>89.634095608135297</v>
      </c>
      <c r="E66">
        <v>11</v>
      </c>
      <c r="F66">
        <v>134</v>
      </c>
      <c r="G66">
        <v>8458.7308783671706</v>
      </c>
      <c r="H66" t="s">
        <v>35</v>
      </c>
      <c r="I66">
        <v>73</v>
      </c>
      <c r="J66">
        <v>27</v>
      </c>
      <c r="K66">
        <v>75</v>
      </c>
      <c r="L66">
        <v>6</v>
      </c>
      <c r="M66" t="s">
        <v>43</v>
      </c>
      <c r="N66">
        <v>4.5853534681946497</v>
      </c>
      <c r="O66" t="s">
        <v>39</v>
      </c>
      <c r="P66" t="s">
        <v>50</v>
      </c>
      <c r="Q66">
        <v>17</v>
      </c>
      <c r="R66">
        <v>328</v>
      </c>
      <c r="S66">
        <v>6</v>
      </c>
      <c r="T66">
        <v>8.6930424258772803</v>
      </c>
      <c r="U66" t="s">
        <v>46</v>
      </c>
      <c r="V66">
        <v>0.15948631471751401</v>
      </c>
      <c r="W66" t="s">
        <v>40</v>
      </c>
      <c r="X66" t="s">
        <v>41</v>
      </c>
      <c r="Y66">
        <v>771.225084681157</v>
      </c>
      <c r="Z66">
        <f t="shared" ref="Z66:Z97" si="6">T66+N66+Y66</f>
        <v>784.50348057522899</v>
      </c>
      <c r="AA66">
        <f t="shared" ref="AA66:AA97" si="7">G66-Z66</f>
        <v>7674.2273977919403</v>
      </c>
      <c r="AB66">
        <f t="shared" ref="AB66:AB97" si="8">AA66/G66</f>
        <v>0.90725517907401898</v>
      </c>
    </row>
    <row r="67" spans="1:28">
      <c r="A67" t="s">
        <v>33</v>
      </c>
      <c r="B67" t="str">
        <f>PROPER(TRIM(Table1[[#This Row],[Product type]]))</f>
        <v>Skincare</v>
      </c>
      <c r="C67" t="s">
        <v>119</v>
      </c>
      <c r="D67">
        <v>33.697717206643098</v>
      </c>
      <c r="E67">
        <v>72</v>
      </c>
      <c r="F67">
        <v>457</v>
      </c>
      <c r="G67">
        <v>8354.5796864819895</v>
      </c>
      <c r="H67" t="s">
        <v>55</v>
      </c>
      <c r="I67">
        <v>57</v>
      </c>
      <c r="J67">
        <v>24</v>
      </c>
      <c r="K67">
        <v>54</v>
      </c>
      <c r="L67">
        <v>8</v>
      </c>
      <c r="M67" t="s">
        <v>43</v>
      </c>
      <c r="N67">
        <v>6.5805413478845898</v>
      </c>
      <c r="O67" t="s">
        <v>44</v>
      </c>
      <c r="P67" t="s">
        <v>45</v>
      </c>
      <c r="Q67">
        <v>16</v>
      </c>
      <c r="R67">
        <v>358</v>
      </c>
      <c r="S67">
        <v>21</v>
      </c>
      <c r="T67">
        <v>1.59722274305067</v>
      </c>
      <c r="U67" t="s">
        <v>46</v>
      </c>
      <c r="V67">
        <v>4.9110959548423301</v>
      </c>
      <c r="W67" t="s">
        <v>47</v>
      </c>
      <c r="X67" t="s">
        <v>41</v>
      </c>
      <c r="Y67">
        <v>555.85910367174301</v>
      </c>
      <c r="Z67">
        <f t="shared" si="6"/>
        <v>564.03686776267796</v>
      </c>
      <c r="AA67">
        <f t="shared" si="7"/>
        <v>7790.5428187193102</v>
      </c>
      <c r="AB67">
        <f t="shared" si="8"/>
        <v>0.93248770268176295</v>
      </c>
    </row>
    <row r="68" spans="1:28">
      <c r="A68" t="s">
        <v>33</v>
      </c>
      <c r="B68" t="str">
        <f>PROPER(TRIM(Table1[[#This Row],[Product type]]))</f>
        <v>Skincare</v>
      </c>
      <c r="C68" t="s">
        <v>120</v>
      </c>
      <c r="D68">
        <v>26.034869773962001</v>
      </c>
      <c r="E68">
        <v>52</v>
      </c>
      <c r="F68">
        <v>704</v>
      </c>
      <c r="G68">
        <v>8367.7216180201503</v>
      </c>
      <c r="H68" t="s">
        <v>35</v>
      </c>
      <c r="I68">
        <v>13</v>
      </c>
      <c r="J68">
        <v>17</v>
      </c>
      <c r="K68">
        <v>19</v>
      </c>
      <c r="L68">
        <v>8</v>
      </c>
      <c r="M68" t="s">
        <v>36</v>
      </c>
      <c r="N68">
        <v>2.2161427287713602</v>
      </c>
      <c r="O68" t="s">
        <v>44</v>
      </c>
      <c r="P68" t="s">
        <v>45</v>
      </c>
      <c r="Q68">
        <v>24</v>
      </c>
      <c r="R68">
        <v>867</v>
      </c>
      <c r="S68">
        <v>28</v>
      </c>
      <c r="T68">
        <v>42.084436738309897</v>
      </c>
      <c r="U68" t="s">
        <v>46</v>
      </c>
      <c r="V68">
        <v>3.44806328834026</v>
      </c>
      <c r="W68" t="s">
        <v>31</v>
      </c>
      <c r="X68" t="s">
        <v>48</v>
      </c>
      <c r="Y68">
        <v>393.84334857842703</v>
      </c>
      <c r="Z68">
        <f t="shared" si="6"/>
        <v>438.14392804550801</v>
      </c>
      <c r="AA68">
        <f t="shared" si="7"/>
        <v>7929.5776899746397</v>
      </c>
      <c r="AB68">
        <f t="shared" si="8"/>
        <v>0.94763880204834405</v>
      </c>
    </row>
    <row r="69" spans="1:28">
      <c r="A69" t="s">
        <v>33</v>
      </c>
      <c r="B69" t="str">
        <f>PROPER(TRIM(Table1[[#This Row],[Product type]]))</f>
        <v>Skincare</v>
      </c>
      <c r="C69" t="s">
        <v>121</v>
      </c>
      <c r="D69">
        <v>87.755432354001002</v>
      </c>
      <c r="E69">
        <v>16</v>
      </c>
      <c r="F69">
        <v>513</v>
      </c>
      <c r="G69">
        <v>9473.7980325083299</v>
      </c>
      <c r="H69" t="s">
        <v>38</v>
      </c>
      <c r="I69">
        <v>12</v>
      </c>
      <c r="J69">
        <v>9</v>
      </c>
      <c r="K69">
        <v>71</v>
      </c>
      <c r="L69">
        <v>9</v>
      </c>
      <c r="M69" t="s">
        <v>43</v>
      </c>
      <c r="N69">
        <v>9.1478115447106294</v>
      </c>
      <c r="O69" t="s">
        <v>39</v>
      </c>
      <c r="P69" t="s">
        <v>29</v>
      </c>
      <c r="Q69">
        <v>10</v>
      </c>
      <c r="R69">
        <v>198</v>
      </c>
      <c r="S69">
        <v>11</v>
      </c>
      <c r="T69">
        <v>7.0578761469782298</v>
      </c>
      <c r="U69" t="s">
        <v>64</v>
      </c>
      <c r="V69">
        <v>0.131955444311814</v>
      </c>
      <c r="W69" t="s">
        <v>56</v>
      </c>
      <c r="X69" t="s">
        <v>41</v>
      </c>
      <c r="Y69">
        <v>169.27180138478599</v>
      </c>
      <c r="Z69">
        <f t="shared" si="6"/>
        <v>185.477489076475</v>
      </c>
      <c r="AA69">
        <f t="shared" si="7"/>
        <v>9288.3205434318606</v>
      </c>
      <c r="AB69">
        <f t="shared" si="8"/>
        <v>0.98042205581752695</v>
      </c>
    </row>
    <row r="70" spans="1:28">
      <c r="A70" t="s">
        <v>24</v>
      </c>
      <c r="B70" t="str">
        <f>PROPER(TRIM(Table1[[#This Row],[Product type]]))</f>
        <v>Haircare</v>
      </c>
      <c r="C70" t="s">
        <v>122</v>
      </c>
      <c r="D70">
        <v>37.931812382790298</v>
      </c>
      <c r="E70">
        <v>29</v>
      </c>
      <c r="F70">
        <v>163</v>
      </c>
      <c r="G70">
        <v>3550.21843278099</v>
      </c>
      <c r="H70" t="s">
        <v>26</v>
      </c>
      <c r="I70">
        <v>0</v>
      </c>
      <c r="J70">
        <v>8</v>
      </c>
      <c r="K70">
        <v>58</v>
      </c>
      <c r="L70">
        <v>8</v>
      </c>
      <c r="M70" t="s">
        <v>27</v>
      </c>
      <c r="N70">
        <v>1.19425186488499</v>
      </c>
      <c r="O70" t="s">
        <v>61</v>
      </c>
      <c r="P70" t="s">
        <v>53</v>
      </c>
      <c r="Q70">
        <v>2</v>
      </c>
      <c r="R70">
        <v>375</v>
      </c>
      <c r="S70">
        <v>18</v>
      </c>
      <c r="T70">
        <v>97.113581563462205</v>
      </c>
      <c r="U70" t="s">
        <v>46</v>
      </c>
      <c r="V70">
        <v>1.9834678721741801</v>
      </c>
      <c r="W70" t="s">
        <v>47</v>
      </c>
      <c r="X70" t="s">
        <v>48</v>
      </c>
      <c r="Y70">
        <v>299.70630311810299</v>
      </c>
      <c r="Z70">
        <f t="shared" si="6"/>
        <v>398.01413654645</v>
      </c>
      <c r="AA70">
        <f t="shared" si="7"/>
        <v>3152.2042962345399</v>
      </c>
      <c r="AB70">
        <f t="shared" si="8"/>
        <v>0.88789023997188998</v>
      </c>
    </row>
    <row r="71" spans="1:28">
      <c r="A71" t="s">
        <v>33</v>
      </c>
      <c r="B71" t="str">
        <f>PROPER(TRIM(Table1[[#This Row],[Product type]]))</f>
        <v>Skincare</v>
      </c>
      <c r="C71" t="s">
        <v>123</v>
      </c>
      <c r="D71">
        <v>54.865528517069698</v>
      </c>
      <c r="E71">
        <v>62</v>
      </c>
      <c r="F71">
        <v>511</v>
      </c>
      <c r="G71">
        <v>1752.3810874841199</v>
      </c>
      <c r="H71" t="s">
        <v>26</v>
      </c>
      <c r="I71">
        <v>95</v>
      </c>
      <c r="J71">
        <v>1</v>
      </c>
      <c r="K71">
        <v>27</v>
      </c>
      <c r="L71">
        <v>3</v>
      </c>
      <c r="M71" t="s">
        <v>27</v>
      </c>
      <c r="N71">
        <v>9.7052867901203399</v>
      </c>
      <c r="O71" t="s">
        <v>52</v>
      </c>
      <c r="P71" t="s">
        <v>45</v>
      </c>
      <c r="Q71">
        <v>9</v>
      </c>
      <c r="R71">
        <v>862</v>
      </c>
      <c r="S71">
        <v>7</v>
      </c>
      <c r="T71">
        <v>77.627765812748095</v>
      </c>
      <c r="U71" t="s">
        <v>30</v>
      </c>
      <c r="V71">
        <v>1.3623879886490999</v>
      </c>
      <c r="W71" t="s">
        <v>40</v>
      </c>
      <c r="X71" t="s">
        <v>48</v>
      </c>
      <c r="Y71">
        <v>207.66320620857499</v>
      </c>
      <c r="Z71">
        <f t="shared" si="6"/>
        <v>294.996258811443</v>
      </c>
      <c r="AA71">
        <f t="shared" si="7"/>
        <v>1457.38482867268</v>
      </c>
      <c r="AB71">
        <f t="shared" si="8"/>
        <v>0.831659756591549</v>
      </c>
    </row>
    <row r="72" spans="1:28">
      <c r="A72" t="s">
        <v>24</v>
      </c>
      <c r="B72" t="str">
        <f>PROPER(TRIM(Table1[[#This Row],[Product type]]))</f>
        <v>Haircare</v>
      </c>
      <c r="C72" t="s">
        <v>124</v>
      </c>
      <c r="D72">
        <v>47.914541824058702</v>
      </c>
      <c r="E72">
        <v>90</v>
      </c>
      <c r="F72">
        <v>32</v>
      </c>
      <c r="G72">
        <v>7014.8879872033804</v>
      </c>
      <c r="H72" t="s">
        <v>35</v>
      </c>
      <c r="I72">
        <v>10</v>
      </c>
      <c r="J72">
        <v>12</v>
      </c>
      <c r="K72">
        <v>22</v>
      </c>
      <c r="L72">
        <v>4</v>
      </c>
      <c r="M72" t="s">
        <v>27</v>
      </c>
      <c r="N72">
        <v>6.3157177546007199</v>
      </c>
      <c r="O72" t="s">
        <v>39</v>
      </c>
      <c r="P72" t="s">
        <v>53</v>
      </c>
      <c r="Q72">
        <v>22</v>
      </c>
      <c r="R72">
        <v>775</v>
      </c>
      <c r="S72">
        <v>16</v>
      </c>
      <c r="T72">
        <v>11.440781823761199</v>
      </c>
      <c r="U72" t="s">
        <v>64</v>
      </c>
      <c r="V72">
        <v>1.8305755986122301</v>
      </c>
      <c r="W72" t="s">
        <v>31</v>
      </c>
      <c r="X72" t="s">
        <v>41</v>
      </c>
      <c r="Y72">
        <v>183.27289874871099</v>
      </c>
      <c r="Z72">
        <f t="shared" si="6"/>
        <v>201.02939832707301</v>
      </c>
      <c r="AA72">
        <f t="shared" si="7"/>
        <v>6813.85858887631</v>
      </c>
      <c r="AB72">
        <f t="shared" si="8"/>
        <v>0.97134246495542198</v>
      </c>
    </row>
    <row r="73" spans="1:28">
      <c r="A73" t="s">
        <v>57</v>
      </c>
      <c r="B73" t="str">
        <f>PROPER(TRIM(Table1[[#This Row],[Product type]]))</f>
        <v>Cosmetics</v>
      </c>
      <c r="C73" t="s">
        <v>125</v>
      </c>
      <c r="D73">
        <v>6.3815331627479601</v>
      </c>
      <c r="E73">
        <v>14</v>
      </c>
      <c r="F73">
        <v>637</v>
      </c>
      <c r="G73">
        <v>8180.3370854254399</v>
      </c>
      <c r="H73" t="s">
        <v>35</v>
      </c>
      <c r="I73">
        <v>76</v>
      </c>
      <c r="J73">
        <v>2</v>
      </c>
      <c r="K73">
        <v>26</v>
      </c>
      <c r="L73">
        <v>6</v>
      </c>
      <c r="M73" t="s">
        <v>36</v>
      </c>
      <c r="N73">
        <v>9.2281903170525101</v>
      </c>
      <c r="O73" t="s">
        <v>61</v>
      </c>
      <c r="P73" t="s">
        <v>53</v>
      </c>
      <c r="Q73">
        <v>2</v>
      </c>
      <c r="R73">
        <v>258</v>
      </c>
      <c r="S73">
        <v>10</v>
      </c>
      <c r="T73">
        <v>30.661677477859499</v>
      </c>
      <c r="U73" t="s">
        <v>30</v>
      </c>
      <c r="V73">
        <v>2.07875060787496</v>
      </c>
      <c r="W73" t="s">
        <v>31</v>
      </c>
      <c r="X73" t="s">
        <v>48</v>
      </c>
      <c r="Y73">
        <v>405.167067888855</v>
      </c>
      <c r="Z73">
        <f t="shared" si="6"/>
        <v>445.05693568376699</v>
      </c>
      <c r="AA73">
        <f t="shared" si="7"/>
        <v>7735.2801497416704</v>
      </c>
      <c r="AB73">
        <f t="shared" si="8"/>
        <v>0.94559430362879504</v>
      </c>
    </row>
    <row r="74" spans="1:28">
      <c r="A74" t="s">
        <v>57</v>
      </c>
      <c r="B74" t="str">
        <f>PROPER(TRIM(Table1[[#This Row],[Product type]]))</f>
        <v>Cosmetics</v>
      </c>
      <c r="C74" t="s">
        <v>126</v>
      </c>
      <c r="D74">
        <v>90.204427520528</v>
      </c>
      <c r="E74">
        <v>88</v>
      </c>
      <c r="F74">
        <v>478</v>
      </c>
      <c r="G74">
        <v>2633.1219813122502</v>
      </c>
      <c r="H74" t="s">
        <v>26</v>
      </c>
      <c r="I74">
        <v>57</v>
      </c>
      <c r="J74">
        <v>29</v>
      </c>
      <c r="K74">
        <v>77</v>
      </c>
      <c r="L74">
        <v>9</v>
      </c>
      <c r="M74" t="s">
        <v>36</v>
      </c>
      <c r="N74">
        <v>6.5996141596895397</v>
      </c>
      <c r="O74" t="s">
        <v>39</v>
      </c>
      <c r="P74" t="s">
        <v>53</v>
      </c>
      <c r="Q74">
        <v>21</v>
      </c>
      <c r="R74">
        <v>152</v>
      </c>
      <c r="S74">
        <v>11</v>
      </c>
      <c r="T74">
        <v>55.760492895244198</v>
      </c>
      <c r="U74" t="s">
        <v>30</v>
      </c>
      <c r="V74">
        <v>3.2133296074383</v>
      </c>
      <c r="W74" t="s">
        <v>47</v>
      </c>
      <c r="X74" t="s">
        <v>32</v>
      </c>
      <c r="Y74">
        <v>677.94456984618296</v>
      </c>
      <c r="Z74">
        <f t="shared" si="6"/>
        <v>740.30467690111698</v>
      </c>
      <c r="AA74">
        <f t="shared" si="7"/>
        <v>1892.81730441113</v>
      </c>
      <c r="AB74">
        <f t="shared" si="8"/>
        <v>0.71884907643656704</v>
      </c>
    </row>
    <row r="75" spans="1:28">
      <c r="A75" t="s">
        <v>57</v>
      </c>
      <c r="B75" t="str">
        <f>PROPER(TRIM(Table1[[#This Row],[Product type]]))</f>
        <v>Cosmetics</v>
      </c>
      <c r="C75" t="s">
        <v>127</v>
      </c>
      <c r="D75">
        <v>83.851017681304597</v>
      </c>
      <c r="E75">
        <v>41</v>
      </c>
      <c r="F75">
        <v>375</v>
      </c>
      <c r="G75">
        <v>7910.8869161406801</v>
      </c>
      <c r="H75" t="s">
        <v>55</v>
      </c>
      <c r="I75">
        <v>17</v>
      </c>
      <c r="J75">
        <v>25</v>
      </c>
      <c r="K75">
        <v>66</v>
      </c>
      <c r="L75">
        <v>5</v>
      </c>
      <c r="M75" t="s">
        <v>27</v>
      </c>
      <c r="N75">
        <v>1.5129368369160701</v>
      </c>
      <c r="O75" t="s">
        <v>52</v>
      </c>
      <c r="P75" t="s">
        <v>62</v>
      </c>
      <c r="Q75">
        <v>13</v>
      </c>
      <c r="R75">
        <v>444</v>
      </c>
      <c r="S75">
        <v>4</v>
      </c>
      <c r="T75">
        <v>46.870238797617098</v>
      </c>
      <c r="U75" t="s">
        <v>46</v>
      </c>
      <c r="V75">
        <v>4.6205460645137002</v>
      </c>
      <c r="W75" t="s">
        <v>31</v>
      </c>
      <c r="X75" t="s">
        <v>48</v>
      </c>
      <c r="Y75">
        <v>866.472800129657</v>
      </c>
      <c r="Z75">
        <f t="shared" si="6"/>
        <v>914.85597576419002</v>
      </c>
      <c r="AA75">
        <f t="shared" si="7"/>
        <v>6996.0309403764904</v>
      </c>
      <c r="AB75">
        <f t="shared" si="8"/>
        <v>0.884354815653148</v>
      </c>
    </row>
    <row r="76" spans="1:28">
      <c r="A76" t="s">
        <v>24</v>
      </c>
      <c r="B76" t="str">
        <f>PROPER(TRIM(Table1[[#This Row],[Product type]]))</f>
        <v>Haircare</v>
      </c>
      <c r="C76" t="s">
        <v>128</v>
      </c>
      <c r="D76">
        <v>3.1700114135661499</v>
      </c>
      <c r="E76">
        <v>64</v>
      </c>
      <c r="F76">
        <v>904</v>
      </c>
      <c r="G76">
        <v>5709.9452959692799</v>
      </c>
      <c r="H76" t="s">
        <v>35</v>
      </c>
      <c r="I76">
        <v>41</v>
      </c>
      <c r="J76">
        <v>6</v>
      </c>
      <c r="K76">
        <v>1</v>
      </c>
      <c r="L76">
        <v>5</v>
      </c>
      <c r="M76" t="s">
        <v>36</v>
      </c>
      <c r="N76">
        <v>5.2376546500374399</v>
      </c>
      <c r="O76" t="s">
        <v>52</v>
      </c>
      <c r="P76" t="s">
        <v>50</v>
      </c>
      <c r="Q76">
        <v>1</v>
      </c>
      <c r="R76">
        <v>919</v>
      </c>
      <c r="S76">
        <v>9</v>
      </c>
      <c r="T76">
        <v>80.580852156447804</v>
      </c>
      <c r="U76" t="s">
        <v>46</v>
      </c>
      <c r="V76">
        <v>0.39661272410993498</v>
      </c>
      <c r="W76" t="s">
        <v>47</v>
      </c>
      <c r="X76" t="s">
        <v>48</v>
      </c>
      <c r="Y76">
        <v>341.55265678322297</v>
      </c>
      <c r="Z76">
        <f t="shared" si="6"/>
        <v>427.37116358970798</v>
      </c>
      <c r="AA76">
        <f t="shared" si="7"/>
        <v>5282.5741323795701</v>
      </c>
      <c r="AB76">
        <f t="shared" si="8"/>
        <v>0.92515319474402102</v>
      </c>
    </row>
    <row r="77" spans="1:28">
      <c r="A77" t="s">
        <v>33</v>
      </c>
      <c r="B77" t="str">
        <f>PROPER(TRIM(Table1[[#This Row],[Product type]]))</f>
        <v>Skincare</v>
      </c>
      <c r="C77" t="s">
        <v>129</v>
      </c>
      <c r="D77">
        <v>92.996884233970604</v>
      </c>
      <c r="E77">
        <v>29</v>
      </c>
      <c r="F77">
        <v>106</v>
      </c>
      <c r="G77">
        <v>1889.07358977933</v>
      </c>
      <c r="H77" t="s">
        <v>26</v>
      </c>
      <c r="I77">
        <v>16</v>
      </c>
      <c r="J77">
        <v>20</v>
      </c>
      <c r="K77">
        <v>56</v>
      </c>
      <c r="L77">
        <v>10</v>
      </c>
      <c r="M77" t="s">
        <v>43</v>
      </c>
      <c r="N77">
        <v>2.47389776104546</v>
      </c>
      <c r="O77" t="s">
        <v>39</v>
      </c>
      <c r="P77" t="s">
        <v>62</v>
      </c>
      <c r="Q77">
        <v>25</v>
      </c>
      <c r="R77">
        <v>759</v>
      </c>
      <c r="S77">
        <v>11</v>
      </c>
      <c r="T77">
        <v>48.064782640006499</v>
      </c>
      <c r="U77" t="s">
        <v>64</v>
      </c>
      <c r="V77">
        <v>2.0300690886687498</v>
      </c>
      <c r="W77" t="s">
        <v>40</v>
      </c>
      <c r="X77" t="s">
        <v>41</v>
      </c>
      <c r="Y77">
        <v>873.12964801765099</v>
      </c>
      <c r="Z77">
        <f t="shared" si="6"/>
        <v>923.66832841870303</v>
      </c>
      <c r="AA77">
        <f t="shared" si="7"/>
        <v>965.40526136062704</v>
      </c>
      <c r="AB77">
        <f t="shared" si="8"/>
        <v>0.51104693146093905</v>
      </c>
    </row>
    <row r="78" spans="1:28">
      <c r="A78" t="s">
        <v>24</v>
      </c>
      <c r="B78" t="str">
        <f>PROPER(TRIM(Table1[[#This Row],[Product type]]))</f>
        <v>Haircare</v>
      </c>
      <c r="C78" t="s">
        <v>130</v>
      </c>
      <c r="D78">
        <v>69.108799547430294</v>
      </c>
      <c r="E78">
        <v>23</v>
      </c>
      <c r="F78">
        <v>241</v>
      </c>
      <c r="G78">
        <v>5328.3759842977497</v>
      </c>
      <c r="H78" t="s">
        <v>55</v>
      </c>
      <c r="I78">
        <v>38</v>
      </c>
      <c r="J78">
        <v>1</v>
      </c>
      <c r="K78">
        <v>22</v>
      </c>
      <c r="L78">
        <v>10</v>
      </c>
      <c r="M78" t="s">
        <v>36</v>
      </c>
      <c r="N78">
        <v>7.0545383368369201</v>
      </c>
      <c r="O78" t="s">
        <v>61</v>
      </c>
      <c r="P78" t="s">
        <v>53</v>
      </c>
      <c r="Q78">
        <v>25</v>
      </c>
      <c r="R78">
        <v>985</v>
      </c>
      <c r="S78">
        <v>24</v>
      </c>
      <c r="T78">
        <v>64.323597795600193</v>
      </c>
      <c r="U78" t="s">
        <v>30</v>
      </c>
      <c r="V78">
        <v>2.1800374515822099</v>
      </c>
      <c r="W78" t="s">
        <v>47</v>
      </c>
      <c r="X78" t="s">
        <v>48</v>
      </c>
      <c r="Y78">
        <v>997.41345013319403</v>
      </c>
      <c r="Z78">
        <f t="shared" si="6"/>
        <v>1068.79158626563</v>
      </c>
      <c r="AA78">
        <f t="shared" si="7"/>
        <v>4259.5843980321197</v>
      </c>
      <c r="AB78">
        <f t="shared" si="8"/>
        <v>0.79941513335108805</v>
      </c>
    </row>
    <row r="79" spans="1:28">
      <c r="A79" t="s">
        <v>24</v>
      </c>
      <c r="B79" t="str">
        <f>PROPER(TRIM(Table1[[#This Row],[Product type]]))</f>
        <v>Haircare</v>
      </c>
      <c r="C79" t="s">
        <v>131</v>
      </c>
      <c r="D79">
        <v>57.449742958971399</v>
      </c>
      <c r="E79">
        <v>14</v>
      </c>
      <c r="F79">
        <v>359</v>
      </c>
      <c r="G79">
        <v>2483.7601775427902</v>
      </c>
      <c r="H79" t="s">
        <v>38</v>
      </c>
      <c r="I79">
        <v>96</v>
      </c>
      <c r="J79">
        <v>28</v>
      </c>
      <c r="K79">
        <v>57</v>
      </c>
      <c r="L79">
        <v>4</v>
      </c>
      <c r="M79" t="s">
        <v>27</v>
      </c>
      <c r="N79">
        <v>6.7809466256178901</v>
      </c>
      <c r="O79" t="s">
        <v>39</v>
      </c>
      <c r="P79" t="s">
        <v>45</v>
      </c>
      <c r="Q79">
        <v>26</v>
      </c>
      <c r="R79">
        <v>334</v>
      </c>
      <c r="S79">
        <v>5</v>
      </c>
      <c r="T79">
        <v>42.952444748991802</v>
      </c>
      <c r="U79" t="s">
        <v>64</v>
      </c>
      <c r="V79">
        <v>3.0551418183075398</v>
      </c>
      <c r="W79" t="s">
        <v>31</v>
      </c>
      <c r="X79" t="s">
        <v>32</v>
      </c>
      <c r="Y79">
        <v>852.56809891984994</v>
      </c>
      <c r="Z79">
        <f t="shared" si="6"/>
        <v>902.30149029446</v>
      </c>
      <c r="AA79">
        <f t="shared" si="7"/>
        <v>1581.4586872483301</v>
      </c>
      <c r="AB79">
        <f t="shared" si="8"/>
        <v>0.63671955994273299</v>
      </c>
    </row>
    <row r="80" spans="1:28">
      <c r="A80" t="s">
        <v>24</v>
      </c>
      <c r="B80" t="str">
        <f>PROPER(TRIM(Table1[[#This Row],[Product type]]))</f>
        <v>Haircare</v>
      </c>
      <c r="C80" t="s">
        <v>132</v>
      </c>
      <c r="D80">
        <v>6.30688317611191</v>
      </c>
      <c r="E80">
        <v>50</v>
      </c>
      <c r="F80">
        <v>946</v>
      </c>
      <c r="G80">
        <v>1292.45841793775</v>
      </c>
      <c r="H80" t="s">
        <v>38</v>
      </c>
      <c r="I80">
        <v>5</v>
      </c>
      <c r="J80">
        <v>4</v>
      </c>
      <c r="K80">
        <v>51</v>
      </c>
      <c r="L80">
        <v>5</v>
      </c>
      <c r="M80" t="s">
        <v>27</v>
      </c>
      <c r="N80">
        <v>8.4670497708619905</v>
      </c>
      <c r="O80" t="s">
        <v>44</v>
      </c>
      <c r="P80" t="s">
        <v>29</v>
      </c>
      <c r="Q80">
        <v>25</v>
      </c>
      <c r="R80">
        <v>858</v>
      </c>
      <c r="S80">
        <v>21</v>
      </c>
      <c r="T80">
        <v>71.126514720403307</v>
      </c>
      <c r="U80" t="s">
        <v>30</v>
      </c>
      <c r="V80">
        <v>4.0968813324704501</v>
      </c>
      <c r="W80" t="s">
        <v>56</v>
      </c>
      <c r="X80" t="s">
        <v>41</v>
      </c>
      <c r="Y80">
        <v>323.59220343132199</v>
      </c>
      <c r="Z80">
        <f t="shared" si="6"/>
        <v>403.18576792258699</v>
      </c>
      <c r="AA80">
        <f t="shared" si="7"/>
        <v>889.27265001516298</v>
      </c>
      <c r="AB80">
        <f t="shared" si="8"/>
        <v>0.68804739686255301</v>
      </c>
    </row>
    <row r="81" spans="1:28">
      <c r="A81" t="s">
        <v>24</v>
      </c>
      <c r="B81" t="str">
        <f>PROPER(TRIM(Table1[[#This Row],[Product type]]))</f>
        <v>Haircare</v>
      </c>
      <c r="C81" t="s">
        <v>133</v>
      </c>
      <c r="D81">
        <v>57.057031221103202</v>
      </c>
      <c r="E81">
        <v>56</v>
      </c>
      <c r="F81">
        <v>198</v>
      </c>
      <c r="G81">
        <v>7888.7232684270803</v>
      </c>
      <c r="H81" t="s">
        <v>26</v>
      </c>
      <c r="I81">
        <v>31</v>
      </c>
      <c r="J81">
        <v>25</v>
      </c>
      <c r="K81">
        <v>20</v>
      </c>
      <c r="L81">
        <v>1</v>
      </c>
      <c r="M81" t="s">
        <v>27</v>
      </c>
      <c r="N81">
        <v>6.49632536429504</v>
      </c>
      <c r="O81" t="s">
        <v>28</v>
      </c>
      <c r="P81" t="s">
        <v>53</v>
      </c>
      <c r="Q81">
        <v>5</v>
      </c>
      <c r="R81">
        <v>228</v>
      </c>
      <c r="S81">
        <v>12</v>
      </c>
      <c r="T81">
        <v>57.870902924036201</v>
      </c>
      <c r="U81" t="s">
        <v>30</v>
      </c>
      <c r="V81">
        <v>0.16587162748060799</v>
      </c>
      <c r="W81" t="s">
        <v>40</v>
      </c>
      <c r="X81" t="s">
        <v>41</v>
      </c>
      <c r="Y81">
        <v>351.50421933503799</v>
      </c>
      <c r="Z81">
        <f t="shared" si="6"/>
        <v>415.87144762336902</v>
      </c>
      <c r="AA81">
        <f t="shared" si="7"/>
        <v>7472.8518208037103</v>
      </c>
      <c r="AB81">
        <f t="shared" si="8"/>
        <v>0.94728279425293005</v>
      </c>
    </row>
    <row r="82" spans="1:28">
      <c r="A82" t="s">
        <v>33</v>
      </c>
      <c r="B82" t="str">
        <f>PROPER(TRIM(Table1[[#This Row],[Product type]]))</f>
        <v>Skincare</v>
      </c>
      <c r="C82" t="s">
        <v>134</v>
      </c>
      <c r="D82">
        <v>91.128318350444303</v>
      </c>
      <c r="E82">
        <v>75</v>
      </c>
      <c r="F82">
        <v>872</v>
      </c>
      <c r="G82">
        <v>8651.67268298206</v>
      </c>
      <c r="H82" t="s">
        <v>38</v>
      </c>
      <c r="I82">
        <v>39</v>
      </c>
      <c r="J82">
        <v>14</v>
      </c>
      <c r="K82">
        <v>41</v>
      </c>
      <c r="L82">
        <v>2</v>
      </c>
      <c r="M82" t="s">
        <v>43</v>
      </c>
      <c r="N82">
        <v>2.8331846794189701</v>
      </c>
      <c r="O82" t="s">
        <v>28</v>
      </c>
      <c r="P82" t="s">
        <v>62</v>
      </c>
      <c r="Q82">
        <v>8</v>
      </c>
      <c r="R82">
        <v>202</v>
      </c>
      <c r="S82">
        <v>5</v>
      </c>
      <c r="T82">
        <v>76.961228023819999</v>
      </c>
      <c r="U82" t="s">
        <v>46</v>
      </c>
      <c r="V82">
        <v>2.8496621985053299</v>
      </c>
      <c r="W82" t="s">
        <v>56</v>
      </c>
      <c r="X82" t="s">
        <v>32</v>
      </c>
      <c r="Y82">
        <v>787.77985049434403</v>
      </c>
      <c r="Z82">
        <f t="shared" si="6"/>
        <v>867.57426319758304</v>
      </c>
      <c r="AA82">
        <f t="shared" si="7"/>
        <v>7784.09841978448</v>
      </c>
      <c r="AB82">
        <f t="shared" si="8"/>
        <v>0.89972178849251805</v>
      </c>
    </row>
    <row r="83" spans="1:28">
      <c r="A83" t="s">
        <v>24</v>
      </c>
      <c r="B83" t="str">
        <f>PROPER(TRIM(Table1[[#This Row],[Product type]]))</f>
        <v>Haircare</v>
      </c>
      <c r="C83" t="s">
        <v>135</v>
      </c>
      <c r="D83">
        <v>72.819206930318202</v>
      </c>
      <c r="E83">
        <v>9</v>
      </c>
      <c r="F83">
        <v>774</v>
      </c>
      <c r="G83">
        <v>4384.4134000458598</v>
      </c>
      <c r="H83" t="s">
        <v>38</v>
      </c>
      <c r="I83">
        <v>48</v>
      </c>
      <c r="J83">
        <v>6</v>
      </c>
      <c r="K83">
        <v>8</v>
      </c>
      <c r="L83">
        <v>5</v>
      </c>
      <c r="M83" t="s">
        <v>27</v>
      </c>
      <c r="N83">
        <v>4.0662775015120403</v>
      </c>
      <c r="O83" t="s">
        <v>28</v>
      </c>
      <c r="P83" t="s">
        <v>50</v>
      </c>
      <c r="Q83">
        <v>28</v>
      </c>
      <c r="R83">
        <v>698</v>
      </c>
      <c r="S83">
        <v>1</v>
      </c>
      <c r="T83">
        <v>19.789592941903599</v>
      </c>
      <c r="U83" t="s">
        <v>30</v>
      </c>
      <c r="V83">
        <v>2.54754712154871</v>
      </c>
      <c r="W83" t="s">
        <v>47</v>
      </c>
      <c r="X83" t="s">
        <v>32</v>
      </c>
      <c r="Y83">
        <v>276.77833594679799</v>
      </c>
      <c r="Z83">
        <f t="shared" si="6"/>
        <v>300.63420639021399</v>
      </c>
      <c r="AA83">
        <f t="shared" si="7"/>
        <v>4083.77919365565</v>
      </c>
      <c r="AB83">
        <f t="shared" si="8"/>
        <v>0.93143114506787394</v>
      </c>
    </row>
    <row r="84" spans="1:28">
      <c r="A84" t="s">
        <v>33</v>
      </c>
      <c r="B84" t="str">
        <f>PROPER(TRIM(Table1[[#This Row],[Product type]]))</f>
        <v>Skincare</v>
      </c>
      <c r="C84" t="s">
        <v>136</v>
      </c>
      <c r="D84">
        <v>17.034930739467899</v>
      </c>
      <c r="E84">
        <v>13</v>
      </c>
      <c r="F84">
        <v>336</v>
      </c>
      <c r="G84">
        <v>2943.3818676094502</v>
      </c>
      <c r="H84" t="s">
        <v>38</v>
      </c>
      <c r="I84">
        <v>42</v>
      </c>
      <c r="J84">
        <v>19</v>
      </c>
      <c r="K84">
        <v>72</v>
      </c>
      <c r="L84">
        <v>1</v>
      </c>
      <c r="M84" t="s">
        <v>36</v>
      </c>
      <c r="N84">
        <v>4.7081818735419301</v>
      </c>
      <c r="O84" t="s">
        <v>61</v>
      </c>
      <c r="P84" t="s">
        <v>29</v>
      </c>
      <c r="Q84">
        <v>6</v>
      </c>
      <c r="R84">
        <v>955</v>
      </c>
      <c r="S84">
        <v>26</v>
      </c>
      <c r="T84">
        <v>4.4652784349432402</v>
      </c>
      <c r="U84" t="s">
        <v>30</v>
      </c>
      <c r="V84">
        <v>4.1378770486223502</v>
      </c>
      <c r="W84" t="s">
        <v>31</v>
      </c>
      <c r="X84" t="s">
        <v>41</v>
      </c>
      <c r="Y84">
        <v>589.97855562804</v>
      </c>
      <c r="Z84">
        <f t="shared" si="6"/>
        <v>599.152015936525</v>
      </c>
      <c r="AA84">
        <f t="shared" si="7"/>
        <v>2344.2298516729302</v>
      </c>
      <c r="AB84">
        <f t="shared" si="8"/>
        <v>0.79644095027902595</v>
      </c>
    </row>
    <row r="85" spans="1:28">
      <c r="A85" t="s">
        <v>24</v>
      </c>
      <c r="B85" t="str">
        <f>PROPER(TRIM(Table1[[#This Row],[Product type]]))</f>
        <v>Haircare</v>
      </c>
      <c r="C85" t="s">
        <v>137</v>
      </c>
      <c r="D85">
        <v>68.911246211606297</v>
      </c>
      <c r="E85">
        <v>82</v>
      </c>
      <c r="F85">
        <v>663</v>
      </c>
      <c r="G85">
        <v>2411.7546321104901</v>
      </c>
      <c r="H85" t="s">
        <v>38</v>
      </c>
      <c r="I85">
        <v>65</v>
      </c>
      <c r="J85">
        <v>24</v>
      </c>
      <c r="K85">
        <v>7</v>
      </c>
      <c r="L85">
        <v>8</v>
      </c>
      <c r="M85" t="s">
        <v>27</v>
      </c>
      <c r="N85">
        <v>4.94983957799694</v>
      </c>
      <c r="O85" t="s">
        <v>39</v>
      </c>
      <c r="P85" t="s">
        <v>53</v>
      </c>
      <c r="Q85">
        <v>20</v>
      </c>
      <c r="R85">
        <v>443</v>
      </c>
      <c r="S85">
        <v>5</v>
      </c>
      <c r="T85">
        <v>97.730593800533001</v>
      </c>
      <c r="U85" t="s">
        <v>46</v>
      </c>
      <c r="V85">
        <v>0.77300613406724705</v>
      </c>
      <c r="W85" t="s">
        <v>31</v>
      </c>
      <c r="X85" t="s">
        <v>48</v>
      </c>
      <c r="Y85">
        <v>682.97101822609295</v>
      </c>
      <c r="Z85">
        <f t="shared" si="6"/>
        <v>785.65145160462305</v>
      </c>
      <c r="AA85">
        <f t="shared" si="7"/>
        <v>1626.1031805058699</v>
      </c>
      <c r="AB85">
        <f t="shared" si="8"/>
        <v>0.67424072036834404</v>
      </c>
    </row>
    <row r="86" spans="1:28">
      <c r="A86" t="s">
        <v>24</v>
      </c>
      <c r="B86" t="str">
        <f>PROPER(TRIM(Table1[[#This Row],[Product type]]))</f>
        <v>Haircare</v>
      </c>
      <c r="C86" t="s">
        <v>138</v>
      </c>
      <c r="D86">
        <v>89.104367292102197</v>
      </c>
      <c r="E86">
        <v>99</v>
      </c>
      <c r="F86">
        <v>618</v>
      </c>
      <c r="G86">
        <v>2048.2900998487098</v>
      </c>
      <c r="H86" t="s">
        <v>38</v>
      </c>
      <c r="I86">
        <v>73</v>
      </c>
      <c r="J86">
        <v>26</v>
      </c>
      <c r="K86">
        <v>80</v>
      </c>
      <c r="L86">
        <v>10</v>
      </c>
      <c r="M86" t="s">
        <v>36</v>
      </c>
      <c r="N86">
        <v>8.3816156249226292</v>
      </c>
      <c r="O86" t="s">
        <v>44</v>
      </c>
      <c r="P86" t="s">
        <v>62</v>
      </c>
      <c r="Q86">
        <v>24</v>
      </c>
      <c r="R86">
        <v>589</v>
      </c>
      <c r="S86">
        <v>22</v>
      </c>
      <c r="T86">
        <v>33.808636513209002</v>
      </c>
      <c r="U86" t="s">
        <v>64</v>
      </c>
      <c r="V86">
        <v>4.8434565771180402</v>
      </c>
      <c r="W86" t="s">
        <v>40</v>
      </c>
      <c r="X86" t="s">
        <v>32</v>
      </c>
      <c r="Y86">
        <v>465.45700596368698</v>
      </c>
      <c r="Z86">
        <f t="shared" si="6"/>
        <v>507.64725810181898</v>
      </c>
      <c r="AA86">
        <f t="shared" si="7"/>
        <v>1540.6428417468901</v>
      </c>
      <c r="AB86">
        <f t="shared" si="8"/>
        <v>0.75216046880306897</v>
      </c>
    </row>
    <row r="87" spans="1:28">
      <c r="A87" t="s">
        <v>57</v>
      </c>
      <c r="B87" t="str">
        <f>PROPER(TRIM(Table1[[#This Row],[Product type]]))</f>
        <v>Cosmetics</v>
      </c>
      <c r="C87" t="s">
        <v>139</v>
      </c>
      <c r="D87">
        <v>76.962994415193805</v>
      </c>
      <c r="E87">
        <v>83</v>
      </c>
      <c r="F87">
        <v>25</v>
      </c>
      <c r="G87">
        <v>8684.6130592538502</v>
      </c>
      <c r="H87" t="s">
        <v>35</v>
      </c>
      <c r="I87">
        <v>15</v>
      </c>
      <c r="J87">
        <v>18</v>
      </c>
      <c r="K87">
        <v>66</v>
      </c>
      <c r="L87">
        <v>2</v>
      </c>
      <c r="M87" t="s">
        <v>43</v>
      </c>
      <c r="N87">
        <v>8.2491687048717193</v>
      </c>
      <c r="O87" t="s">
        <v>44</v>
      </c>
      <c r="P87" t="s">
        <v>62</v>
      </c>
      <c r="Q87">
        <v>4</v>
      </c>
      <c r="R87">
        <v>211</v>
      </c>
      <c r="S87">
        <v>2</v>
      </c>
      <c r="T87">
        <v>69.929345518672307</v>
      </c>
      <c r="U87" t="s">
        <v>46</v>
      </c>
      <c r="V87">
        <v>1.3744289997457499</v>
      </c>
      <c r="W87" t="s">
        <v>31</v>
      </c>
      <c r="X87" t="s">
        <v>32</v>
      </c>
      <c r="Y87">
        <v>842.68683000464102</v>
      </c>
      <c r="Z87">
        <f t="shared" si="6"/>
        <v>920.86534422818499</v>
      </c>
      <c r="AA87">
        <f t="shared" si="7"/>
        <v>7763.74771502567</v>
      </c>
      <c r="AB87">
        <f t="shared" si="8"/>
        <v>0.89396587528479898</v>
      </c>
    </row>
    <row r="88" spans="1:28">
      <c r="A88" t="s">
        <v>33</v>
      </c>
      <c r="B88" t="str">
        <f>PROPER(TRIM(Table1[[#This Row],[Product type]]))</f>
        <v>Skincare</v>
      </c>
      <c r="C88" t="s">
        <v>140</v>
      </c>
      <c r="D88">
        <v>19.9981769404042</v>
      </c>
      <c r="E88">
        <v>18</v>
      </c>
      <c r="F88">
        <v>223</v>
      </c>
      <c r="G88">
        <v>1229.59102856498</v>
      </c>
      <c r="H88" t="s">
        <v>38</v>
      </c>
      <c r="I88">
        <v>32</v>
      </c>
      <c r="J88">
        <v>14</v>
      </c>
      <c r="K88">
        <v>22</v>
      </c>
      <c r="L88">
        <v>6</v>
      </c>
      <c r="M88" t="s">
        <v>27</v>
      </c>
      <c r="N88">
        <v>1.4543053101535499</v>
      </c>
      <c r="O88" t="s">
        <v>39</v>
      </c>
      <c r="P88" t="s">
        <v>29</v>
      </c>
      <c r="Q88">
        <v>4</v>
      </c>
      <c r="R88">
        <v>569</v>
      </c>
      <c r="S88">
        <v>18</v>
      </c>
      <c r="T88">
        <v>74.608969995194599</v>
      </c>
      <c r="U88" t="s">
        <v>64</v>
      </c>
      <c r="V88">
        <v>2.0515129307662399</v>
      </c>
      <c r="W88" t="s">
        <v>47</v>
      </c>
      <c r="X88" t="s">
        <v>48</v>
      </c>
      <c r="Y88">
        <v>264.25488983586598</v>
      </c>
      <c r="Z88">
        <f t="shared" si="6"/>
        <v>340.31816514121402</v>
      </c>
      <c r="AA88">
        <f t="shared" si="7"/>
        <v>889.27286342376601</v>
      </c>
      <c r="AB88">
        <f t="shared" si="8"/>
        <v>0.72322653855209895</v>
      </c>
    </row>
    <row r="89" spans="1:28">
      <c r="A89" t="s">
        <v>24</v>
      </c>
      <c r="B89" t="str">
        <f>PROPER(TRIM(Table1[[#This Row],[Product type]]))</f>
        <v>Haircare</v>
      </c>
      <c r="C89" t="s">
        <v>141</v>
      </c>
      <c r="D89">
        <v>80.414036650355698</v>
      </c>
      <c r="E89">
        <v>24</v>
      </c>
      <c r="F89">
        <v>79</v>
      </c>
      <c r="G89">
        <v>5133.8467010866898</v>
      </c>
      <c r="H89" t="s">
        <v>55</v>
      </c>
      <c r="I89">
        <v>5</v>
      </c>
      <c r="J89">
        <v>7</v>
      </c>
      <c r="K89">
        <v>55</v>
      </c>
      <c r="L89">
        <v>10</v>
      </c>
      <c r="M89" t="s">
        <v>36</v>
      </c>
      <c r="N89">
        <v>6.5758037975485299</v>
      </c>
      <c r="O89" t="s">
        <v>28</v>
      </c>
      <c r="P89" t="s">
        <v>62</v>
      </c>
      <c r="Q89">
        <v>27</v>
      </c>
      <c r="R89">
        <v>523</v>
      </c>
      <c r="S89">
        <v>17</v>
      </c>
      <c r="T89">
        <v>28.696996824143099</v>
      </c>
      <c r="U89" t="s">
        <v>46</v>
      </c>
      <c r="V89">
        <v>3.6937377878392699</v>
      </c>
      <c r="W89" t="s">
        <v>56</v>
      </c>
      <c r="X89" t="s">
        <v>32</v>
      </c>
      <c r="Y89">
        <v>879.35921773492396</v>
      </c>
      <c r="Z89">
        <f t="shared" si="6"/>
        <v>914.63201835661596</v>
      </c>
      <c r="AA89">
        <f t="shared" si="7"/>
        <v>4219.2146827300703</v>
      </c>
      <c r="AB89">
        <f t="shared" si="8"/>
        <v>0.82184274840870997</v>
      </c>
    </row>
    <row r="90" spans="1:28">
      <c r="A90" t="s">
        <v>57</v>
      </c>
      <c r="B90" t="str">
        <f>PROPER(TRIM(Table1[[#This Row],[Product type]]))</f>
        <v>Cosmetics</v>
      </c>
      <c r="C90" t="s">
        <v>142</v>
      </c>
      <c r="D90">
        <v>75.270406975724995</v>
      </c>
      <c r="E90">
        <v>58</v>
      </c>
      <c r="F90">
        <v>737</v>
      </c>
      <c r="G90">
        <v>9444.7420330629793</v>
      </c>
      <c r="H90" t="s">
        <v>55</v>
      </c>
      <c r="I90">
        <v>60</v>
      </c>
      <c r="J90">
        <v>18</v>
      </c>
      <c r="K90">
        <v>85</v>
      </c>
      <c r="L90">
        <v>7</v>
      </c>
      <c r="M90" t="s">
        <v>36</v>
      </c>
      <c r="N90">
        <v>3.8012531329310701</v>
      </c>
      <c r="O90" t="s">
        <v>61</v>
      </c>
      <c r="P90" t="s">
        <v>29</v>
      </c>
      <c r="Q90">
        <v>21</v>
      </c>
      <c r="R90">
        <v>953</v>
      </c>
      <c r="S90">
        <v>11</v>
      </c>
      <c r="T90">
        <v>68.1849190570411</v>
      </c>
      <c r="U90" t="s">
        <v>30</v>
      </c>
      <c r="V90">
        <v>0.722204401882931</v>
      </c>
      <c r="W90" t="s">
        <v>56</v>
      </c>
      <c r="X90" t="s">
        <v>48</v>
      </c>
      <c r="Y90">
        <v>103.916247960704</v>
      </c>
      <c r="Z90">
        <f t="shared" si="6"/>
        <v>175.90242015067599</v>
      </c>
      <c r="AA90">
        <f t="shared" si="7"/>
        <v>9268.8396129122993</v>
      </c>
      <c r="AB90">
        <f t="shared" si="8"/>
        <v>0.98137562470897599</v>
      </c>
    </row>
    <row r="91" spans="1:28">
      <c r="A91" t="s">
        <v>57</v>
      </c>
      <c r="B91" t="str">
        <f>PROPER(TRIM(Table1[[#This Row],[Product type]]))</f>
        <v>Cosmetics</v>
      </c>
      <c r="C91" t="s">
        <v>143</v>
      </c>
      <c r="D91">
        <v>97.760085581938597</v>
      </c>
      <c r="E91">
        <v>10</v>
      </c>
      <c r="F91">
        <v>134</v>
      </c>
      <c r="G91">
        <v>5924.6825668532301</v>
      </c>
      <c r="H91" t="s">
        <v>38</v>
      </c>
      <c r="I91">
        <v>90</v>
      </c>
      <c r="J91">
        <v>1</v>
      </c>
      <c r="K91">
        <v>27</v>
      </c>
      <c r="L91">
        <v>8</v>
      </c>
      <c r="M91" t="s">
        <v>27</v>
      </c>
      <c r="N91">
        <v>9.9298162452772498</v>
      </c>
      <c r="O91" t="s">
        <v>39</v>
      </c>
      <c r="P91" t="s">
        <v>45</v>
      </c>
      <c r="Q91">
        <v>23</v>
      </c>
      <c r="R91">
        <v>370</v>
      </c>
      <c r="S91">
        <v>11</v>
      </c>
      <c r="T91">
        <v>46.603873381644398</v>
      </c>
      <c r="U91" t="s">
        <v>30</v>
      </c>
      <c r="V91">
        <v>1.9076657339590699</v>
      </c>
      <c r="W91" t="s">
        <v>47</v>
      </c>
      <c r="X91" t="s">
        <v>32</v>
      </c>
      <c r="Y91">
        <v>517.49997392906005</v>
      </c>
      <c r="Z91">
        <f t="shared" si="6"/>
        <v>574.033663555982</v>
      </c>
      <c r="AA91">
        <f t="shared" si="7"/>
        <v>5350.6489032972504</v>
      </c>
      <c r="AB91">
        <f t="shared" si="8"/>
        <v>0.903111490433678</v>
      </c>
    </row>
    <row r="92" spans="1:28">
      <c r="A92" t="s">
        <v>33</v>
      </c>
      <c r="B92" t="str">
        <f>PROPER(TRIM(Table1[[#This Row],[Product type]]))</f>
        <v>Skincare</v>
      </c>
      <c r="C92" t="s">
        <v>144</v>
      </c>
      <c r="D92">
        <v>13.881913501359101</v>
      </c>
      <c r="E92">
        <v>56</v>
      </c>
      <c r="F92">
        <v>320</v>
      </c>
      <c r="G92">
        <v>9592.6335702803099</v>
      </c>
      <c r="H92" t="s">
        <v>26</v>
      </c>
      <c r="I92">
        <v>66</v>
      </c>
      <c r="J92">
        <v>18</v>
      </c>
      <c r="K92">
        <v>96</v>
      </c>
      <c r="L92">
        <v>7</v>
      </c>
      <c r="M92" t="s">
        <v>27</v>
      </c>
      <c r="N92">
        <v>7.6744307081126903</v>
      </c>
      <c r="O92" t="s">
        <v>28</v>
      </c>
      <c r="P92" t="s">
        <v>53</v>
      </c>
      <c r="Q92">
        <v>8</v>
      </c>
      <c r="R92">
        <v>585</v>
      </c>
      <c r="S92">
        <v>8</v>
      </c>
      <c r="T92">
        <v>85.675963335797903</v>
      </c>
      <c r="U92" t="s">
        <v>64</v>
      </c>
      <c r="V92">
        <v>1.2193822244013801</v>
      </c>
      <c r="W92" t="s">
        <v>47</v>
      </c>
      <c r="X92" t="s">
        <v>32</v>
      </c>
      <c r="Y92">
        <v>990.07847250581096</v>
      </c>
      <c r="Z92">
        <f t="shared" si="6"/>
        <v>1083.4288665497199</v>
      </c>
      <c r="AA92">
        <f t="shared" si="7"/>
        <v>8509.2047037305892</v>
      </c>
      <c r="AB92">
        <f t="shared" si="8"/>
        <v>0.88705616047855995</v>
      </c>
    </row>
    <row r="93" spans="1:28">
      <c r="A93" t="s">
        <v>57</v>
      </c>
      <c r="B93" t="str">
        <f>PROPER(TRIM(Table1[[#This Row],[Product type]]))</f>
        <v>Cosmetics</v>
      </c>
      <c r="C93" t="s">
        <v>145</v>
      </c>
      <c r="D93">
        <v>62.111965463961702</v>
      </c>
      <c r="E93">
        <v>90</v>
      </c>
      <c r="F93">
        <v>916</v>
      </c>
      <c r="G93">
        <v>1935.20679350759</v>
      </c>
      <c r="H93" t="s">
        <v>55</v>
      </c>
      <c r="I93">
        <v>98</v>
      </c>
      <c r="J93">
        <v>22</v>
      </c>
      <c r="K93">
        <v>85</v>
      </c>
      <c r="L93">
        <v>7</v>
      </c>
      <c r="M93" t="s">
        <v>27</v>
      </c>
      <c r="N93">
        <v>7.4715140844011403</v>
      </c>
      <c r="O93" t="s">
        <v>52</v>
      </c>
      <c r="P93" t="s">
        <v>50</v>
      </c>
      <c r="Q93">
        <v>5</v>
      </c>
      <c r="R93">
        <v>207</v>
      </c>
      <c r="S93">
        <v>28</v>
      </c>
      <c r="T93">
        <v>39.772882502339897</v>
      </c>
      <c r="U93" t="s">
        <v>30</v>
      </c>
      <c r="V93">
        <v>0.62600185820939402</v>
      </c>
      <c r="W93" t="s">
        <v>47</v>
      </c>
      <c r="X93" t="s">
        <v>32</v>
      </c>
      <c r="Y93">
        <v>996.77831495062298</v>
      </c>
      <c r="Z93">
        <f t="shared" si="6"/>
        <v>1044.02271153736</v>
      </c>
      <c r="AA93">
        <f t="shared" si="7"/>
        <v>891.18408197022598</v>
      </c>
      <c r="AB93">
        <f t="shared" si="8"/>
        <v>0.46051103425228401</v>
      </c>
    </row>
    <row r="94" spans="1:28">
      <c r="A94" t="s">
        <v>57</v>
      </c>
      <c r="B94" t="str">
        <f>PROPER(TRIM(Table1[[#This Row],[Product type]]))</f>
        <v>Cosmetics</v>
      </c>
      <c r="C94" t="s">
        <v>146</v>
      </c>
      <c r="D94">
        <v>47.714233075820196</v>
      </c>
      <c r="E94">
        <v>44</v>
      </c>
      <c r="F94">
        <v>276</v>
      </c>
      <c r="G94">
        <v>2100.1297546259302</v>
      </c>
      <c r="H94" t="s">
        <v>55</v>
      </c>
      <c r="I94">
        <v>90</v>
      </c>
      <c r="J94">
        <v>25</v>
      </c>
      <c r="K94">
        <v>10</v>
      </c>
      <c r="L94">
        <v>8</v>
      </c>
      <c r="M94" t="s">
        <v>27</v>
      </c>
      <c r="N94">
        <v>4.4695000261236002</v>
      </c>
      <c r="O94" t="s">
        <v>61</v>
      </c>
      <c r="P94" t="s">
        <v>29</v>
      </c>
      <c r="Q94">
        <v>4</v>
      </c>
      <c r="R94">
        <v>671</v>
      </c>
      <c r="S94">
        <v>29</v>
      </c>
      <c r="T94">
        <v>62.612690395614301</v>
      </c>
      <c r="U94" t="s">
        <v>64</v>
      </c>
      <c r="V94">
        <v>0.33343182522473902</v>
      </c>
      <c r="W94" t="s">
        <v>47</v>
      </c>
      <c r="X94" t="s">
        <v>32</v>
      </c>
      <c r="Y94">
        <v>230.092782536762</v>
      </c>
      <c r="Z94">
        <f t="shared" si="6"/>
        <v>297.17497295850001</v>
      </c>
      <c r="AA94">
        <f t="shared" si="7"/>
        <v>1802.9547816674301</v>
      </c>
      <c r="AB94">
        <f t="shared" si="8"/>
        <v>0.85849685129982301</v>
      </c>
    </row>
    <row r="95" spans="1:28">
      <c r="A95" t="s">
        <v>24</v>
      </c>
      <c r="B95" t="str">
        <f>PROPER(TRIM(Table1[[#This Row],[Product type]]))</f>
        <v>Haircare</v>
      </c>
      <c r="C95" t="s">
        <v>147</v>
      </c>
      <c r="D95">
        <v>69.290831002905406</v>
      </c>
      <c r="E95">
        <v>88</v>
      </c>
      <c r="F95">
        <v>114</v>
      </c>
      <c r="G95">
        <v>4531.4021336919004</v>
      </c>
      <c r="H95" t="s">
        <v>38</v>
      </c>
      <c r="I95">
        <v>63</v>
      </c>
      <c r="J95">
        <v>17</v>
      </c>
      <c r="K95">
        <v>66</v>
      </c>
      <c r="L95">
        <v>1</v>
      </c>
      <c r="M95" t="s">
        <v>43</v>
      </c>
      <c r="N95">
        <v>7.00643205900439</v>
      </c>
      <c r="O95" t="s">
        <v>52</v>
      </c>
      <c r="P95" t="s">
        <v>62</v>
      </c>
      <c r="Q95">
        <v>21</v>
      </c>
      <c r="R95">
        <v>824</v>
      </c>
      <c r="S95">
        <v>20</v>
      </c>
      <c r="T95">
        <v>35.633652343343797</v>
      </c>
      <c r="U95" t="s">
        <v>46</v>
      </c>
      <c r="V95">
        <v>4.1657817954241398</v>
      </c>
      <c r="W95" t="s">
        <v>40</v>
      </c>
      <c r="X95" t="s">
        <v>48</v>
      </c>
      <c r="Y95">
        <v>823.52384588815505</v>
      </c>
      <c r="Z95">
        <f t="shared" si="6"/>
        <v>866.163930290503</v>
      </c>
      <c r="AA95">
        <f t="shared" si="7"/>
        <v>3665.2382034013999</v>
      </c>
      <c r="AB95">
        <f t="shared" si="8"/>
        <v>0.80885299853429504</v>
      </c>
    </row>
    <row r="96" spans="1:28">
      <c r="A96" t="s">
        <v>57</v>
      </c>
      <c r="B96" t="str">
        <f>PROPER(TRIM(Table1[[#This Row],[Product type]]))</f>
        <v>Cosmetics</v>
      </c>
      <c r="C96" t="s">
        <v>148</v>
      </c>
      <c r="D96">
        <v>3.0376887246314102</v>
      </c>
      <c r="E96">
        <v>97</v>
      </c>
      <c r="F96">
        <v>987</v>
      </c>
      <c r="G96">
        <v>7888.3565466618702</v>
      </c>
      <c r="H96" t="s">
        <v>38</v>
      </c>
      <c r="I96">
        <v>77</v>
      </c>
      <c r="J96">
        <v>26</v>
      </c>
      <c r="K96">
        <v>72</v>
      </c>
      <c r="L96">
        <v>9</v>
      </c>
      <c r="M96" t="s">
        <v>27</v>
      </c>
      <c r="N96">
        <v>6.9429459420325799</v>
      </c>
      <c r="O96" t="s">
        <v>61</v>
      </c>
      <c r="P96" t="s">
        <v>50</v>
      </c>
      <c r="Q96">
        <v>12</v>
      </c>
      <c r="R96">
        <v>908</v>
      </c>
      <c r="S96">
        <v>14</v>
      </c>
      <c r="T96">
        <v>60.387378614862101</v>
      </c>
      <c r="U96" t="s">
        <v>64</v>
      </c>
      <c r="V96">
        <v>1.4636074984727701</v>
      </c>
      <c r="W96" t="s">
        <v>47</v>
      </c>
      <c r="X96" t="s">
        <v>32</v>
      </c>
      <c r="Y96">
        <v>846.66525698669398</v>
      </c>
      <c r="Z96">
        <f t="shared" si="6"/>
        <v>913.99558154358897</v>
      </c>
      <c r="AA96">
        <f t="shared" si="7"/>
        <v>6974.3609651182796</v>
      </c>
      <c r="AB96">
        <f t="shared" si="8"/>
        <v>0.88413358649079199</v>
      </c>
    </row>
    <row r="97" spans="1:28">
      <c r="A97" t="s">
        <v>24</v>
      </c>
      <c r="B97" t="str">
        <f>PROPER(TRIM(Table1[[#This Row],[Product type]]))</f>
        <v>Haircare</v>
      </c>
      <c r="C97" t="s">
        <v>149</v>
      </c>
      <c r="D97">
        <v>77.903927219447695</v>
      </c>
      <c r="E97">
        <v>65</v>
      </c>
      <c r="F97">
        <v>672</v>
      </c>
      <c r="G97">
        <v>7386.3639440486604</v>
      </c>
      <c r="H97" t="s">
        <v>38</v>
      </c>
      <c r="I97">
        <v>15</v>
      </c>
      <c r="J97">
        <v>14</v>
      </c>
      <c r="K97">
        <v>26</v>
      </c>
      <c r="L97">
        <v>9</v>
      </c>
      <c r="M97" t="s">
        <v>27</v>
      </c>
      <c r="N97">
        <v>8.6303388696027508</v>
      </c>
      <c r="O97" t="s">
        <v>52</v>
      </c>
      <c r="P97" t="s">
        <v>29</v>
      </c>
      <c r="Q97">
        <v>18</v>
      </c>
      <c r="R97">
        <v>450</v>
      </c>
      <c r="S97">
        <v>26</v>
      </c>
      <c r="T97">
        <v>58.890685768589897</v>
      </c>
      <c r="U97" t="s">
        <v>30</v>
      </c>
      <c r="V97">
        <v>1.21088212958506</v>
      </c>
      <c r="W97" t="s">
        <v>40</v>
      </c>
      <c r="X97" t="s">
        <v>48</v>
      </c>
      <c r="Y97">
        <v>778.86424137664699</v>
      </c>
      <c r="Z97">
        <f t="shared" si="6"/>
        <v>846.38526601484</v>
      </c>
      <c r="AA97">
        <f t="shared" si="7"/>
        <v>6539.97867803382</v>
      </c>
      <c r="AB97">
        <f t="shared" si="8"/>
        <v>0.88541246106661298</v>
      </c>
    </row>
    <row r="98" spans="1:28">
      <c r="A98" t="s">
        <v>57</v>
      </c>
      <c r="B98" t="str">
        <f>PROPER(TRIM(Table1[[#This Row],[Product type]]))</f>
        <v>Cosmetics</v>
      </c>
      <c r="C98" t="s">
        <v>150</v>
      </c>
      <c r="D98">
        <v>24.423131420373299</v>
      </c>
      <c r="E98">
        <v>29</v>
      </c>
      <c r="F98">
        <v>324</v>
      </c>
      <c r="G98">
        <v>7698.4247656321104</v>
      </c>
      <c r="H98" t="s">
        <v>26</v>
      </c>
      <c r="I98">
        <v>67</v>
      </c>
      <c r="J98">
        <v>2</v>
      </c>
      <c r="K98">
        <v>32</v>
      </c>
      <c r="L98">
        <v>3</v>
      </c>
      <c r="M98" t="s">
        <v>43</v>
      </c>
      <c r="N98">
        <v>5.3528780439967996</v>
      </c>
      <c r="O98" t="s">
        <v>28</v>
      </c>
      <c r="P98" t="s">
        <v>29</v>
      </c>
      <c r="Q98">
        <v>28</v>
      </c>
      <c r="R98">
        <v>648</v>
      </c>
      <c r="S98">
        <v>28</v>
      </c>
      <c r="T98">
        <v>17.803756331391199</v>
      </c>
      <c r="U98" t="s">
        <v>30</v>
      </c>
      <c r="V98">
        <v>3.8720476814821301</v>
      </c>
      <c r="W98" t="s">
        <v>31</v>
      </c>
      <c r="X98" t="s">
        <v>48</v>
      </c>
      <c r="Y98">
        <v>188.74214114905601</v>
      </c>
      <c r="Z98">
        <f>T98+N98+Y98</f>
        <v>211.89877552444401</v>
      </c>
      <c r="AA98">
        <f>G98-Z98</f>
        <v>7486.5259901076697</v>
      </c>
      <c r="AB98">
        <f>AA98/G98</f>
        <v>0.97247504756162295</v>
      </c>
    </row>
    <row r="99" spans="1:28">
      <c r="A99" t="s">
        <v>24</v>
      </c>
      <c r="B99" t="str">
        <f>PROPER(TRIM(Table1[[#This Row],[Product type]]))</f>
        <v>Haircare</v>
      </c>
      <c r="C99" t="s">
        <v>151</v>
      </c>
      <c r="D99">
        <v>3.5261112591434101</v>
      </c>
      <c r="E99">
        <v>56</v>
      </c>
      <c r="F99">
        <v>62</v>
      </c>
      <c r="G99">
        <v>4370.9165799845296</v>
      </c>
      <c r="H99" t="s">
        <v>55</v>
      </c>
      <c r="I99">
        <v>46</v>
      </c>
      <c r="J99">
        <v>19</v>
      </c>
      <c r="K99">
        <v>4</v>
      </c>
      <c r="L99">
        <v>9</v>
      </c>
      <c r="M99" t="s">
        <v>36</v>
      </c>
      <c r="N99">
        <v>7.9048456112096703</v>
      </c>
      <c r="O99" t="s">
        <v>52</v>
      </c>
      <c r="P99" t="s">
        <v>29</v>
      </c>
      <c r="Q99">
        <v>10</v>
      </c>
      <c r="R99">
        <v>535</v>
      </c>
      <c r="S99">
        <v>13</v>
      </c>
      <c r="T99">
        <v>65.765155926367399</v>
      </c>
      <c r="U99" t="s">
        <v>46</v>
      </c>
      <c r="V99">
        <v>3.3762378347179798</v>
      </c>
      <c r="W99" t="s">
        <v>31</v>
      </c>
      <c r="X99" t="s">
        <v>48</v>
      </c>
      <c r="Y99">
        <v>540.13242286796697</v>
      </c>
      <c r="Z99">
        <f>T99+N99+Y99</f>
        <v>613.802424405544</v>
      </c>
      <c r="AA99">
        <f>G99-Z99</f>
        <v>3757.11415557899</v>
      </c>
      <c r="AB99">
        <f>AA99/G99</f>
        <v>0.85957123336183305</v>
      </c>
    </row>
    <row r="100" spans="1:28">
      <c r="A100" t="s">
        <v>33</v>
      </c>
      <c r="B100" t="str">
        <f>PROPER(TRIM(Table1[[#This Row],[Product type]]))</f>
        <v>Skincare</v>
      </c>
      <c r="C100" t="s">
        <v>152</v>
      </c>
      <c r="D100">
        <v>19.754604866878601</v>
      </c>
      <c r="E100">
        <v>43</v>
      </c>
      <c r="F100">
        <v>913</v>
      </c>
      <c r="G100">
        <v>8525.9525596835192</v>
      </c>
      <c r="H100" t="s">
        <v>35</v>
      </c>
      <c r="I100">
        <v>53</v>
      </c>
      <c r="J100">
        <v>1</v>
      </c>
      <c r="K100">
        <v>27</v>
      </c>
      <c r="L100">
        <v>7</v>
      </c>
      <c r="M100" t="s">
        <v>27</v>
      </c>
      <c r="N100">
        <v>1.4098010951380699</v>
      </c>
      <c r="O100" t="s">
        <v>44</v>
      </c>
      <c r="P100" t="s">
        <v>62</v>
      </c>
      <c r="Q100">
        <v>28</v>
      </c>
      <c r="R100">
        <v>581</v>
      </c>
      <c r="S100">
        <v>9</v>
      </c>
      <c r="T100">
        <v>5.6046908643717801</v>
      </c>
      <c r="U100" t="s">
        <v>30</v>
      </c>
      <c r="V100">
        <v>2.9081221693512598</v>
      </c>
      <c r="W100" t="s">
        <v>47</v>
      </c>
      <c r="X100" t="s">
        <v>48</v>
      </c>
      <c r="Y100">
        <v>882.19886354704101</v>
      </c>
      <c r="Z100">
        <f>T100+N100+Y100</f>
        <v>889.21335550655101</v>
      </c>
      <c r="AA100">
        <f>G100-Z100</f>
        <v>7636.7392041769699</v>
      </c>
      <c r="AB100">
        <f>AA100/G100</f>
        <v>0.89570510165499195</v>
      </c>
    </row>
    <row r="101" spans="1:28">
      <c r="A101" t="s">
        <v>24</v>
      </c>
      <c r="B101" t="str">
        <f>PROPER(TRIM(Table1[[#This Row],[Product type]]))</f>
        <v>Haircare</v>
      </c>
      <c r="C101" t="s">
        <v>153</v>
      </c>
      <c r="D101">
        <v>68.517832699276596</v>
      </c>
      <c r="E101">
        <v>17</v>
      </c>
      <c r="F101">
        <v>627</v>
      </c>
      <c r="G101">
        <v>9185.1858291817007</v>
      </c>
      <c r="H101" t="s">
        <v>38</v>
      </c>
      <c r="I101">
        <v>55</v>
      </c>
      <c r="J101">
        <v>8</v>
      </c>
      <c r="K101">
        <v>59</v>
      </c>
      <c r="L101">
        <v>6</v>
      </c>
      <c r="M101" t="s">
        <v>27</v>
      </c>
      <c r="N101">
        <v>1.3110237561206199</v>
      </c>
      <c r="O101" t="s">
        <v>61</v>
      </c>
      <c r="P101" t="s">
        <v>62</v>
      </c>
      <c r="Q101">
        <v>29</v>
      </c>
      <c r="R101">
        <v>921</v>
      </c>
      <c r="S101">
        <v>2</v>
      </c>
      <c r="T101">
        <v>38.072898520625998</v>
      </c>
      <c r="U101" t="s">
        <v>46</v>
      </c>
      <c r="V101">
        <v>0.34602729070550298</v>
      </c>
      <c r="W101" t="s">
        <v>47</v>
      </c>
      <c r="X101" t="s">
        <v>32</v>
      </c>
      <c r="Y101">
        <v>210.743008964246</v>
      </c>
      <c r="Z101">
        <f>T101+N101+Y101</f>
        <v>250.126931240993</v>
      </c>
      <c r="AA101">
        <f>G101-Z101</f>
        <v>8935.0588979407094</v>
      </c>
      <c r="AB101">
        <f>AA101/G101</f>
        <v>0.97276844084674596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AA101"/>
  <sheetViews>
    <sheetView workbookViewId="0">
      <selection activeCell="AB7" sqref="AB7"/>
    </sheetView>
  </sheetViews>
  <sheetFormatPr defaultColWidth="9" defaultRowHeight="12.75"/>
  <cols>
    <col min="1" max="1" width="14" style="5" bestFit="1" customWidth="1"/>
    <col min="2" max="2" width="6.28515625" style="5" bestFit="1" customWidth="1"/>
    <col min="3" max="3" width="8.28515625" style="2" bestFit="1" customWidth="1"/>
    <col min="4" max="4" width="11.7109375" style="3" bestFit="1" customWidth="1"/>
    <col min="5" max="5" width="25" style="3" bestFit="1" customWidth="1"/>
    <col min="6" max="6" width="20.85546875" style="2" bestFit="1" customWidth="1"/>
    <col min="7" max="7" width="23.140625" style="5" bestFit="1" customWidth="1"/>
    <col min="8" max="8" width="13.140625" style="3" bestFit="1" customWidth="1"/>
    <col min="9" max="9" width="12.42578125" style="3" bestFit="1" customWidth="1"/>
    <col min="10" max="10" width="17.140625" style="3" bestFit="1" customWidth="1"/>
    <col min="11" max="11" width="15.42578125" style="3" bestFit="1" customWidth="1"/>
    <col min="12" max="12" width="17" style="5" bestFit="1" customWidth="1"/>
    <col min="13" max="13" width="16.140625" style="2" bestFit="1" customWidth="1"/>
    <col min="14" max="14" width="15.42578125" style="5" bestFit="1" customWidth="1"/>
    <col min="15" max="15" width="9.85546875" style="5" bestFit="1" customWidth="1"/>
    <col min="16" max="16" width="11.7109375" style="3" bestFit="1" customWidth="1"/>
    <col min="17" max="17" width="19.85546875" style="3" bestFit="1" customWidth="1"/>
    <col min="18" max="18" width="24.28515625" style="3" bestFit="1" customWidth="1"/>
    <col min="19" max="19" width="21" bestFit="1" customWidth="1"/>
    <col min="20" max="20" width="17.85546875" style="5" bestFit="1" customWidth="1"/>
    <col min="21" max="21" width="13.5703125" style="4" bestFit="1" customWidth="1"/>
    <col min="22" max="22" width="21.28515625" style="5" bestFit="1" customWidth="1"/>
    <col min="23" max="23" width="8.7109375" style="5" bestFit="1" customWidth="1"/>
    <col min="24" max="24" width="8.5703125" style="2" bestFit="1" customWidth="1"/>
    <col min="25" max="25" width="12.5703125" style="2" bestFit="1" customWidth="1"/>
    <col min="26" max="26" width="10" style="2" bestFit="1" customWidth="1"/>
    <col min="27" max="27" width="14" style="12" customWidth="1"/>
  </cols>
  <sheetData>
    <row r="1" spans="1:27">
      <c r="A1" s="6" t="s">
        <v>158</v>
      </c>
      <c r="B1" s="5" t="s">
        <v>1</v>
      </c>
      <c r="C1" s="2" t="s">
        <v>2</v>
      </c>
      <c r="D1" s="3" t="s">
        <v>3</v>
      </c>
      <c r="E1" s="7" t="s">
        <v>159</v>
      </c>
      <c r="F1" s="8" t="s">
        <v>160</v>
      </c>
      <c r="G1" s="6" t="s">
        <v>161</v>
      </c>
      <c r="H1" s="7" t="s">
        <v>162</v>
      </c>
      <c r="I1" s="7" t="s">
        <v>163</v>
      </c>
      <c r="J1" s="7" t="s">
        <v>164</v>
      </c>
      <c r="K1" s="7" t="s">
        <v>165</v>
      </c>
      <c r="L1" s="6" t="s">
        <v>166</v>
      </c>
      <c r="M1" s="8" t="s">
        <v>167</v>
      </c>
      <c r="N1" s="6" t="s">
        <v>168</v>
      </c>
      <c r="O1" s="5" t="s">
        <v>14</v>
      </c>
      <c r="P1" s="7" t="s">
        <v>169</v>
      </c>
      <c r="Q1" s="7" t="s">
        <v>170</v>
      </c>
      <c r="R1" s="7" t="s">
        <v>171</v>
      </c>
      <c r="S1" s="8" t="s">
        <v>172</v>
      </c>
      <c r="T1" s="6" t="s">
        <v>173</v>
      </c>
      <c r="U1" s="9" t="s">
        <v>174</v>
      </c>
      <c r="V1" s="6" t="s">
        <v>175</v>
      </c>
      <c r="W1" s="5" t="s">
        <v>22</v>
      </c>
      <c r="X1" s="2" t="s">
        <v>23</v>
      </c>
      <c r="Y1" s="2" t="s">
        <v>155</v>
      </c>
      <c r="Z1" s="2" t="s">
        <v>156</v>
      </c>
      <c r="AA1" s="12" t="s">
        <v>157</v>
      </c>
    </row>
    <row r="2" spans="1:27">
      <c r="A2" s="5" t="s">
        <v>176</v>
      </c>
      <c r="B2" s="5" t="s">
        <v>25</v>
      </c>
      <c r="C2" s="2">
        <v>69.808005542115694</v>
      </c>
      <c r="D2" s="3">
        <v>55</v>
      </c>
      <c r="E2" s="3">
        <v>802</v>
      </c>
      <c r="F2" s="2">
        <v>8661.9967923923796</v>
      </c>
      <c r="G2" s="5" t="s">
        <v>26</v>
      </c>
      <c r="H2" s="3">
        <v>58</v>
      </c>
      <c r="I2" s="3">
        <v>7</v>
      </c>
      <c r="J2" s="3">
        <v>96</v>
      </c>
      <c r="K2" s="3">
        <v>4</v>
      </c>
      <c r="L2" s="5" t="s">
        <v>27</v>
      </c>
      <c r="M2" s="2">
        <v>2.9565721394308002</v>
      </c>
      <c r="N2" s="5" t="s">
        <v>28</v>
      </c>
      <c r="O2" s="5" t="s">
        <v>29</v>
      </c>
      <c r="P2" s="3">
        <v>29</v>
      </c>
      <c r="Q2" s="3">
        <v>215</v>
      </c>
      <c r="R2" s="3">
        <v>29</v>
      </c>
      <c r="S2" s="2">
        <v>46.279879240508301</v>
      </c>
      <c r="T2" s="5" t="s">
        <v>30</v>
      </c>
      <c r="U2" s="4">
        <v>0.226410360849925</v>
      </c>
      <c r="V2" s="5" t="s">
        <v>31</v>
      </c>
      <c r="W2" s="5" t="s">
        <v>32</v>
      </c>
      <c r="X2" s="2">
        <v>187.75207545920301</v>
      </c>
      <c r="Y2" s="2">
        <v>236.988526839142</v>
      </c>
      <c r="Z2" s="2">
        <v>8425.0082655532406</v>
      </c>
      <c r="AA2" s="12">
        <v>0.97264042777673598</v>
      </c>
    </row>
    <row r="3" spans="1:27">
      <c r="A3" s="5" t="s">
        <v>177</v>
      </c>
      <c r="B3" s="5" t="s">
        <v>34</v>
      </c>
      <c r="C3" s="2">
        <v>14.8435232750843</v>
      </c>
      <c r="D3" s="3">
        <v>95</v>
      </c>
      <c r="E3" s="3">
        <v>736</v>
      </c>
      <c r="F3" s="2">
        <v>7460.9000654458396</v>
      </c>
      <c r="G3" s="5" t="s">
        <v>35</v>
      </c>
      <c r="H3" s="3">
        <v>53</v>
      </c>
      <c r="I3" s="3">
        <v>30</v>
      </c>
      <c r="J3" s="3">
        <v>37</v>
      </c>
      <c r="K3" s="3">
        <v>2</v>
      </c>
      <c r="L3" s="5" t="s">
        <v>36</v>
      </c>
      <c r="M3" s="2">
        <v>9.7165747714313095</v>
      </c>
      <c r="N3" s="5" t="s">
        <v>28</v>
      </c>
      <c r="O3" s="5" t="s">
        <v>29</v>
      </c>
      <c r="P3" s="3">
        <v>23</v>
      </c>
      <c r="Q3" s="3">
        <v>517</v>
      </c>
      <c r="R3" s="3">
        <v>30</v>
      </c>
      <c r="S3" s="2">
        <v>33.616768953730002</v>
      </c>
      <c r="T3" s="5" t="s">
        <v>30</v>
      </c>
      <c r="U3" s="4">
        <v>4.8540680263886999</v>
      </c>
      <c r="V3" s="5" t="s">
        <v>31</v>
      </c>
      <c r="W3" s="5" t="s">
        <v>32</v>
      </c>
      <c r="X3" s="2">
        <v>503.06557914966902</v>
      </c>
      <c r="Y3" s="2">
        <v>546.39892287482996</v>
      </c>
      <c r="Z3" s="2">
        <v>6914.50114257101</v>
      </c>
      <c r="AA3" s="12">
        <v>0.92676501252102195</v>
      </c>
    </row>
    <row r="4" spans="1:27">
      <c r="A4" s="5" t="s">
        <v>176</v>
      </c>
      <c r="B4" s="5" t="s">
        <v>37</v>
      </c>
      <c r="C4" s="2">
        <v>11.319683293090501</v>
      </c>
      <c r="D4" s="3">
        <v>34</v>
      </c>
      <c r="E4" s="3">
        <v>8</v>
      </c>
      <c r="F4" s="2">
        <v>9577.7496258687297</v>
      </c>
      <c r="G4" s="5" t="s">
        <v>38</v>
      </c>
      <c r="H4" s="3">
        <v>1</v>
      </c>
      <c r="I4" s="3">
        <v>10</v>
      </c>
      <c r="J4" s="3">
        <v>88</v>
      </c>
      <c r="K4" s="3">
        <v>2</v>
      </c>
      <c r="L4" s="5" t="s">
        <v>27</v>
      </c>
      <c r="M4" s="2">
        <v>8.0544792617321495</v>
      </c>
      <c r="N4" s="5" t="s">
        <v>39</v>
      </c>
      <c r="O4" s="5" t="s">
        <v>29</v>
      </c>
      <c r="P4" s="3">
        <v>12</v>
      </c>
      <c r="Q4" s="3">
        <v>971</v>
      </c>
      <c r="R4" s="3">
        <v>27</v>
      </c>
      <c r="S4" s="2">
        <v>30.6880193482842</v>
      </c>
      <c r="T4" s="5" t="s">
        <v>30</v>
      </c>
      <c r="U4" s="4">
        <v>4.5805926191992201</v>
      </c>
      <c r="V4" s="5" t="s">
        <v>40</v>
      </c>
      <c r="W4" s="5" t="s">
        <v>41</v>
      </c>
      <c r="X4" s="2">
        <v>141.920281771519</v>
      </c>
      <c r="Y4" s="2">
        <v>180.66278038153499</v>
      </c>
      <c r="Z4" s="2">
        <v>9397.0868454871907</v>
      </c>
      <c r="AA4" s="12">
        <v>0.98113724126870305</v>
      </c>
    </row>
    <row r="5" spans="1:27">
      <c r="A5" s="5" t="s">
        <v>177</v>
      </c>
      <c r="B5" s="5" t="s">
        <v>42</v>
      </c>
      <c r="C5" s="2">
        <v>61.1633430164377</v>
      </c>
      <c r="D5" s="3">
        <v>68</v>
      </c>
      <c r="E5" s="3">
        <v>83</v>
      </c>
      <c r="F5" s="2">
        <v>7766.8364256852301</v>
      </c>
      <c r="G5" s="5" t="s">
        <v>26</v>
      </c>
      <c r="H5" s="3">
        <v>23</v>
      </c>
      <c r="I5" s="3">
        <v>13</v>
      </c>
      <c r="J5" s="3">
        <v>59</v>
      </c>
      <c r="K5" s="3">
        <v>6</v>
      </c>
      <c r="L5" s="5" t="s">
        <v>43</v>
      </c>
      <c r="M5" s="2">
        <v>1.7295685635434199</v>
      </c>
      <c r="N5" s="5" t="s">
        <v>44</v>
      </c>
      <c r="O5" s="5" t="s">
        <v>45</v>
      </c>
      <c r="P5" s="3">
        <v>24</v>
      </c>
      <c r="Q5" s="3">
        <v>937</v>
      </c>
      <c r="R5" s="3">
        <v>18</v>
      </c>
      <c r="S5" s="2">
        <v>35.624741397125</v>
      </c>
      <c r="T5" s="5" t="s">
        <v>46</v>
      </c>
      <c r="U5" s="4">
        <v>4.7466486206477496</v>
      </c>
      <c r="V5" s="5" t="s">
        <v>47</v>
      </c>
      <c r="W5" s="5" t="s">
        <v>48</v>
      </c>
      <c r="X5" s="2">
        <v>254.776159219286</v>
      </c>
      <c r="Y5" s="2">
        <v>292.13046917995399</v>
      </c>
      <c r="Z5" s="2">
        <v>7474.7059565052796</v>
      </c>
      <c r="AA5" s="12">
        <v>0.96238745698134298</v>
      </c>
    </row>
    <row r="6" spans="1:27">
      <c r="A6" s="5" t="s">
        <v>177</v>
      </c>
      <c r="B6" s="5" t="s">
        <v>49</v>
      </c>
      <c r="C6" s="2">
        <v>4.8054960363458896</v>
      </c>
      <c r="D6" s="3">
        <v>26</v>
      </c>
      <c r="E6" s="3">
        <v>871</v>
      </c>
      <c r="F6" s="2">
        <v>2686.50515156744</v>
      </c>
      <c r="G6" s="5" t="s">
        <v>26</v>
      </c>
      <c r="H6" s="3">
        <v>5</v>
      </c>
      <c r="I6" s="3">
        <v>3</v>
      </c>
      <c r="J6" s="3">
        <v>56</v>
      </c>
      <c r="K6" s="3">
        <v>8</v>
      </c>
      <c r="L6" s="5" t="s">
        <v>36</v>
      </c>
      <c r="M6" s="2">
        <v>3.8905479158706702</v>
      </c>
      <c r="N6" s="5" t="s">
        <v>39</v>
      </c>
      <c r="O6" s="5" t="s">
        <v>50</v>
      </c>
      <c r="P6" s="3">
        <v>5</v>
      </c>
      <c r="Q6" s="3">
        <v>414</v>
      </c>
      <c r="R6" s="3">
        <v>3</v>
      </c>
      <c r="S6" s="2">
        <v>92.065160598712794</v>
      </c>
      <c r="T6" s="5" t="s">
        <v>46</v>
      </c>
      <c r="U6" s="4">
        <v>3.1455795228330001</v>
      </c>
      <c r="V6" s="5" t="s">
        <v>40</v>
      </c>
      <c r="W6" s="5" t="s">
        <v>48</v>
      </c>
      <c r="X6" s="2">
        <v>923.44063171192204</v>
      </c>
      <c r="Y6" s="2">
        <v>1019.39634022651</v>
      </c>
      <c r="Z6" s="2">
        <v>1667.1088113409301</v>
      </c>
      <c r="AA6" s="12">
        <v>0.6205492702548</v>
      </c>
    </row>
    <row r="7" spans="1:27">
      <c r="A7" s="5" t="s">
        <v>176</v>
      </c>
      <c r="B7" s="5" t="s">
        <v>51</v>
      </c>
      <c r="C7" s="2">
        <v>1.6999760138659299</v>
      </c>
      <c r="D7" s="3">
        <v>87</v>
      </c>
      <c r="E7" s="3">
        <v>147</v>
      </c>
      <c r="F7" s="2">
        <v>2828.3487459757498</v>
      </c>
      <c r="G7" s="5" t="s">
        <v>26</v>
      </c>
      <c r="H7" s="3">
        <v>90</v>
      </c>
      <c r="I7" s="3">
        <v>27</v>
      </c>
      <c r="J7" s="3">
        <v>66</v>
      </c>
      <c r="K7" s="3">
        <v>3</v>
      </c>
      <c r="L7" s="5" t="s">
        <v>27</v>
      </c>
      <c r="M7" s="2">
        <v>4.4440988643822896</v>
      </c>
      <c r="N7" s="5" t="s">
        <v>52</v>
      </c>
      <c r="O7" s="5" t="s">
        <v>53</v>
      </c>
      <c r="P7" s="3">
        <v>10</v>
      </c>
      <c r="Q7" s="3">
        <v>104</v>
      </c>
      <c r="R7" s="3">
        <v>17</v>
      </c>
      <c r="S7" s="2">
        <v>56.766475557431797</v>
      </c>
      <c r="T7" s="5" t="s">
        <v>46</v>
      </c>
      <c r="U7" s="4">
        <v>2.7791935115711599</v>
      </c>
      <c r="V7" s="5" t="s">
        <v>31</v>
      </c>
      <c r="W7" s="5" t="s">
        <v>48</v>
      </c>
      <c r="X7" s="2">
        <v>235.461236735537</v>
      </c>
      <c r="Y7" s="2">
        <v>296.67181115735099</v>
      </c>
      <c r="Z7" s="2">
        <v>2531.6769348183998</v>
      </c>
      <c r="AA7" s="12">
        <v>0.89510776859485097</v>
      </c>
    </row>
    <row r="8" spans="1:27">
      <c r="A8" s="5" t="s">
        <v>177</v>
      </c>
      <c r="B8" s="5" t="s">
        <v>54</v>
      </c>
      <c r="C8" s="2">
        <v>4.0783328631079403</v>
      </c>
      <c r="D8" s="3">
        <v>48</v>
      </c>
      <c r="E8" s="3">
        <v>65</v>
      </c>
      <c r="F8" s="2">
        <v>7823.4765595317303</v>
      </c>
      <c r="G8" s="5" t="s">
        <v>55</v>
      </c>
      <c r="H8" s="3">
        <v>11</v>
      </c>
      <c r="I8" s="3">
        <v>15</v>
      </c>
      <c r="J8" s="3">
        <v>58</v>
      </c>
      <c r="K8" s="3">
        <v>8</v>
      </c>
      <c r="L8" s="5" t="s">
        <v>43</v>
      </c>
      <c r="M8" s="2">
        <v>3.8807633029519999</v>
      </c>
      <c r="N8" s="5" t="s">
        <v>28</v>
      </c>
      <c r="O8" s="5" t="s">
        <v>45</v>
      </c>
      <c r="P8" s="3">
        <v>14</v>
      </c>
      <c r="Q8" s="3">
        <v>314</v>
      </c>
      <c r="R8" s="3">
        <v>24</v>
      </c>
      <c r="S8" s="2">
        <v>1.0850685695870601</v>
      </c>
      <c r="T8" s="5" t="s">
        <v>30</v>
      </c>
      <c r="U8" s="4">
        <v>1.0009106193041299</v>
      </c>
      <c r="V8" s="5" t="s">
        <v>56</v>
      </c>
      <c r="W8" s="5" t="s">
        <v>48</v>
      </c>
      <c r="X8" s="2">
        <v>134.36909686103101</v>
      </c>
      <c r="Y8" s="2">
        <v>139.33492873357</v>
      </c>
      <c r="Z8" s="2">
        <v>7684.1416307981599</v>
      </c>
      <c r="AA8" s="12">
        <v>0.982190151951844</v>
      </c>
    </row>
    <row r="9" spans="1:27">
      <c r="A9" s="5" t="s">
        <v>178</v>
      </c>
      <c r="B9" s="5" t="s">
        <v>58</v>
      </c>
      <c r="C9" s="2">
        <v>42.958384382459997</v>
      </c>
      <c r="D9" s="3">
        <v>59</v>
      </c>
      <c r="E9" s="3">
        <v>426</v>
      </c>
      <c r="F9" s="2">
        <v>8496.1038130898305</v>
      </c>
      <c r="G9" s="5" t="s">
        <v>35</v>
      </c>
      <c r="H9" s="3">
        <v>93</v>
      </c>
      <c r="I9" s="3">
        <v>17</v>
      </c>
      <c r="J9" s="3">
        <v>11</v>
      </c>
      <c r="K9" s="3">
        <v>1</v>
      </c>
      <c r="L9" s="5" t="s">
        <v>27</v>
      </c>
      <c r="M9" s="2">
        <v>2.3483387844177801</v>
      </c>
      <c r="N9" s="5" t="s">
        <v>52</v>
      </c>
      <c r="O9" s="5" t="s">
        <v>53</v>
      </c>
      <c r="P9" s="3">
        <v>22</v>
      </c>
      <c r="Q9" s="3">
        <v>564</v>
      </c>
      <c r="R9" s="3">
        <v>1</v>
      </c>
      <c r="S9" s="2">
        <v>99.466108603599096</v>
      </c>
      <c r="T9" s="5" t="s">
        <v>46</v>
      </c>
      <c r="U9" s="4">
        <v>0.39817718685065001</v>
      </c>
      <c r="V9" s="5" t="s">
        <v>31</v>
      </c>
      <c r="W9" s="5" t="s">
        <v>41</v>
      </c>
      <c r="X9" s="2">
        <v>802.05631181755803</v>
      </c>
      <c r="Y9" s="2">
        <v>903.87075920557504</v>
      </c>
      <c r="Z9" s="2">
        <v>7592.2330538842598</v>
      </c>
      <c r="AA9" s="12">
        <v>0.89361349871773099</v>
      </c>
    </row>
    <row r="10" spans="1:27">
      <c r="A10" s="5" t="s">
        <v>178</v>
      </c>
      <c r="B10" s="5" t="s">
        <v>59</v>
      </c>
      <c r="C10" s="2">
        <v>68.717596748527299</v>
      </c>
      <c r="D10" s="3">
        <v>78</v>
      </c>
      <c r="E10" s="3">
        <v>150</v>
      </c>
      <c r="F10" s="2">
        <v>7517.3632106311197</v>
      </c>
      <c r="G10" s="5" t="s">
        <v>35</v>
      </c>
      <c r="H10" s="3">
        <v>5</v>
      </c>
      <c r="I10" s="3">
        <v>10</v>
      </c>
      <c r="J10" s="3">
        <v>15</v>
      </c>
      <c r="K10" s="3">
        <v>7</v>
      </c>
      <c r="L10" s="5" t="s">
        <v>43</v>
      </c>
      <c r="M10" s="2">
        <v>3.4047338570830199</v>
      </c>
      <c r="N10" s="5" t="s">
        <v>52</v>
      </c>
      <c r="O10" s="5" t="s">
        <v>29</v>
      </c>
      <c r="P10" s="3">
        <v>13</v>
      </c>
      <c r="Q10" s="3">
        <v>769</v>
      </c>
      <c r="R10" s="3">
        <v>8</v>
      </c>
      <c r="S10" s="2">
        <v>11.423027139565599</v>
      </c>
      <c r="T10" s="5" t="s">
        <v>30</v>
      </c>
      <c r="U10" s="4">
        <v>2.7098626911099601</v>
      </c>
      <c r="V10" s="5" t="s">
        <v>56</v>
      </c>
      <c r="W10" s="5" t="s">
        <v>32</v>
      </c>
      <c r="X10" s="2">
        <v>505.55713422546398</v>
      </c>
      <c r="Y10" s="2">
        <v>520.38489522211296</v>
      </c>
      <c r="Z10" s="2">
        <v>6996.9783154090101</v>
      </c>
      <c r="AA10" s="12">
        <v>0.93077560832950301</v>
      </c>
    </row>
    <row r="11" spans="1:27">
      <c r="A11" s="5" t="s">
        <v>177</v>
      </c>
      <c r="B11" s="5" t="s">
        <v>60</v>
      </c>
      <c r="C11" s="2">
        <v>64.0157329412785</v>
      </c>
      <c r="D11" s="3">
        <v>35</v>
      </c>
      <c r="E11" s="3">
        <v>980</v>
      </c>
      <c r="F11" s="2">
        <v>4971.1459875855498</v>
      </c>
      <c r="G11" s="5" t="s">
        <v>38</v>
      </c>
      <c r="H11" s="3">
        <v>14</v>
      </c>
      <c r="I11" s="3">
        <v>27</v>
      </c>
      <c r="J11" s="3">
        <v>83</v>
      </c>
      <c r="K11" s="3">
        <v>1</v>
      </c>
      <c r="L11" s="5" t="s">
        <v>36</v>
      </c>
      <c r="M11" s="2">
        <v>7.1666452910482104</v>
      </c>
      <c r="N11" s="5" t="s">
        <v>61</v>
      </c>
      <c r="O11" s="5" t="s">
        <v>62</v>
      </c>
      <c r="P11" s="3">
        <v>29</v>
      </c>
      <c r="Q11" s="3">
        <v>963</v>
      </c>
      <c r="R11" s="3">
        <v>23</v>
      </c>
      <c r="S11" s="2">
        <v>47.957601634951502</v>
      </c>
      <c r="T11" s="5" t="s">
        <v>30</v>
      </c>
      <c r="U11" s="4">
        <v>3.8446144787675798</v>
      </c>
      <c r="V11" s="5" t="s">
        <v>47</v>
      </c>
      <c r="W11" s="5" t="s">
        <v>32</v>
      </c>
      <c r="X11" s="2">
        <v>995.92946149864099</v>
      </c>
      <c r="Y11" s="2">
        <v>1051.05370842464</v>
      </c>
      <c r="Z11" s="2">
        <v>3920.09227916091</v>
      </c>
      <c r="AA11" s="12">
        <v>0.78856913254017502</v>
      </c>
    </row>
    <row r="12" spans="1:27">
      <c r="A12" s="5" t="s">
        <v>177</v>
      </c>
      <c r="B12" s="5" t="s">
        <v>63</v>
      </c>
      <c r="C12" s="2">
        <v>15.707795681912099</v>
      </c>
      <c r="D12" s="3">
        <v>11</v>
      </c>
      <c r="E12" s="3">
        <v>996</v>
      </c>
      <c r="F12" s="2">
        <v>2330.9658020919401</v>
      </c>
      <c r="G12" s="5" t="s">
        <v>26</v>
      </c>
      <c r="H12" s="3">
        <v>51</v>
      </c>
      <c r="I12" s="3">
        <v>13</v>
      </c>
      <c r="J12" s="3">
        <v>80</v>
      </c>
      <c r="K12" s="3">
        <v>2</v>
      </c>
      <c r="L12" s="5" t="s">
        <v>43</v>
      </c>
      <c r="M12" s="2">
        <v>8.6732112112786108</v>
      </c>
      <c r="N12" s="5" t="s">
        <v>44</v>
      </c>
      <c r="O12" s="5" t="s">
        <v>45</v>
      </c>
      <c r="P12" s="3">
        <v>18</v>
      </c>
      <c r="Q12" s="3">
        <v>830</v>
      </c>
      <c r="R12" s="3">
        <v>5</v>
      </c>
      <c r="S12" s="2">
        <v>96.527352785310896</v>
      </c>
      <c r="T12" s="5" t="s">
        <v>64</v>
      </c>
      <c r="U12" s="4">
        <v>1.72731392835594</v>
      </c>
      <c r="V12" s="5" t="s">
        <v>31</v>
      </c>
      <c r="W12" s="5" t="s">
        <v>32</v>
      </c>
      <c r="X12" s="2">
        <v>806.10317770292295</v>
      </c>
      <c r="Y12" s="2">
        <v>911.30374169951199</v>
      </c>
      <c r="Z12" s="2">
        <v>1419.66206039243</v>
      </c>
      <c r="AA12" s="12">
        <v>0.60904456818643304</v>
      </c>
    </row>
    <row r="13" spans="1:27">
      <c r="A13" s="5" t="s">
        <v>177</v>
      </c>
      <c r="B13" s="5" t="s">
        <v>65</v>
      </c>
      <c r="C13" s="2">
        <v>90.635459982288594</v>
      </c>
      <c r="D13" s="3">
        <v>95</v>
      </c>
      <c r="E13" s="3">
        <v>960</v>
      </c>
      <c r="F13" s="2">
        <v>6099.9441155814502</v>
      </c>
      <c r="G13" s="5" t="s">
        <v>35</v>
      </c>
      <c r="H13" s="3">
        <v>46</v>
      </c>
      <c r="I13" s="3">
        <v>23</v>
      </c>
      <c r="J13" s="3">
        <v>60</v>
      </c>
      <c r="K13" s="3">
        <v>1</v>
      </c>
      <c r="L13" s="5" t="s">
        <v>36</v>
      </c>
      <c r="M13" s="2">
        <v>4.5239431243166601</v>
      </c>
      <c r="N13" s="5" t="s">
        <v>61</v>
      </c>
      <c r="O13" s="5" t="s">
        <v>45</v>
      </c>
      <c r="P13" s="3">
        <v>28</v>
      </c>
      <c r="Q13" s="3">
        <v>362</v>
      </c>
      <c r="R13" s="3">
        <v>11</v>
      </c>
      <c r="S13" s="2">
        <v>27.5923630866636</v>
      </c>
      <c r="T13" s="5" t="s">
        <v>30</v>
      </c>
      <c r="U13" s="4">
        <v>2.1169821372994301E-2</v>
      </c>
      <c r="V13" s="5" t="s">
        <v>40</v>
      </c>
      <c r="W13" s="5" t="s">
        <v>48</v>
      </c>
      <c r="X13" s="2">
        <v>126.72303340940699</v>
      </c>
      <c r="Y13" s="2">
        <v>158.83933962038699</v>
      </c>
      <c r="Z13" s="2">
        <v>5941.1047759610601</v>
      </c>
      <c r="AA13" s="12">
        <v>0.97396052543913403</v>
      </c>
    </row>
    <row r="14" spans="1:27">
      <c r="A14" s="5" t="s">
        <v>176</v>
      </c>
      <c r="B14" s="5" t="s">
        <v>66</v>
      </c>
      <c r="C14" s="2">
        <v>71.213389075359999</v>
      </c>
      <c r="D14" s="3">
        <v>41</v>
      </c>
      <c r="E14" s="3">
        <v>336</v>
      </c>
      <c r="F14" s="2">
        <v>2873.74144602144</v>
      </c>
      <c r="G14" s="5" t="s">
        <v>38</v>
      </c>
      <c r="H14" s="3">
        <v>100</v>
      </c>
      <c r="I14" s="3">
        <v>30</v>
      </c>
      <c r="J14" s="3">
        <v>85</v>
      </c>
      <c r="K14" s="3">
        <v>4</v>
      </c>
      <c r="L14" s="5" t="s">
        <v>36</v>
      </c>
      <c r="M14" s="2">
        <v>1.32527401018452</v>
      </c>
      <c r="N14" s="5" t="s">
        <v>52</v>
      </c>
      <c r="O14" s="5" t="s">
        <v>45</v>
      </c>
      <c r="P14" s="3">
        <v>3</v>
      </c>
      <c r="Q14" s="3">
        <v>563</v>
      </c>
      <c r="R14" s="3">
        <v>3</v>
      </c>
      <c r="S14" s="2">
        <v>32.321286213424003</v>
      </c>
      <c r="T14" s="5" t="s">
        <v>46</v>
      </c>
      <c r="U14" s="4">
        <v>2.1612537475559099</v>
      </c>
      <c r="V14" s="5" t="s">
        <v>31</v>
      </c>
      <c r="W14" s="5" t="s">
        <v>32</v>
      </c>
      <c r="X14" s="2">
        <v>402.96878907376998</v>
      </c>
      <c r="Y14" s="2">
        <v>436.61534929737797</v>
      </c>
      <c r="Z14" s="2">
        <v>2437.1260967240601</v>
      </c>
      <c r="AA14" s="12">
        <v>0.84806728180022894</v>
      </c>
    </row>
    <row r="15" spans="1:27">
      <c r="A15" s="5" t="s">
        <v>177</v>
      </c>
      <c r="B15" s="5" t="s">
        <v>67</v>
      </c>
      <c r="C15" s="2">
        <v>16.160393317379899</v>
      </c>
      <c r="D15" s="3">
        <v>5</v>
      </c>
      <c r="E15" s="3">
        <v>249</v>
      </c>
      <c r="F15" s="2">
        <v>4052.7384162378598</v>
      </c>
      <c r="G15" s="5" t="s">
        <v>55</v>
      </c>
      <c r="H15" s="3">
        <v>80</v>
      </c>
      <c r="I15" s="3">
        <v>8</v>
      </c>
      <c r="J15" s="3">
        <v>48</v>
      </c>
      <c r="K15" s="3">
        <v>9</v>
      </c>
      <c r="L15" s="5" t="s">
        <v>36</v>
      </c>
      <c r="M15" s="2">
        <v>9.5372830611083295</v>
      </c>
      <c r="N15" s="5" t="s">
        <v>44</v>
      </c>
      <c r="O15" s="5" t="s">
        <v>53</v>
      </c>
      <c r="P15" s="3">
        <v>23</v>
      </c>
      <c r="Q15" s="3">
        <v>173</v>
      </c>
      <c r="R15" s="3">
        <v>10</v>
      </c>
      <c r="S15" s="2">
        <v>97.829050110173199</v>
      </c>
      <c r="T15" s="5" t="s">
        <v>30</v>
      </c>
      <c r="U15" s="4">
        <v>1.63107423007153</v>
      </c>
      <c r="V15" s="5" t="s">
        <v>31</v>
      </c>
      <c r="W15" s="5" t="s">
        <v>32</v>
      </c>
      <c r="X15" s="2">
        <v>547.24100516096803</v>
      </c>
      <c r="Y15" s="2">
        <v>654.60733833225004</v>
      </c>
      <c r="Z15" s="2">
        <v>3398.1310779056098</v>
      </c>
      <c r="AA15" s="12">
        <v>0.83847777203940099</v>
      </c>
    </row>
    <row r="16" spans="1:27">
      <c r="A16" s="5" t="s">
        <v>177</v>
      </c>
      <c r="B16" s="5" t="s">
        <v>68</v>
      </c>
      <c r="C16" s="2">
        <v>99.171328638624104</v>
      </c>
      <c r="D16" s="3">
        <v>26</v>
      </c>
      <c r="E16" s="3">
        <v>562</v>
      </c>
      <c r="F16" s="2">
        <v>8653.5709264697998</v>
      </c>
      <c r="G16" s="5" t="s">
        <v>26</v>
      </c>
      <c r="H16" s="3">
        <v>54</v>
      </c>
      <c r="I16" s="3">
        <v>29</v>
      </c>
      <c r="J16" s="3">
        <v>78</v>
      </c>
      <c r="K16" s="3">
        <v>5</v>
      </c>
      <c r="L16" s="5" t="s">
        <v>27</v>
      </c>
      <c r="M16" s="2">
        <v>2.0397701894493299</v>
      </c>
      <c r="N16" s="5" t="s">
        <v>39</v>
      </c>
      <c r="O16" s="5" t="s">
        <v>45</v>
      </c>
      <c r="P16" s="3">
        <v>25</v>
      </c>
      <c r="Q16" s="3">
        <v>558</v>
      </c>
      <c r="R16" s="3">
        <v>14</v>
      </c>
      <c r="S16" s="2">
        <v>5.7914366298629796</v>
      </c>
      <c r="T16" s="5" t="s">
        <v>30</v>
      </c>
      <c r="U16" s="4">
        <v>0.100682851565093</v>
      </c>
      <c r="V16" s="5" t="s">
        <v>40</v>
      </c>
      <c r="W16" s="5" t="s">
        <v>32</v>
      </c>
      <c r="X16" s="2">
        <v>929.23528996088896</v>
      </c>
      <c r="Y16" s="2">
        <v>937.06649678020096</v>
      </c>
      <c r="Z16" s="2">
        <v>7716.5044296896003</v>
      </c>
      <c r="AA16" s="12">
        <v>0.89171331641670903</v>
      </c>
    </row>
    <row r="17" spans="1:27">
      <c r="A17" s="5" t="s">
        <v>177</v>
      </c>
      <c r="B17" s="5" t="s">
        <v>69</v>
      </c>
      <c r="C17" s="2">
        <v>36.989244928626903</v>
      </c>
      <c r="D17" s="3">
        <v>94</v>
      </c>
      <c r="E17" s="3">
        <v>469</v>
      </c>
      <c r="F17" s="2">
        <v>5442.0867853976697</v>
      </c>
      <c r="G17" s="5" t="s">
        <v>26</v>
      </c>
      <c r="H17" s="3">
        <v>9</v>
      </c>
      <c r="I17" s="3">
        <v>8</v>
      </c>
      <c r="J17" s="3">
        <v>69</v>
      </c>
      <c r="K17" s="3">
        <v>7</v>
      </c>
      <c r="L17" s="5" t="s">
        <v>27</v>
      </c>
      <c r="M17" s="2">
        <v>2.4220397232752</v>
      </c>
      <c r="N17" s="5" t="s">
        <v>39</v>
      </c>
      <c r="O17" s="5" t="s">
        <v>53</v>
      </c>
      <c r="P17" s="3">
        <v>14</v>
      </c>
      <c r="Q17" s="3">
        <v>580</v>
      </c>
      <c r="R17" s="3">
        <v>7</v>
      </c>
      <c r="S17" s="2">
        <v>97.121281751474299</v>
      </c>
      <c r="T17" s="5" t="s">
        <v>64</v>
      </c>
      <c r="U17" s="4">
        <v>2.2644057611985402</v>
      </c>
      <c r="V17" s="5" t="s">
        <v>56</v>
      </c>
      <c r="W17" s="5" t="s">
        <v>32</v>
      </c>
      <c r="X17" s="2">
        <v>127.861800001625</v>
      </c>
      <c r="Y17" s="2">
        <v>227.405121476375</v>
      </c>
      <c r="Z17" s="2">
        <v>5214.6816639212902</v>
      </c>
      <c r="AA17" s="12">
        <v>0.95821361723106802</v>
      </c>
    </row>
    <row r="18" spans="1:27">
      <c r="A18" s="5" t="s">
        <v>177</v>
      </c>
      <c r="B18" s="5" t="s">
        <v>70</v>
      </c>
      <c r="C18" s="2">
        <v>7.5471721097912701</v>
      </c>
      <c r="D18" s="3">
        <v>74</v>
      </c>
      <c r="E18" s="3">
        <v>280</v>
      </c>
      <c r="F18" s="2">
        <v>6453.7979681762799</v>
      </c>
      <c r="G18" s="5" t="s">
        <v>35</v>
      </c>
      <c r="H18" s="3">
        <v>2</v>
      </c>
      <c r="I18" s="3">
        <v>5</v>
      </c>
      <c r="J18" s="3">
        <v>78</v>
      </c>
      <c r="K18" s="3">
        <v>1</v>
      </c>
      <c r="L18" s="5" t="s">
        <v>27</v>
      </c>
      <c r="M18" s="2">
        <v>4.1913245857054999</v>
      </c>
      <c r="N18" s="5" t="s">
        <v>39</v>
      </c>
      <c r="O18" s="5" t="s">
        <v>53</v>
      </c>
      <c r="P18" s="3">
        <v>3</v>
      </c>
      <c r="Q18" s="3">
        <v>399</v>
      </c>
      <c r="R18" s="3">
        <v>21</v>
      </c>
      <c r="S18" s="2">
        <v>77.106342497849994</v>
      </c>
      <c r="T18" s="5" t="s">
        <v>64</v>
      </c>
      <c r="U18" s="4">
        <v>1.01256308925804</v>
      </c>
      <c r="V18" s="5" t="s">
        <v>40</v>
      </c>
      <c r="W18" s="5" t="s">
        <v>48</v>
      </c>
      <c r="X18" s="2">
        <v>865.52577977123997</v>
      </c>
      <c r="Y18" s="2">
        <v>946.82344685479598</v>
      </c>
      <c r="Z18" s="2">
        <v>5506.9745213214801</v>
      </c>
      <c r="AA18" s="12">
        <v>0.85329205352823401</v>
      </c>
    </row>
    <row r="19" spans="1:27">
      <c r="A19" s="5" t="s">
        <v>178</v>
      </c>
      <c r="B19" s="5" t="s">
        <v>71</v>
      </c>
      <c r="C19" s="2">
        <v>81.462534369237005</v>
      </c>
      <c r="D19" s="3">
        <v>82</v>
      </c>
      <c r="E19" s="3">
        <v>126</v>
      </c>
      <c r="F19" s="2">
        <v>2629.39643484526</v>
      </c>
      <c r="G19" s="5" t="s">
        <v>35</v>
      </c>
      <c r="H19" s="3">
        <v>45</v>
      </c>
      <c r="I19" s="3">
        <v>17</v>
      </c>
      <c r="J19" s="3">
        <v>85</v>
      </c>
      <c r="K19" s="3">
        <v>9</v>
      </c>
      <c r="L19" s="5" t="s">
        <v>43</v>
      </c>
      <c r="M19" s="2">
        <v>3.5854189582323399</v>
      </c>
      <c r="N19" s="5" t="s">
        <v>39</v>
      </c>
      <c r="O19" s="5" t="s">
        <v>62</v>
      </c>
      <c r="P19" s="3">
        <v>7</v>
      </c>
      <c r="Q19" s="3">
        <v>453</v>
      </c>
      <c r="R19" s="3">
        <v>16</v>
      </c>
      <c r="S19" s="2">
        <v>47.679680368355299</v>
      </c>
      <c r="T19" s="5" t="s">
        <v>46</v>
      </c>
      <c r="U19" s="4">
        <v>0.102020754918176</v>
      </c>
      <c r="V19" s="5" t="s">
        <v>40</v>
      </c>
      <c r="W19" s="5" t="s">
        <v>41</v>
      </c>
      <c r="X19" s="2">
        <v>670.93439079241</v>
      </c>
      <c r="Y19" s="2">
        <v>722.19949011899803</v>
      </c>
      <c r="Z19" s="2">
        <v>1907.19694472626</v>
      </c>
      <c r="AA19" s="12">
        <v>0.72533640019121004</v>
      </c>
    </row>
    <row r="20" spans="1:27">
      <c r="A20" s="5" t="s">
        <v>176</v>
      </c>
      <c r="B20" s="5" t="s">
        <v>72</v>
      </c>
      <c r="C20" s="2">
        <v>36.4436277704609</v>
      </c>
      <c r="D20" s="3">
        <v>23</v>
      </c>
      <c r="E20" s="3">
        <v>620</v>
      </c>
      <c r="F20" s="2">
        <v>9364.6735050761708</v>
      </c>
      <c r="G20" s="5" t="s">
        <v>38</v>
      </c>
      <c r="H20" s="3">
        <v>10</v>
      </c>
      <c r="I20" s="3">
        <v>10</v>
      </c>
      <c r="J20" s="3">
        <v>46</v>
      </c>
      <c r="K20" s="3">
        <v>8</v>
      </c>
      <c r="L20" s="5" t="s">
        <v>43</v>
      </c>
      <c r="M20" s="2">
        <v>4.3392247141107001</v>
      </c>
      <c r="N20" s="5" t="s">
        <v>61</v>
      </c>
      <c r="O20" s="5" t="s">
        <v>45</v>
      </c>
      <c r="P20" s="3">
        <v>18</v>
      </c>
      <c r="Q20" s="3">
        <v>374</v>
      </c>
      <c r="R20" s="3">
        <v>17</v>
      </c>
      <c r="S20" s="2">
        <v>27.107980854843898</v>
      </c>
      <c r="T20" s="5" t="s">
        <v>30</v>
      </c>
      <c r="U20" s="4">
        <v>2.2319391107292601</v>
      </c>
      <c r="V20" s="5" t="s">
        <v>56</v>
      </c>
      <c r="W20" s="5" t="s">
        <v>48</v>
      </c>
      <c r="X20" s="2">
        <v>593.48025872065102</v>
      </c>
      <c r="Y20" s="2">
        <v>624.92746428960595</v>
      </c>
      <c r="Z20" s="2">
        <v>8739.7460407865692</v>
      </c>
      <c r="AA20" s="12">
        <v>0.933267565179837</v>
      </c>
    </row>
    <row r="21" spans="1:27">
      <c r="A21" s="5" t="s">
        <v>177</v>
      </c>
      <c r="B21" s="5" t="s">
        <v>73</v>
      </c>
      <c r="C21" s="2">
        <v>51.123870087964697</v>
      </c>
      <c r="D21" s="3">
        <v>100</v>
      </c>
      <c r="E21" s="3">
        <v>187</v>
      </c>
      <c r="F21" s="2">
        <v>2553.4955849912099</v>
      </c>
      <c r="G21" s="5" t="s">
        <v>38</v>
      </c>
      <c r="H21" s="3">
        <v>48</v>
      </c>
      <c r="I21" s="3">
        <v>11</v>
      </c>
      <c r="J21" s="3">
        <v>94</v>
      </c>
      <c r="K21" s="3">
        <v>3</v>
      </c>
      <c r="L21" s="5" t="s">
        <v>36</v>
      </c>
      <c r="M21" s="2">
        <v>4.7426358828418698</v>
      </c>
      <c r="N21" s="5" t="s">
        <v>52</v>
      </c>
      <c r="O21" s="5" t="s">
        <v>62</v>
      </c>
      <c r="P21" s="3">
        <v>20</v>
      </c>
      <c r="Q21" s="3">
        <v>694</v>
      </c>
      <c r="R21" s="3">
        <v>16</v>
      </c>
      <c r="S21" s="2">
        <v>82.373320587990193</v>
      </c>
      <c r="T21" s="5" t="s">
        <v>46</v>
      </c>
      <c r="U21" s="4">
        <v>3.64645086541702</v>
      </c>
      <c r="V21" s="5" t="s">
        <v>31</v>
      </c>
      <c r="W21" s="5" t="s">
        <v>41</v>
      </c>
      <c r="X21" s="2">
        <v>477.30763109090299</v>
      </c>
      <c r="Y21" s="2">
        <v>564.42358756173496</v>
      </c>
      <c r="Z21" s="2">
        <v>1989.07199742947</v>
      </c>
      <c r="AA21" s="12">
        <v>0.77896042159646905</v>
      </c>
    </row>
    <row r="22" spans="1:27">
      <c r="A22" s="5" t="s">
        <v>177</v>
      </c>
      <c r="B22" s="5" t="s">
        <v>74</v>
      </c>
      <c r="C22" s="2">
        <v>96.341072439963298</v>
      </c>
      <c r="D22" s="3">
        <v>22</v>
      </c>
      <c r="E22" s="3">
        <v>320</v>
      </c>
      <c r="F22" s="2">
        <v>8128.0276968511898</v>
      </c>
      <c r="G22" s="5" t="s">
        <v>38</v>
      </c>
      <c r="H22" s="3">
        <v>27</v>
      </c>
      <c r="I22" s="3">
        <v>12</v>
      </c>
      <c r="J22" s="3">
        <v>68</v>
      </c>
      <c r="K22" s="3">
        <v>6</v>
      </c>
      <c r="L22" s="5" t="s">
        <v>36</v>
      </c>
      <c r="M22" s="2">
        <v>8.8783346509268402</v>
      </c>
      <c r="N22" s="5" t="s">
        <v>39</v>
      </c>
      <c r="O22" s="5" t="s">
        <v>62</v>
      </c>
      <c r="P22" s="3">
        <v>29</v>
      </c>
      <c r="Q22" s="3">
        <v>309</v>
      </c>
      <c r="R22" s="3">
        <v>6</v>
      </c>
      <c r="S22" s="2">
        <v>65.686259608488598</v>
      </c>
      <c r="T22" s="5" t="s">
        <v>64</v>
      </c>
      <c r="U22" s="4">
        <v>4.2314165735345304</v>
      </c>
      <c r="V22" s="5" t="s">
        <v>40</v>
      </c>
      <c r="W22" s="5" t="s">
        <v>32</v>
      </c>
      <c r="X22" s="2">
        <v>493.871215316205</v>
      </c>
      <c r="Y22" s="2">
        <v>568.43580957562006</v>
      </c>
      <c r="Z22" s="2">
        <v>7559.5918872755701</v>
      </c>
      <c r="AA22" s="12">
        <v>0.93006473024251202</v>
      </c>
    </row>
    <row r="23" spans="1:27">
      <c r="A23" s="5" t="s">
        <v>178</v>
      </c>
      <c r="B23" s="5" t="s">
        <v>75</v>
      </c>
      <c r="C23" s="2">
        <v>84.893868984950799</v>
      </c>
      <c r="D23" s="3">
        <v>60</v>
      </c>
      <c r="E23" s="3">
        <v>601</v>
      </c>
      <c r="F23" s="2">
        <v>7087.0526963574302</v>
      </c>
      <c r="G23" s="5" t="s">
        <v>38</v>
      </c>
      <c r="H23" s="3">
        <v>69</v>
      </c>
      <c r="I23" s="3">
        <v>25</v>
      </c>
      <c r="J23" s="3">
        <v>7</v>
      </c>
      <c r="K23" s="3">
        <v>6</v>
      </c>
      <c r="L23" s="5" t="s">
        <v>27</v>
      </c>
      <c r="M23" s="2">
        <v>6.0378837692182898</v>
      </c>
      <c r="N23" s="5" t="s">
        <v>44</v>
      </c>
      <c r="O23" s="5" t="s">
        <v>62</v>
      </c>
      <c r="P23" s="3">
        <v>19</v>
      </c>
      <c r="Q23" s="3">
        <v>791</v>
      </c>
      <c r="R23" s="3">
        <v>4</v>
      </c>
      <c r="S23" s="2">
        <v>61.735728954160898</v>
      </c>
      <c r="T23" s="5" t="s">
        <v>30</v>
      </c>
      <c r="U23" s="4">
        <v>1.8607567631014899E-2</v>
      </c>
      <c r="V23" s="5" t="s">
        <v>40</v>
      </c>
      <c r="W23" s="5" t="s">
        <v>41</v>
      </c>
      <c r="X23" s="2">
        <v>523.36091472015801</v>
      </c>
      <c r="Y23" s="2">
        <v>591.13452744353697</v>
      </c>
      <c r="Z23" s="2">
        <v>6495.9181689138904</v>
      </c>
      <c r="AA23" s="12">
        <v>0.91658951149786605</v>
      </c>
    </row>
    <row r="24" spans="1:27">
      <c r="A24" s="5" t="s">
        <v>176</v>
      </c>
      <c r="B24" s="5" t="s">
        <v>76</v>
      </c>
      <c r="C24" s="2">
        <v>27.679780886501899</v>
      </c>
      <c r="D24" s="3">
        <v>55</v>
      </c>
      <c r="E24" s="3">
        <v>884</v>
      </c>
      <c r="F24" s="2">
        <v>2390.8078665561702</v>
      </c>
      <c r="G24" s="5" t="s">
        <v>38</v>
      </c>
      <c r="H24" s="3">
        <v>71</v>
      </c>
      <c r="I24" s="3">
        <v>1</v>
      </c>
      <c r="J24" s="3">
        <v>63</v>
      </c>
      <c r="K24" s="3">
        <v>10</v>
      </c>
      <c r="L24" s="5" t="s">
        <v>36</v>
      </c>
      <c r="M24" s="2">
        <v>9.5676489209230393</v>
      </c>
      <c r="N24" s="5" t="s">
        <v>52</v>
      </c>
      <c r="O24" s="5" t="s">
        <v>45</v>
      </c>
      <c r="P24" s="3">
        <v>22</v>
      </c>
      <c r="Q24" s="3">
        <v>780</v>
      </c>
      <c r="R24" s="3">
        <v>28</v>
      </c>
      <c r="S24" s="2">
        <v>50.120839612977299</v>
      </c>
      <c r="T24" s="5" t="s">
        <v>46</v>
      </c>
      <c r="U24" s="4">
        <v>2.5912754732111098</v>
      </c>
      <c r="V24" s="5" t="s">
        <v>47</v>
      </c>
      <c r="W24" s="5" t="s">
        <v>41</v>
      </c>
      <c r="X24" s="2">
        <v>205.57199582694699</v>
      </c>
      <c r="Y24" s="2">
        <v>265.26048436084699</v>
      </c>
      <c r="Z24" s="2">
        <v>2125.5473821953201</v>
      </c>
      <c r="AA24" s="12">
        <v>0.88904985295077699</v>
      </c>
    </row>
    <row r="25" spans="1:27">
      <c r="A25" s="5" t="s">
        <v>178</v>
      </c>
      <c r="B25" s="5" t="s">
        <v>77</v>
      </c>
      <c r="C25" s="2">
        <v>4.3243411858641601</v>
      </c>
      <c r="D25" s="3">
        <v>30</v>
      </c>
      <c r="E25" s="3">
        <v>391</v>
      </c>
      <c r="F25" s="2">
        <v>8858.3675710114803</v>
      </c>
      <c r="G25" s="5" t="s">
        <v>38</v>
      </c>
      <c r="H25" s="3">
        <v>84</v>
      </c>
      <c r="I25" s="3">
        <v>5</v>
      </c>
      <c r="J25" s="3">
        <v>29</v>
      </c>
      <c r="K25" s="3">
        <v>7</v>
      </c>
      <c r="L25" s="5" t="s">
        <v>36</v>
      </c>
      <c r="M25" s="2">
        <v>2.92485760114555</v>
      </c>
      <c r="N25" s="5" t="s">
        <v>44</v>
      </c>
      <c r="O25" s="5" t="s">
        <v>45</v>
      </c>
      <c r="P25" s="3">
        <v>11</v>
      </c>
      <c r="Q25" s="3">
        <v>568</v>
      </c>
      <c r="R25" s="3">
        <v>29</v>
      </c>
      <c r="S25" s="2">
        <v>98.6099572427038</v>
      </c>
      <c r="T25" s="5" t="s">
        <v>30</v>
      </c>
      <c r="U25" s="4">
        <v>1.3422915627227301</v>
      </c>
      <c r="V25" s="5" t="s">
        <v>47</v>
      </c>
      <c r="W25" s="5" t="s">
        <v>48</v>
      </c>
      <c r="X25" s="2">
        <v>196.329446112412</v>
      </c>
      <c r="Y25" s="2">
        <v>297.86426095626098</v>
      </c>
      <c r="Z25" s="2">
        <v>8560.5033100552191</v>
      </c>
      <c r="AA25" s="12">
        <v>0.96637481357953503</v>
      </c>
    </row>
    <row r="26" spans="1:27">
      <c r="A26" s="5" t="s">
        <v>176</v>
      </c>
      <c r="B26" s="5" t="s">
        <v>78</v>
      </c>
      <c r="C26" s="2">
        <v>4.1563083593111001</v>
      </c>
      <c r="D26" s="3">
        <v>32</v>
      </c>
      <c r="E26" s="3">
        <v>209</v>
      </c>
      <c r="F26" s="2">
        <v>9049.0778609398894</v>
      </c>
      <c r="G26" s="5" t="s">
        <v>55</v>
      </c>
      <c r="H26" s="3">
        <v>4</v>
      </c>
      <c r="I26" s="3">
        <v>26</v>
      </c>
      <c r="J26" s="3">
        <v>2</v>
      </c>
      <c r="K26" s="3">
        <v>8</v>
      </c>
      <c r="L26" s="5" t="s">
        <v>43</v>
      </c>
      <c r="M26" s="2">
        <v>9.7412916892843597</v>
      </c>
      <c r="N26" s="5" t="s">
        <v>61</v>
      </c>
      <c r="O26" s="5" t="s">
        <v>53</v>
      </c>
      <c r="P26" s="3">
        <v>28</v>
      </c>
      <c r="Q26" s="3">
        <v>447</v>
      </c>
      <c r="R26" s="3">
        <v>3</v>
      </c>
      <c r="S26" s="2">
        <v>40.382359702924802</v>
      </c>
      <c r="T26" s="5" t="s">
        <v>30</v>
      </c>
      <c r="U26" s="4">
        <v>3.69131029262872</v>
      </c>
      <c r="V26" s="5" t="s">
        <v>40</v>
      </c>
      <c r="W26" s="5" t="s">
        <v>48</v>
      </c>
      <c r="X26" s="2">
        <v>758.72477260293795</v>
      </c>
      <c r="Y26" s="2">
        <v>808.84842399514696</v>
      </c>
      <c r="Z26" s="2">
        <v>8240.2294369447409</v>
      </c>
      <c r="AA26" s="12">
        <v>0.91061537579574603</v>
      </c>
    </row>
    <row r="27" spans="1:27">
      <c r="A27" s="5" t="s">
        <v>176</v>
      </c>
      <c r="B27" s="5" t="s">
        <v>79</v>
      </c>
      <c r="C27" s="2">
        <v>39.629343985092603</v>
      </c>
      <c r="D27" s="3">
        <v>73</v>
      </c>
      <c r="E27" s="3">
        <v>142</v>
      </c>
      <c r="F27" s="2">
        <v>2174.7770543506499</v>
      </c>
      <c r="G27" s="5" t="s">
        <v>55</v>
      </c>
      <c r="H27" s="3">
        <v>82</v>
      </c>
      <c r="I27" s="3">
        <v>11</v>
      </c>
      <c r="J27" s="3">
        <v>52</v>
      </c>
      <c r="K27" s="3">
        <v>3</v>
      </c>
      <c r="L27" s="5" t="s">
        <v>43</v>
      </c>
      <c r="M27" s="2">
        <v>2.2310736812817198</v>
      </c>
      <c r="N27" s="5" t="s">
        <v>52</v>
      </c>
      <c r="O27" s="5" t="s">
        <v>45</v>
      </c>
      <c r="P27" s="3">
        <v>19</v>
      </c>
      <c r="Q27" s="3">
        <v>934</v>
      </c>
      <c r="R27" s="3">
        <v>23</v>
      </c>
      <c r="S27" s="2">
        <v>78.280383118415301</v>
      </c>
      <c r="T27" s="5" t="s">
        <v>30</v>
      </c>
      <c r="U27" s="4">
        <v>3.79723121711418</v>
      </c>
      <c r="V27" s="5" t="s">
        <v>31</v>
      </c>
      <c r="W27" s="5" t="s">
        <v>32</v>
      </c>
      <c r="X27" s="2">
        <v>458.53594573920901</v>
      </c>
      <c r="Y27" s="2">
        <v>539.047402538906</v>
      </c>
      <c r="Z27" s="2">
        <v>1635.72965181174</v>
      </c>
      <c r="AA27" s="12">
        <v>0.75213670685896805</v>
      </c>
    </row>
    <row r="28" spans="1:27">
      <c r="A28" s="5" t="s">
        <v>176</v>
      </c>
      <c r="B28" s="5" t="s">
        <v>80</v>
      </c>
      <c r="C28" s="2">
        <v>97.446946617892806</v>
      </c>
      <c r="D28" s="3">
        <v>9</v>
      </c>
      <c r="E28" s="3">
        <v>353</v>
      </c>
      <c r="F28" s="2">
        <v>3716.49332589403</v>
      </c>
      <c r="G28" s="5" t="s">
        <v>55</v>
      </c>
      <c r="H28" s="3">
        <v>59</v>
      </c>
      <c r="I28" s="3">
        <v>16</v>
      </c>
      <c r="J28" s="3">
        <v>48</v>
      </c>
      <c r="K28" s="3">
        <v>4</v>
      </c>
      <c r="L28" s="5" t="s">
        <v>27</v>
      </c>
      <c r="M28" s="2">
        <v>6.5075486210785503</v>
      </c>
      <c r="N28" s="5" t="s">
        <v>61</v>
      </c>
      <c r="O28" s="5" t="s">
        <v>53</v>
      </c>
      <c r="P28" s="3">
        <v>26</v>
      </c>
      <c r="Q28" s="3">
        <v>171</v>
      </c>
      <c r="R28" s="3">
        <v>4</v>
      </c>
      <c r="S28" s="2">
        <v>15.972229757181699</v>
      </c>
      <c r="T28" s="5" t="s">
        <v>64</v>
      </c>
      <c r="U28" s="4">
        <v>2.1193197367249201</v>
      </c>
      <c r="V28" s="5" t="s">
        <v>47</v>
      </c>
      <c r="W28" s="5" t="s">
        <v>48</v>
      </c>
      <c r="X28" s="2">
        <v>617.86691645837698</v>
      </c>
      <c r="Y28" s="2">
        <v>640.34669483663697</v>
      </c>
      <c r="Z28" s="2">
        <v>3076.1466310573901</v>
      </c>
      <c r="AA28" s="12">
        <v>0.82770137366448904</v>
      </c>
    </row>
    <row r="29" spans="1:27">
      <c r="A29" s="5" t="s">
        <v>178</v>
      </c>
      <c r="B29" s="5" t="s">
        <v>81</v>
      </c>
      <c r="C29" s="2">
        <v>92.557360812401996</v>
      </c>
      <c r="D29" s="3">
        <v>42</v>
      </c>
      <c r="E29" s="3">
        <v>352</v>
      </c>
      <c r="F29" s="2">
        <v>2686.4572235759802</v>
      </c>
      <c r="G29" s="5" t="s">
        <v>38</v>
      </c>
      <c r="H29" s="3">
        <v>47</v>
      </c>
      <c r="I29" s="3">
        <v>9</v>
      </c>
      <c r="J29" s="3">
        <v>62</v>
      </c>
      <c r="K29" s="3">
        <v>8</v>
      </c>
      <c r="L29" s="5" t="s">
        <v>43</v>
      </c>
      <c r="M29" s="2">
        <v>7.4067509529980704</v>
      </c>
      <c r="N29" s="5" t="s">
        <v>44</v>
      </c>
      <c r="O29" s="5" t="s">
        <v>29</v>
      </c>
      <c r="P29" s="3">
        <v>25</v>
      </c>
      <c r="Q29" s="3">
        <v>291</v>
      </c>
      <c r="R29" s="3">
        <v>4</v>
      </c>
      <c r="S29" s="2">
        <v>10.5282450700421</v>
      </c>
      <c r="T29" s="5" t="s">
        <v>46</v>
      </c>
      <c r="U29" s="4">
        <v>2.8646678378833701</v>
      </c>
      <c r="V29" s="5" t="s">
        <v>56</v>
      </c>
      <c r="W29" s="5" t="s">
        <v>32</v>
      </c>
      <c r="X29" s="2">
        <v>762.45918215568304</v>
      </c>
      <c r="Y29" s="2">
        <v>780.394178178723</v>
      </c>
      <c r="Z29" s="2">
        <v>1906.0630453972601</v>
      </c>
      <c r="AA29" s="12">
        <v>0.709508057180255</v>
      </c>
    </row>
    <row r="30" spans="1:27">
      <c r="A30" s="5" t="s">
        <v>178</v>
      </c>
      <c r="B30" s="5" t="s">
        <v>82</v>
      </c>
      <c r="C30" s="2">
        <v>2.3972747055971402</v>
      </c>
      <c r="D30" s="3">
        <v>12</v>
      </c>
      <c r="E30" s="3">
        <v>394</v>
      </c>
      <c r="F30" s="2">
        <v>6117.3246150839896</v>
      </c>
      <c r="G30" s="5" t="s">
        <v>35</v>
      </c>
      <c r="H30" s="3">
        <v>48</v>
      </c>
      <c r="I30" s="3">
        <v>15</v>
      </c>
      <c r="J30" s="3">
        <v>24</v>
      </c>
      <c r="K30" s="3">
        <v>4</v>
      </c>
      <c r="L30" s="5" t="s">
        <v>27</v>
      </c>
      <c r="M30" s="2">
        <v>9.8981405080692202</v>
      </c>
      <c r="N30" s="5" t="s">
        <v>39</v>
      </c>
      <c r="O30" s="5" t="s">
        <v>29</v>
      </c>
      <c r="P30" s="3">
        <v>13</v>
      </c>
      <c r="Q30" s="3">
        <v>171</v>
      </c>
      <c r="R30" s="3">
        <v>7</v>
      </c>
      <c r="S30" s="2">
        <v>59.429381810691503</v>
      </c>
      <c r="T30" s="5" t="s">
        <v>46</v>
      </c>
      <c r="U30" s="4">
        <v>0.81575707929567198</v>
      </c>
      <c r="V30" s="5" t="s">
        <v>40</v>
      </c>
      <c r="W30" s="5" t="s">
        <v>48</v>
      </c>
      <c r="X30" s="2">
        <v>123.437027511827</v>
      </c>
      <c r="Y30" s="2">
        <v>192.76454983058801</v>
      </c>
      <c r="Z30" s="2">
        <v>5924.5600652534004</v>
      </c>
      <c r="AA30" s="12">
        <v>0.968488749255635</v>
      </c>
    </row>
    <row r="31" spans="1:27">
      <c r="A31" s="5" t="s">
        <v>178</v>
      </c>
      <c r="B31" s="5" t="s">
        <v>83</v>
      </c>
      <c r="C31" s="2">
        <v>63.447559185207297</v>
      </c>
      <c r="D31" s="3">
        <v>3</v>
      </c>
      <c r="E31" s="3">
        <v>253</v>
      </c>
      <c r="F31" s="2">
        <v>8318.9031946171708</v>
      </c>
      <c r="G31" s="5" t="s">
        <v>35</v>
      </c>
      <c r="H31" s="3">
        <v>45</v>
      </c>
      <c r="I31" s="3">
        <v>5</v>
      </c>
      <c r="J31" s="3">
        <v>67</v>
      </c>
      <c r="K31" s="3">
        <v>7</v>
      </c>
      <c r="L31" s="5" t="s">
        <v>27</v>
      </c>
      <c r="M31" s="2">
        <v>8.1009731453970293</v>
      </c>
      <c r="N31" s="5" t="s">
        <v>39</v>
      </c>
      <c r="O31" s="5" t="s">
        <v>45</v>
      </c>
      <c r="P31" s="3">
        <v>16</v>
      </c>
      <c r="Q31" s="3">
        <v>329</v>
      </c>
      <c r="R31" s="3">
        <v>7</v>
      </c>
      <c r="S31" s="2">
        <v>39.292875586065698</v>
      </c>
      <c r="T31" s="5" t="s">
        <v>64</v>
      </c>
      <c r="U31" s="4">
        <v>3.8780989365884802</v>
      </c>
      <c r="V31" s="5" t="s">
        <v>31</v>
      </c>
      <c r="W31" s="5" t="s">
        <v>32</v>
      </c>
      <c r="X31" s="2">
        <v>764.93537594070801</v>
      </c>
      <c r="Y31" s="2">
        <v>812.32922467217099</v>
      </c>
      <c r="Z31" s="2">
        <v>7506.5739699449996</v>
      </c>
      <c r="AA31" s="12">
        <v>0.90235140310350104</v>
      </c>
    </row>
    <row r="32" spans="1:27">
      <c r="A32" s="5" t="s">
        <v>176</v>
      </c>
      <c r="B32" s="5" t="s">
        <v>84</v>
      </c>
      <c r="C32" s="2">
        <v>8.0228592105263896</v>
      </c>
      <c r="D32" s="3">
        <v>10</v>
      </c>
      <c r="E32" s="3">
        <v>327</v>
      </c>
      <c r="F32" s="2">
        <v>2766.3423668660798</v>
      </c>
      <c r="G32" s="5" t="s">
        <v>55</v>
      </c>
      <c r="H32" s="3">
        <v>60</v>
      </c>
      <c r="I32" s="3">
        <v>26</v>
      </c>
      <c r="J32" s="3">
        <v>35</v>
      </c>
      <c r="K32" s="3">
        <v>7</v>
      </c>
      <c r="L32" s="5" t="s">
        <v>27</v>
      </c>
      <c r="M32" s="2">
        <v>8.9545283153180097</v>
      </c>
      <c r="N32" s="5" t="s">
        <v>52</v>
      </c>
      <c r="O32" s="5" t="s">
        <v>45</v>
      </c>
      <c r="P32" s="3">
        <v>27</v>
      </c>
      <c r="Q32" s="3">
        <v>806</v>
      </c>
      <c r="R32" s="3">
        <v>30</v>
      </c>
      <c r="S32" s="2">
        <v>51.634893400109299</v>
      </c>
      <c r="T32" s="5" t="s">
        <v>30</v>
      </c>
      <c r="U32" s="4">
        <v>0.96539470535239302</v>
      </c>
      <c r="V32" s="5" t="s">
        <v>31</v>
      </c>
      <c r="W32" s="5" t="s">
        <v>41</v>
      </c>
      <c r="X32" s="2">
        <v>880.08098824716103</v>
      </c>
      <c r="Y32" s="2">
        <v>940.670409962588</v>
      </c>
      <c r="Z32" s="2">
        <v>1825.6719569034899</v>
      </c>
      <c r="AA32" s="12">
        <v>0.65995878846035605</v>
      </c>
    </row>
    <row r="33" spans="1:27">
      <c r="A33" s="5" t="s">
        <v>177</v>
      </c>
      <c r="B33" s="5" t="s">
        <v>85</v>
      </c>
      <c r="C33" s="2">
        <v>50.847393051718697</v>
      </c>
      <c r="D33" s="3">
        <v>28</v>
      </c>
      <c r="E33" s="3">
        <v>168</v>
      </c>
      <c r="F33" s="2">
        <v>9655.1351027193905</v>
      </c>
      <c r="G33" s="5" t="s">
        <v>55</v>
      </c>
      <c r="H33" s="3">
        <v>6</v>
      </c>
      <c r="I33" s="3">
        <v>17</v>
      </c>
      <c r="J33" s="3">
        <v>44</v>
      </c>
      <c r="K33" s="3">
        <v>4</v>
      </c>
      <c r="L33" s="5" t="s">
        <v>27</v>
      </c>
      <c r="M33" s="2">
        <v>2.6796609649813998</v>
      </c>
      <c r="N33" s="5" t="s">
        <v>28</v>
      </c>
      <c r="O33" s="5" t="s">
        <v>62</v>
      </c>
      <c r="P33" s="3">
        <v>24</v>
      </c>
      <c r="Q33" s="3">
        <v>461</v>
      </c>
      <c r="R33" s="3">
        <v>8</v>
      </c>
      <c r="S33" s="2">
        <v>60.251145661598002</v>
      </c>
      <c r="T33" s="5" t="s">
        <v>30</v>
      </c>
      <c r="U33" s="4">
        <v>2.9890000066550702</v>
      </c>
      <c r="V33" s="5" t="s">
        <v>47</v>
      </c>
      <c r="W33" s="5" t="s">
        <v>41</v>
      </c>
      <c r="X33" s="2">
        <v>609.379206618426</v>
      </c>
      <c r="Y33" s="2">
        <v>672.31001324500505</v>
      </c>
      <c r="Z33" s="2">
        <v>8982.8250894743906</v>
      </c>
      <c r="AA33" s="12">
        <v>0.93036762240068005</v>
      </c>
    </row>
    <row r="34" spans="1:27">
      <c r="A34" s="5" t="s">
        <v>177</v>
      </c>
      <c r="B34" s="5" t="s">
        <v>86</v>
      </c>
      <c r="C34" s="2">
        <v>79.209936015656695</v>
      </c>
      <c r="D34" s="3">
        <v>43</v>
      </c>
      <c r="E34" s="3">
        <v>781</v>
      </c>
      <c r="F34" s="2">
        <v>9571.5504873278096</v>
      </c>
      <c r="G34" s="5" t="s">
        <v>38</v>
      </c>
      <c r="H34" s="3">
        <v>89</v>
      </c>
      <c r="I34" s="3">
        <v>13</v>
      </c>
      <c r="J34" s="3">
        <v>64</v>
      </c>
      <c r="K34" s="3">
        <v>4</v>
      </c>
      <c r="L34" s="5" t="s">
        <v>43</v>
      </c>
      <c r="M34" s="2">
        <v>6.5991049012385803</v>
      </c>
      <c r="N34" s="5" t="s">
        <v>28</v>
      </c>
      <c r="O34" s="5" t="s">
        <v>45</v>
      </c>
      <c r="P34" s="3">
        <v>30</v>
      </c>
      <c r="Q34" s="3">
        <v>737</v>
      </c>
      <c r="R34" s="3">
        <v>7</v>
      </c>
      <c r="S34" s="2">
        <v>29.6924671537497</v>
      </c>
      <c r="T34" s="5" t="s">
        <v>64</v>
      </c>
      <c r="U34" s="4">
        <v>1.94603611938611</v>
      </c>
      <c r="V34" s="5" t="s">
        <v>31</v>
      </c>
      <c r="W34" s="5" t="s">
        <v>48</v>
      </c>
      <c r="X34" s="2">
        <v>761.17390951487698</v>
      </c>
      <c r="Y34" s="2">
        <v>797.46548156986501</v>
      </c>
      <c r="Z34" s="2">
        <v>8774.0850057579391</v>
      </c>
      <c r="AA34" s="12">
        <v>0.91668377211971397</v>
      </c>
    </row>
    <row r="35" spans="1:27">
      <c r="A35" s="5" t="s">
        <v>178</v>
      </c>
      <c r="B35" s="5" t="s">
        <v>87</v>
      </c>
      <c r="C35" s="2">
        <v>64.795435000155607</v>
      </c>
      <c r="D35" s="3">
        <v>63</v>
      </c>
      <c r="E35" s="3">
        <v>616</v>
      </c>
      <c r="F35" s="2">
        <v>5149.9983504080301</v>
      </c>
      <c r="G35" s="5" t="s">
        <v>26</v>
      </c>
      <c r="H35" s="3">
        <v>4</v>
      </c>
      <c r="I35" s="3">
        <v>17</v>
      </c>
      <c r="J35" s="3">
        <v>95</v>
      </c>
      <c r="K35" s="3">
        <v>9</v>
      </c>
      <c r="L35" s="5" t="s">
        <v>43</v>
      </c>
      <c r="M35" s="2">
        <v>4.85827050343664</v>
      </c>
      <c r="N35" s="5" t="s">
        <v>44</v>
      </c>
      <c r="O35" s="5" t="s">
        <v>62</v>
      </c>
      <c r="P35" s="3">
        <v>1</v>
      </c>
      <c r="Q35" s="3">
        <v>251</v>
      </c>
      <c r="R35" s="3">
        <v>23</v>
      </c>
      <c r="S35" s="2">
        <v>23.853427512896101</v>
      </c>
      <c r="T35" s="5" t="s">
        <v>46</v>
      </c>
      <c r="U35" s="4">
        <v>3.54104601225092</v>
      </c>
      <c r="V35" s="5" t="s">
        <v>56</v>
      </c>
      <c r="W35" s="5" t="s">
        <v>48</v>
      </c>
      <c r="X35" s="2">
        <v>371.25529551987103</v>
      </c>
      <c r="Y35" s="2">
        <v>399.96699353620397</v>
      </c>
      <c r="Z35" s="2">
        <v>4750.0313568718302</v>
      </c>
      <c r="AA35" s="12">
        <v>0.92233648123314205</v>
      </c>
    </row>
    <row r="36" spans="1:27">
      <c r="A36" s="5" t="s">
        <v>177</v>
      </c>
      <c r="B36" s="5" t="s">
        <v>88</v>
      </c>
      <c r="C36" s="2">
        <v>37.467592329842397</v>
      </c>
      <c r="D36" s="3">
        <v>96</v>
      </c>
      <c r="E36" s="3">
        <v>602</v>
      </c>
      <c r="F36" s="2">
        <v>9061.7108955077201</v>
      </c>
      <c r="G36" s="5" t="s">
        <v>38</v>
      </c>
      <c r="H36" s="3">
        <v>1</v>
      </c>
      <c r="I36" s="3">
        <v>26</v>
      </c>
      <c r="J36" s="3">
        <v>21</v>
      </c>
      <c r="K36" s="3">
        <v>7</v>
      </c>
      <c r="L36" s="5" t="s">
        <v>36</v>
      </c>
      <c r="M36" s="2">
        <v>1.0194875708221101</v>
      </c>
      <c r="N36" s="5" t="s">
        <v>39</v>
      </c>
      <c r="O36" s="5" t="s">
        <v>62</v>
      </c>
      <c r="P36" s="3">
        <v>4</v>
      </c>
      <c r="Q36" s="3">
        <v>452</v>
      </c>
      <c r="R36" s="3">
        <v>10</v>
      </c>
      <c r="S36" s="2">
        <v>10.754272815029299</v>
      </c>
      <c r="T36" s="5" t="s">
        <v>64</v>
      </c>
      <c r="U36" s="4">
        <v>0.64660455937205397</v>
      </c>
      <c r="V36" s="5" t="s">
        <v>31</v>
      </c>
      <c r="W36" s="5" t="s">
        <v>32</v>
      </c>
      <c r="X36" s="2">
        <v>510.35800043352299</v>
      </c>
      <c r="Y36" s="2">
        <v>522.13176081937399</v>
      </c>
      <c r="Z36" s="2">
        <v>8539.5791346883507</v>
      </c>
      <c r="AA36" s="12">
        <v>0.94238044373295804</v>
      </c>
    </row>
    <row r="37" spans="1:27">
      <c r="A37" s="5" t="s">
        <v>178</v>
      </c>
      <c r="B37" s="5" t="s">
        <v>89</v>
      </c>
      <c r="C37" s="2">
        <v>84.957786816350406</v>
      </c>
      <c r="D37" s="3">
        <v>11</v>
      </c>
      <c r="E37" s="3">
        <v>449</v>
      </c>
      <c r="F37" s="2">
        <v>6541.3293448024597</v>
      </c>
      <c r="G37" s="5" t="s">
        <v>35</v>
      </c>
      <c r="H37" s="3">
        <v>42</v>
      </c>
      <c r="I37" s="3">
        <v>27</v>
      </c>
      <c r="J37" s="3">
        <v>85</v>
      </c>
      <c r="K37" s="3">
        <v>8</v>
      </c>
      <c r="L37" s="5" t="s">
        <v>43</v>
      </c>
      <c r="M37" s="2">
        <v>5.2881899903273997</v>
      </c>
      <c r="N37" s="5" t="s">
        <v>39</v>
      </c>
      <c r="O37" s="5" t="s">
        <v>50</v>
      </c>
      <c r="P37" s="3">
        <v>3</v>
      </c>
      <c r="Q37" s="3">
        <v>367</v>
      </c>
      <c r="R37" s="3">
        <v>2</v>
      </c>
      <c r="S37" s="2">
        <v>58.004787044743701</v>
      </c>
      <c r="T37" s="5" t="s">
        <v>64</v>
      </c>
      <c r="U37" s="4">
        <v>0.54115409806058101</v>
      </c>
      <c r="V37" s="5" t="s">
        <v>56</v>
      </c>
      <c r="W37" s="5" t="s">
        <v>41</v>
      </c>
      <c r="X37" s="2">
        <v>553.42047123035502</v>
      </c>
      <c r="Y37" s="2">
        <v>616.713448265426</v>
      </c>
      <c r="Z37" s="2">
        <v>5924.6158965370296</v>
      </c>
      <c r="AA37" s="12">
        <v>0.90572047121347798</v>
      </c>
    </row>
    <row r="38" spans="1:27">
      <c r="A38" s="5" t="s">
        <v>177</v>
      </c>
      <c r="B38" s="5" t="s">
        <v>90</v>
      </c>
      <c r="C38" s="2">
        <v>9.81300257875405</v>
      </c>
      <c r="D38" s="3">
        <v>34</v>
      </c>
      <c r="E38" s="3">
        <v>963</v>
      </c>
      <c r="F38" s="2">
        <v>7573.4024578487297</v>
      </c>
      <c r="G38" s="5" t="s">
        <v>35</v>
      </c>
      <c r="H38" s="3">
        <v>18</v>
      </c>
      <c r="I38" s="3">
        <v>23</v>
      </c>
      <c r="J38" s="3">
        <v>28</v>
      </c>
      <c r="K38" s="3">
        <v>3</v>
      </c>
      <c r="L38" s="5" t="s">
        <v>27</v>
      </c>
      <c r="M38" s="2">
        <v>2.1079512671590801</v>
      </c>
      <c r="N38" s="5" t="s">
        <v>61</v>
      </c>
      <c r="O38" s="5" t="s">
        <v>50</v>
      </c>
      <c r="P38" s="3">
        <v>26</v>
      </c>
      <c r="Q38" s="3">
        <v>671</v>
      </c>
      <c r="R38" s="3">
        <v>19</v>
      </c>
      <c r="S38" s="2">
        <v>45.531364237162101</v>
      </c>
      <c r="T38" s="5" t="s">
        <v>46</v>
      </c>
      <c r="U38" s="4">
        <v>3.8055333792433501</v>
      </c>
      <c r="V38" s="5" t="s">
        <v>40</v>
      </c>
      <c r="W38" s="5" t="s">
        <v>41</v>
      </c>
      <c r="X38" s="2">
        <v>403.80897424817999</v>
      </c>
      <c r="Y38" s="2">
        <v>451.44828975250101</v>
      </c>
      <c r="Z38" s="2">
        <v>7121.9541680962302</v>
      </c>
      <c r="AA38" s="12">
        <v>0.94039029455187095</v>
      </c>
    </row>
    <row r="39" spans="1:27">
      <c r="A39" s="5" t="s">
        <v>177</v>
      </c>
      <c r="B39" s="5" t="s">
        <v>91</v>
      </c>
      <c r="C39" s="2">
        <v>23.3998447526143</v>
      </c>
      <c r="D39" s="3">
        <v>5</v>
      </c>
      <c r="E39" s="3">
        <v>963</v>
      </c>
      <c r="F39" s="2">
        <v>2438.3399304700201</v>
      </c>
      <c r="G39" s="5" t="s">
        <v>35</v>
      </c>
      <c r="H39" s="3">
        <v>25</v>
      </c>
      <c r="I39" s="3">
        <v>8</v>
      </c>
      <c r="J39" s="3">
        <v>21</v>
      </c>
      <c r="K39" s="3">
        <v>9</v>
      </c>
      <c r="L39" s="5" t="s">
        <v>36</v>
      </c>
      <c r="M39" s="2">
        <v>1.53265527359043</v>
      </c>
      <c r="N39" s="5" t="s">
        <v>28</v>
      </c>
      <c r="O39" s="5" t="s">
        <v>45</v>
      </c>
      <c r="P39" s="3">
        <v>24</v>
      </c>
      <c r="Q39" s="3">
        <v>867</v>
      </c>
      <c r="R39" s="3">
        <v>15</v>
      </c>
      <c r="S39" s="2">
        <v>34.343277465075303</v>
      </c>
      <c r="T39" s="5" t="s">
        <v>30</v>
      </c>
      <c r="U39" s="4">
        <v>2.61028808484811</v>
      </c>
      <c r="V39" s="5" t="s">
        <v>56</v>
      </c>
      <c r="W39" s="5" t="s">
        <v>48</v>
      </c>
      <c r="X39" s="2">
        <v>183.932968043594</v>
      </c>
      <c r="Y39" s="2">
        <v>219.80890078226</v>
      </c>
      <c r="Z39" s="2">
        <v>2218.5310296877601</v>
      </c>
      <c r="AA39" s="12">
        <v>0.90985305287606499</v>
      </c>
    </row>
    <row r="40" spans="1:27">
      <c r="A40" s="5" t="s">
        <v>178</v>
      </c>
      <c r="B40" s="5" t="s">
        <v>92</v>
      </c>
      <c r="C40" s="2">
        <v>52.075930682707799</v>
      </c>
      <c r="D40" s="3">
        <v>75</v>
      </c>
      <c r="E40" s="3">
        <v>705</v>
      </c>
      <c r="F40" s="2">
        <v>9692.3180402184298</v>
      </c>
      <c r="G40" s="5" t="s">
        <v>26</v>
      </c>
      <c r="H40" s="3">
        <v>69</v>
      </c>
      <c r="I40" s="3">
        <v>1</v>
      </c>
      <c r="J40" s="3">
        <v>88</v>
      </c>
      <c r="K40" s="3">
        <v>5</v>
      </c>
      <c r="L40" s="5" t="s">
        <v>27</v>
      </c>
      <c r="M40" s="2">
        <v>9.2359314372492207</v>
      </c>
      <c r="N40" s="5" t="s">
        <v>44</v>
      </c>
      <c r="O40" s="5" t="s">
        <v>29</v>
      </c>
      <c r="P40" s="3">
        <v>10</v>
      </c>
      <c r="Q40" s="3">
        <v>841</v>
      </c>
      <c r="R40" s="3">
        <v>12</v>
      </c>
      <c r="S40" s="2">
        <v>5.9306936455283097</v>
      </c>
      <c r="T40" s="5" t="s">
        <v>30</v>
      </c>
      <c r="U40" s="4">
        <v>0.613326899164507</v>
      </c>
      <c r="V40" s="5" t="s">
        <v>40</v>
      </c>
      <c r="W40" s="5" t="s">
        <v>32</v>
      </c>
      <c r="X40" s="2">
        <v>339.67286994860598</v>
      </c>
      <c r="Y40" s="2">
        <v>354.83949503138399</v>
      </c>
      <c r="Z40" s="2">
        <v>9337.4785451870503</v>
      </c>
      <c r="AA40" s="12">
        <v>0.96338961499622999</v>
      </c>
    </row>
    <row r="41" spans="1:27">
      <c r="A41" s="5" t="s">
        <v>177</v>
      </c>
      <c r="B41" s="5" t="s">
        <v>93</v>
      </c>
      <c r="C41" s="2">
        <v>19.127477265823199</v>
      </c>
      <c r="D41" s="3">
        <v>26</v>
      </c>
      <c r="E41" s="3">
        <v>176</v>
      </c>
      <c r="F41" s="2">
        <v>1912.4656631007599</v>
      </c>
      <c r="G41" s="5" t="s">
        <v>35</v>
      </c>
      <c r="H41" s="3">
        <v>78</v>
      </c>
      <c r="I41" s="3">
        <v>29</v>
      </c>
      <c r="J41" s="3">
        <v>34</v>
      </c>
      <c r="K41" s="3">
        <v>3</v>
      </c>
      <c r="L41" s="5" t="s">
        <v>36</v>
      </c>
      <c r="M41" s="2">
        <v>5.5625037788303802</v>
      </c>
      <c r="N41" s="5" t="s">
        <v>61</v>
      </c>
      <c r="O41" s="5" t="s">
        <v>45</v>
      </c>
      <c r="P41" s="3">
        <v>30</v>
      </c>
      <c r="Q41" s="3">
        <v>791</v>
      </c>
      <c r="R41" s="3">
        <v>6</v>
      </c>
      <c r="S41" s="2">
        <v>9.0058074287816403</v>
      </c>
      <c r="T41" s="5" t="s">
        <v>46</v>
      </c>
      <c r="U41" s="4">
        <v>1.4519722039968099</v>
      </c>
      <c r="V41" s="5" t="s">
        <v>40</v>
      </c>
      <c r="W41" s="5" t="s">
        <v>32</v>
      </c>
      <c r="X41" s="2">
        <v>653.67299455203295</v>
      </c>
      <c r="Y41" s="2">
        <v>668.241305759645</v>
      </c>
      <c r="Z41" s="2">
        <v>1244.2243573411099</v>
      </c>
      <c r="AA41" s="12">
        <v>0.65058650795528605</v>
      </c>
    </row>
    <row r="42" spans="1:27">
      <c r="A42" s="5" t="s">
        <v>177</v>
      </c>
      <c r="B42" s="5" t="s">
        <v>94</v>
      </c>
      <c r="C42" s="2">
        <v>80.541424170940303</v>
      </c>
      <c r="D42" s="3">
        <v>97</v>
      </c>
      <c r="E42" s="3">
        <v>933</v>
      </c>
      <c r="F42" s="2">
        <v>5724.9593504562599</v>
      </c>
      <c r="G42" s="5" t="s">
        <v>35</v>
      </c>
      <c r="H42" s="3">
        <v>90</v>
      </c>
      <c r="I42" s="3">
        <v>20</v>
      </c>
      <c r="J42" s="3">
        <v>39</v>
      </c>
      <c r="K42" s="3">
        <v>8</v>
      </c>
      <c r="L42" s="5" t="s">
        <v>43</v>
      </c>
      <c r="M42" s="2">
        <v>7.2295951397364702</v>
      </c>
      <c r="N42" s="5" t="s">
        <v>39</v>
      </c>
      <c r="O42" s="5" t="s">
        <v>45</v>
      </c>
      <c r="P42" s="3">
        <v>18</v>
      </c>
      <c r="Q42" s="3">
        <v>793</v>
      </c>
      <c r="R42" s="3">
        <v>1</v>
      </c>
      <c r="S42" s="2">
        <v>88.179407104217404</v>
      </c>
      <c r="T42" s="5" t="s">
        <v>30</v>
      </c>
      <c r="U42" s="4">
        <v>4.2132694305865597</v>
      </c>
      <c r="V42" s="5" t="s">
        <v>31</v>
      </c>
      <c r="W42" s="5" t="s">
        <v>48</v>
      </c>
      <c r="X42" s="2">
        <v>529.80872398069096</v>
      </c>
      <c r="Y42" s="2">
        <v>625.21772622464505</v>
      </c>
      <c r="Z42" s="2">
        <v>5099.7416242316103</v>
      </c>
      <c r="AA42" s="12">
        <v>0.890790888117866</v>
      </c>
    </row>
    <row r="43" spans="1:27">
      <c r="A43" s="5" t="s">
        <v>177</v>
      </c>
      <c r="B43" s="5" t="s">
        <v>95</v>
      </c>
      <c r="C43" s="2">
        <v>99.113291615317095</v>
      </c>
      <c r="D43" s="3">
        <v>35</v>
      </c>
      <c r="E43" s="3">
        <v>556</v>
      </c>
      <c r="F43" s="2">
        <v>5521.2052590109697</v>
      </c>
      <c r="G43" s="5" t="s">
        <v>35</v>
      </c>
      <c r="H43" s="3">
        <v>64</v>
      </c>
      <c r="I43" s="3">
        <v>19</v>
      </c>
      <c r="J43" s="3">
        <v>38</v>
      </c>
      <c r="K43" s="3">
        <v>8</v>
      </c>
      <c r="L43" s="5" t="s">
        <v>27</v>
      </c>
      <c r="M43" s="2">
        <v>5.7732637437666501</v>
      </c>
      <c r="N43" s="5" t="s">
        <v>52</v>
      </c>
      <c r="O43" s="5" t="s">
        <v>62</v>
      </c>
      <c r="P43" s="3">
        <v>18</v>
      </c>
      <c r="Q43" s="3">
        <v>892</v>
      </c>
      <c r="R43" s="3">
        <v>7</v>
      </c>
      <c r="S43" s="2">
        <v>95.332064548772493</v>
      </c>
      <c r="T43" s="5" t="s">
        <v>46</v>
      </c>
      <c r="U43" s="4">
        <v>4.5302262398259602E-2</v>
      </c>
      <c r="V43" s="5" t="s">
        <v>56</v>
      </c>
      <c r="W43" s="5" t="s">
        <v>48</v>
      </c>
      <c r="X43" s="2">
        <v>275.52437113130901</v>
      </c>
      <c r="Y43" s="2">
        <v>376.62969942384802</v>
      </c>
      <c r="Z43" s="2">
        <v>5144.5755595871196</v>
      </c>
      <c r="AA43" s="12">
        <v>0.931784876353009</v>
      </c>
    </row>
    <row r="44" spans="1:27">
      <c r="A44" s="5" t="s">
        <v>177</v>
      </c>
      <c r="B44" s="5" t="s">
        <v>96</v>
      </c>
      <c r="C44" s="2">
        <v>46.529167614516702</v>
      </c>
      <c r="D44" s="3">
        <v>98</v>
      </c>
      <c r="E44" s="3">
        <v>155</v>
      </c>
      <c r="F44" s="2">
        <v>1839.60942585676</v>
      </c>
      <c r="G44" s="5" t="s">
        <v>35</v>
      </c>
      <c r="H44" s="3">
        <v>22</v>
      </c>
      <c r="I44" s="3">
        <v>27</v>
      </c>
      <c r="J44" s="3">
        <v>57</v>
      </c>
      <c r="K44" s="3">
        <v>4</v>
      </c>
      <c r="L44" s="5" t="s">
        <v>43</v>
      </c>
      <c r="M44" s="2">
        <v>7.5262483268515004</v>
      </c>
      <c r="N44" s="5" t="s">
        <v>44</v>
      </c>
      <c r="O44" s="5" t="s">
        <v>53</v>
      </c>
      <c r="P44" s="3">
        <v>26</v>
      </c>
      <c r="Q44" s="3">
        <v>179</v>
      </c>
      <c r="R44" s="3">
        <v>7</v>
      </c>
      <c r="S44" s="2">
        <v>96.422820639571796</v>
      </c>
      <c r="T44" s="5" t="s">
        <v>46</v>
      </c>
      <c r="U44" s="4">
        <v>4.9392552886209398</v>
      </c>
      <c r="V44" s="5" t="s">
        <v>31</v>
      </c>
      <c r="W44" s="5" t="s">
        <v>48</v>
      </c>
      <c r="X44" s="2">
        <v>635.65712050199102</v>
      </c>
      <c r="Y44" s="2">
        <v>739.60618946841396</v>
      </c>
      <c r="Z44" s="2">
        <v>1100.0032363883499</v>
      </c>
      <c r="AA44" s="12">
        <v>0.59795477285948495</v>
      </c>
    </row>
    <row r="45" spans="1:27">
      <c r="A45" s="5" t="s">
        <v>176</v>
      </c>
      <c r="B45" s="5" t="s">
        <v>97</v>
      </c>
      <c r="C45" s="2">
        <v>11.7432717763092</v>
      </c>
      <c r="D45" s="3">
        <v>6</v>
      </c>
      <c r="E45" s="3">
        <v>598</v>
      </c>
      <c r="F45" s="2">
        <v>5737.4255991190203</v>
      </c>
      <c r="G45" s="5" t="s">
        <v>38</v>
      </c>
      <c r="H45" s="3">
        <v>36</v>
      </c>
      <c r="I45" s="3">
        <v>29</v>
      </c>
      <c r="J45" s="3">
        <v>85</v>
      </c>
      <c r="K45" s="3">
        <v>9</v>
      </c>
      <c r="L45" s="5" t="s">
        <v>27</v>
      </c>
      <c r="M45" s="2">
        <v>3.6940212683884499</v>
      </c>
      <c r="N45" s="5" t="s">
        <v>44</v>
      </c>
      <c r="O45" s="5" t="s">
        <v>29</v>
      </c>
      <c r="P45" s="3">
        <v>1</v>
      </c>
      <c r="Q45" s="3">
        <v>206</v>
      </c>
      <c r="R45" s="3">
        <v>23</v>
      </c>
      <c r="S45" s="2">
        <v>26.2773659573324</v>
      </c>
      <c r="T45" s="5" t="s">
        <v>30</v>
      </c>
      <c r="U45" s="4">
        <v>0.37230476798509698</v>
      </c>
      <c r="V45" s="5" t="s">
        <v>40</v>
      </c>
      <c r="W45" s="5" t="s">
        <v>48</v>
      </c>
      <c r="X45" s="2">
        <v>716.04411975933999</v>
      </c>
      <c r="Y45" s="2">
        <v>746.01550698506105</v>
      </c>
      <c r="Z45" s="2">
        <v>4991.4100921339596</v>
      </c>
      <c r="AA45" s="12">
        <v>0.869973824654108</v>
      </c>
    </row>
    <row r="46" spans="1:27">
      <c r="A46" s="5" t="s">
        <v>178</v>
      </c>
      <c r="B46" s="5" t="s">
        <v>98</v>
      </c>
      <c r="C46" s="2">
        <v>51.355790913110297</v>
      </c>
      <c r="D46" s="3">
        <v>34</v>
      </c>
      <c r="E46" s="3">
        <v>919</v>
      </c>
      <c r="F46" s="2">
        <v>7152.28604943551</v>
      </c>
      <c r="G46" s="5" t="s">
        <v>35</v>
      </c>
      <c r="H46" s="3">
        <v>13</v>
      </c>
      <c r="I46" s="3">
        <v>19</v>
      </c>
      <c r="J46" s="3">
        <v>72</v>
      </c>
      <c r="K46" s="3">
        <v>6</v>
      </c>
      <c r="L46" s="5" t="s">
        <v>43</v>
      </c>
      <c r="M46" s="2">
        <v>7.5774496573766896</v>
      </c>
      <c r="N46" s="5" t="s">
        <v>61</v>
      </c>
      <c r="O46" s="5" t="s">
        <v>50</v>
      </c>
      <c r="P46" s="3">
        <v>7</v>
      </c>
      <c r="Q46" s="3">
        <v>834</v>
      </c>
      <c r="R46" s="3">
        <v>18</v>
      </c>
      <c r="S46" s="2">
        <v>22.554106620887701</v>
      </c>
      <c r="T46" s="5" t="s">
        <v>46</v>
      </c>
      <c r="U46" s="4">
        <v>2.9626263204548802</v>
      </c>
      <c r="V46" s="5" t="s">
        <v>47</v>
      </c>
      <c r="W46" s="5" t="s">
        <v>48</v>
      </c>
      <c r="X46" s="2">
        <v>610.45326961922694</v>
      </c>
      <c r="Y46" s="2">
        <v>640.58482589749099</v>
      </c>
      <c r="Z46" s="2">
        <v>6511.7012235380198</v>
      </c>
      <c r="AA46" s="12">
        <v>0.91043635259134403</v>
      </c>
    </row>
    <row r="47" spans="1:27">
      <c r="A47" s="5" t="s">
        <v>176</v>
      </c>
      <c r="B47" s="5" t="s">
        <v>99</v>
      </c>
      <c r="C47" s="2">
        <v>33.784138033065503</v>
      </c>
      <c r="D47" s="3">
        <v>1</v>
      </c>
      <c r="E47" s="3">
        <v>24</v>
      </c>
      <c r="F47" s="2">
        <v>5267.9568075105199</v>
      </c>
      <c r="G47" s="5" t="s">
        <v>55</v>
      </c>
      <c r="H47" s="3">
        <v>93</v>
      </c>
      <c r="I47" s="3">
        <v>7</v>
      </c>
      <c r="J47" s="3">
        <v>52</v>
      </c>
      <c r="K47" s="3">
        <v>6</v>
      </c>
      <c r="L47" s="5" t="s">
        <v>27</v>
      </c>
      <c r="M47" s="2">
        <v>5.2151550087119096</v>
      </c>
      <c r="N47" s="5" t="s">
        <v>61</v>
      </c>
      <c r="O47" s="5" t="s">
        <v>62</v>
      </c>
      <c r="P47" s="3">
        <v>25</v>
      </c>
      <c r="Q47" s="3">
        <v>794</v>
      </c>
      <c r="R47" s="3">
        <v>25</v>
      </c>
      <c r="S47" s="2">
        <v>66.312544439991598</v>
      </c>
      <c r="T47" s="5" t="s">
        <v>64</v>
      </c>
      <c r="U47" s="4">
        <v>3.2196046120841002</v>
      </c>
      <c r="V47" s="5" t="s">
        <v>47</v>
      </c>
      <c r="W47" s="5" t="s">
        <v>48</v>
      </c>
      <c r="X47" s="2">
        <v>495.30569702847299</v>
      </c>
      <c r="Y47" s="2">
        <v>566.83339647717696</v>
      </c>
      <c r="Z47" s="2">
        <v>4701.1234110333398</v>
      </c>
      <c r="AA47" s="12">
        <v>0.89239976385739495</v>
      </c>
    </row>
    <row r="48" spans="1:27">
      <c r="A48" s="5" t="s">
        <v>176</v>
      </c>
      <c r="B48" s="5" t="s">
        <v>100</v>
      </c>
      <c r="C48" s="2">
        <v>27.082207199888899</v>
      </c>
      <c r="D48" s="3">
        <v>75</v>
      </c>
      <c r="E48" s="3">
        <v>859</v>
      </c>
      <c r="F48" s="2">
        <v>2556.7673606335902</v>
      </c>
      <c r="G48" s="5" t="s">
        <v>26</v>
      </c>
      <c r="H48" s="3">
        <v>92</v>
      </c>
      <c r="I48" s="3">
        <v>29</v>
      </c>
      <c r="J48" s="3">
        <v>6</v>
      </c>
      <c r="K48" s="3">
        <v>8</v>
      </c>
      <c r="L48" s="5" t="s">
        <v>27</v>
      </c>
      <c r="M48" s="2">
        <v>4.0709558370840799</v>
      </c>
      <c r="N48" s="5" t="s">
        <v>28</v>
      </c>
      <c r="O48" s="5" t="s">
        <v>62</v>
      </c>
      <c r="P48" s="3">
        <v>18</v>
      </c>
      <c r="Q48" s="3">
        <v>870</v>
      </c>
      <c r="R48" s="3">
        <v>23</v>
      </c>
      <c r="S48" s="2">
        <v>77.322353211051606</v>
      </c>
      <c r="T48" s="5" t="s">
        <v>30</v>
      </c>
      <c r="U48" s="4">
        <v>3.6486105925361998</v>
      </c>
      <c r="V48" s="5" t="s">
        <v>31</v>
      </c>
      <c r="W48" s="5" t="s">
        <v>32</v>
      </c>
      <c r="X48" s="2">
        <v>380.43593711196399</v>
      </c>
      <c r="Y48" s="2">
        <v>461.82924616010001</v>
      </c>
      <c r="Z48" s="2">
        <v>2094.9381144734898</v>
      </c>
      <c r="AA48" s="12">
        <v>0.81936986005419998</v>
      </c>
    </row>
    <row r="49" spans="1:27">
      <c r="A49" s="5" t="s">
        <v>177</v>
      </c>
      <c r="B49" s="5" t="s">
        <v>101</v>
      </c>
      <c r="C49" s="2">
        <v>95.712135880936003</v>
      </c>
      <c r="D49" s="3">
        <v>93</v>
      </c>
      <c r="E49" s="3">
        <v>910</v>
      </c>
      <c r="F49" s="2">
        <v>7089.4742499341801</v>
      </c>
      <c r="G49" s="5" t="s">
        <v>55</v>
      </c>
      <c r="H49" s="3">
        <v>4</v>
      </c>
      <c r="I49" s="3">
        <v>15</v>
      </c>
      <c r="J49" s="3">
        <v>51</v>
      </c>
      <c r="K49" s="3">
        <v>9</v>
      </c>
      <c r="L49" s="5" t="s">
        <v>27</v>
      </c>
      <c r="M49" s="2">
        <v>8.9787507559499709</v>
      </c>
      <c r="N49" s="5" t="s">
        <v>39</v>
      </c>
      <c r="O49" s="5" t="s">
        <v>45</v>
      </c>
      <c r="P49" s="3">
        <v>10</v>
      </c>
      <c r="Q49" s="3">
        <v>964</v>
      </c>
      <c r="R49" s="3">
        <v>20</v>
      </c>
      <c r="S49" s="2">
        <v>19.7129929112936</v>
      </c>
      <c r="T49" s="5" t="s">
        <v>30</v>
      </c>
      <c r="U49" s="4">
        <v>0.38057358671321301</v>
      </c>
      <c r="V49" s="5" t="s">
        <v>47</v>
      </c>
      <c r="W49" s="5" t="s">
        <v>48</v>
      </c>
      <c r="X49" s="2">
        <v>581.60235505058597</v>
      </c>
      <c r="Y49" s="2">
        <v>610.29409871783002</v>
      </c>
      <c r="Z49" s="2">
        <v>6479.1801512163502</v>
      </c>
      <c r="AA49" s="12">
        <v>0.91391546436274895</v>
      </c>
    </row>
    <row r="50" spans="1:27">
      <c r="A50" s="5" t="s">
        <v>176</v>
      </c>
      <c r="B50" s="5" t="s">
        <v>102</v>
      </c>
      <c r="C50" s="2">
        <v>76.035544426891704</v>
      </c>
      <c r="D50" s="3">
        <v>28</v>
      </c>
      <c r="E50" s="3">
        <v>29</v>
      </c>
      <c r="F50" s="2">
        <v>7397.0710045871801</v>
      </c>
      <c r="G50" s="5" t="s">
        <v>26</v>
      </c>
      <c r="H50" s="3">
        <v>30</v>
      </c>
      <c r="I50" s="3">
        <v>16</v>
      </c>
      <c r="J50" s="3">
        <v>9</v>
      </c>
      <c r="K50" s="3">
        <v>3</v>
      </c>
      <c r="L50" s="5" t="s">
        <v>43</v>
      </c>
      <c r="M50" s="2">
        <v>7.0958331565551296</v>
      </c>
      <c r="N50" s="5" t="s">
        <v>61</v>
      </c>
      <c r="O50" s="5" t="s">
        <v>29</v>
      </c>
      <c r="P50" s="3">
        <v>9</v>
      </c>
      <c r="Q50" s="3">
        <v>109</v>
      </c>
      <c r="R50" s="3">
        <v>18</v>
      </c>
      <c r="S50" s="2">
        <v>23.126363582464698</v>
      </c>
      <c r="T50" s="5" t="s">
        <v>46</v>
      </c>
      <c r="U50" s="4">
        <v>1.6981125407144</v>
      </c>
      <c r="V50" s="5" t="s">
        <v>47</v>
      </c>
      <c r="W50" s="5" t="s">
        <v>32</v>
      </c>
      <c r="X50" s="2">
        <v>768.65191395437</v>
      </c>
      <c r="Y50" s="2">
        <v>798.87411069338998</v>
      </c>
      <c r="Z50" s="2">
        <v>6598.1968938937898</v>
      </c>
      <c r="AA50" s="12">
        <v>0.89200129210629697</v>
      </c>
    </row>
    <row r="51" spans="1:27">
      <c r="A51" s="5" t="s">
        <v>178</v>
      </c>
      <c r="B51" s="5" t="s">
        <v>103</v>
      </c>
      <c r="C51" s="2">
        <v>78.897913205639995</v>
      </c>
      <c r="D51" s="3">
        <v>19</v>
      </c>
      <c r="E51" s="3">
        <v>99</v>
      </c>
      <c r="F51" s="2">
        <v>8001.6132065190004</v>
      </c>
      <c r="G51" s="5" t="s">
        <v>38</v>
      </c>
      <c r="H51" s="3">
        <v>97</v>
      </c>
      <c r="I51" s="3">
        <v>24</v>
      </c>
      <c r="J51" s="3">
        <v>9</v>
      </c>
      <c r="K51" s="3">
        <v>6</v>
      </c>
      <c r="L51" s="5" t="s">
        <v>43</v>
      </c>
      <c r="M51" s="2">
        <v>2.5056210329009101</v>
      </c>
      <c r="N51" s="5" t="s">
        <v>44</v>
      </c>
      <c r="O51" s="5" t="s">
        <v>50</v>
      </c>
      <c r="P51" s="3">
        <v>28</v>
      </c>
      <c r="Q51" s="3">
        <v>177</v>
      </c>
      <c r="R51" s="3">
        <v>28</v>
      </c>
      <c r="S51" s="2">
        <v>14.1478154439792</v>
      </c>
      <c r="T51" s="5" t="s">
        <v>64</v>
      </c>
      <c r="U51" s="4">
        <v>2.8258139854001301</v>
      </c>
      <c r="V51" s="5" t="s">
        <v>47</v>
      </c>
      <c r="W51" s="5" t="s">
        <v>48</v>
      </c>
      <c r="X51" s="2">
        <v>336.89016851997701</v>
      </c>
      <c r="Y51" s="2">
        <v>353.54360499685703</v>
      </c>
      <c r="Z51" s="2">
        <v>7648.0696015221401</v>
      </c>
      <c r="AA51" s="12">
        <v>0.95581595912324002</v>
      </c>
    </row>
    <row r="52" spans="1:27">
      <c r="A52" s="5" t="s">
        <v>178</v>
      </c>
      <c r="B52" s="5" t="s">
        <v>104</v>
      </c>
      <c r="C52" s="2">
        <v>14.203484264803</v>
      </c>
      <c r="D52" s="3">
        <v>91</v>
      </c>
      <c r="E52" s="3">
        <v>633</v>
      </c>
      <c r="F52" s="2">
        <v>5910.8853896688897</v>
      </c>
      <c r="G52" s="5" t="s">
        <v>35</v>
      </c>
      <c r="H52" s="3">
        <v>31</v>
      </c>
      <c r="I52" s="3">
        <v>23</v>
      </c>
      <c r="J52" s="3">
        <v>82</v>
      </c>
      <c r="K52" s="3">
        <v>10</v>
      </c>
      <c r="L52" s="5" t="s">
        <v>36</v>
      </c>
      <c r="M52" s="2">
        <v>6.2478609149759903</v>
      </c>
      <c r="N52" s="5" t="s">
        <v>61</v>
      </c>
      <c r="O52" s="5" t="s">
        <v>50</v>
      </c>
      <c r="P52" s="3">
        <v>20</v>
      </c>
      <c r="Q52" s="3">
        <v>306</v>
      </c>
      <c r="R52" s="3">
        <v>21</v>
      </c>
      <c r="S52" s="2">
        <v>45.178757924634503</v>
      </c>
      <c r="T52" s="5" t="s">
        <v>46</v>
      </c>
      <c r="U52" s="4">
        <v>4.7548008046711798</v>
      </c>
      <c r="V52" s="5" t="s">
        <v>47</v>
      </c>
      <c r="W52" s="5" t="s">
        <v>32</v>
      </c>
      <c r="X52" s="2">
        <v>496.24865029194001</v>
      </c>
      <c r="Y52" s="2">
        <v>547.67526913155098</v>
      </c>
      <c r="Z52" s="2">
        <v>5363.2101205373401</v>
      </c>
      <c r="AA52" s="12">
        <v>0.90734463062187198</v>
      </c>
    </row>
    <row r="53" spans="1:27">
      <c r="A53" s="5" t="s">
        <v>176</v>
      </c>
      <c r="B53" s="5" t="s">
        <v>105</v>
      </c>
      <c r="C53" s="2">
        <v>26.700760972461701</v>
      </c>
      <c r="D53" s="3">
        <v>61</v>
      </c>
      <c r="E53" s="3">
        <v>154</v>
      </c>
      <c r="F53" s="2">
        <v>9866.4654579796897</v>
      </c>
      <c r="G53" s="5" t="s">
        <v>55</v>
      </c>
      <c r="H53" s="3">
        <v>100</v>
      </c>
      <c r="I53" s="3">
        <v>4</v>
      </c>
      <c r="J53" s="3">
        <v>52</v>
      </c>
      <c r="K53" s="3">
        <v>1</v>
      </c>
      <c r="L53" s="5" t="s">
        <v>36</v>
      </c>
      <c r="M53" s="2">
        <v>4.78300055794766</v>
      </c>
      <c r="N53" s="5" t="s">
        <v>44</v>
      </c>
      <c r="O53" s="5" t="s">
        <v>53</v>
      </c>
      <c r="P53" s="3">
        <v>18</v>
      </c>
      <c r="Q53" s="3">
        <v>673</v>
      </c>
      <c r="R53" s="3">
        <v>28</v>
      </c>
      <c r="S53" s="2">
        <v>14.190328344569901</v>
      </c>
      <c r="T53" s="5" t="s">
        <v>30</v>
      </c>
      <c r="U53" s="4">
        <v>1.77295117208355</v>
      </c>
      <c r="V53" s="5" t="s">
        <v>31</v>
      </c>
      <c r="W53" s="5" t="s">
        <v>48</v>
      </c>
      <c r="X53" s="2">
        <v>694.98231757944495</v>
      </c>
      <c r="Y53" s="2">
        <v>713.95564648196296</v>
      </c>
      <c r="Z53" s="2">
        <v>9152.50981149773</v>
      </c>
      <c r="AA53" s="12">
        <v>0.92763815476549005</v>
      </c>
    </row>
    <row r="54" spans="1:27">
      <c r="A54" s="5" t="s">
        <v>177</v>
      </c>
      <c r="B54" s="5" t="s">
        <v>106</v>
      </c>
      <c r="C54" s="2">
        <v>98.031829656465007</v>
      </c>
      <c r="D54" s="3">
        <v>1</v>
      </c>
      <c r="E54" s="3">
        <v>820</v>
      </c>
      <c r="F54" s="2">
        <v>9435.7626089121295</v>
      </c>
      <c r="G54" s="5" t="s">
        <v>55</v>
      </c>
      <c r="H54" s="3">
        <v>64</v>
      </c>
      <c r="I54" s="3">
        <v>11</v>
      </c>
      <c r="J54" s="3">
        <v>11</v>
      </c>
      <c r="K54" s="3">
        <v>1</v>
      </c>
      <c r="L54" s="5" t="s">
        <v>27</v>
      </c>
      <c r="M54" s="2">
        <v>8.6310521797689397</v>
      </c>
      <c r="N54" s="5" t="s">
        <v>39</v>
      </c>
      <c r="O54" s="5" t="s">
        <v>29</v>
      </c>
      <c r="P54" s="3">
        <v>10</v>
      </c>
      <c r="Q54" s="3">
        <v>727</v>
      </c>
      <c r="R54" s="3">
        <v>27</v>
      </c>
      <c r="S54" s="2">
        <v>9.1668491485971497</v>
      </c>
      <c r="T54" s="5" t="s">
        <v>30</v>
      </c>
      <c r="U54" s="4">
        <v>2.1224716191438202</v>
      </c>
      <c r="V54" s="5" t="s">
        <v>40</v>
      </c>
      <c r="W54" s="5" t="s">
        <v>41</v>
      </c>
      <c r="X54" s="2">
        <v>602.89849883838303</v>
      </c>
      <c r="Y54" s="2">
        <v>620.69640016674896</v>
      </c>
      <c r="Z54" s="2">
        <v>8815.0662087453802</v>
      </c>
      <c r="AA54" s="12">
        <v>0.934218735051632</v>
      </c>
    </row>
    <row r="55" spans="1:27">
      <c r="A55" s="5" t="s">
        <v>177</v>
      </c>
      <c r="B55" s="5" t="s">
        <v>107</v>
      </c>
      <c r="C55" s="2">
        <v>30.3414707112142</v>
      </c>
      <c r="D55" s="3">
        <v>93</v>
      </c>
      <c r="E55" s="3">
        <v>242</v>
      </c>
      <c r="F55" s="2">
        <v>8232.3348294258194</v>
      </c>
      <c r="G55" s="5" t="s">
        <v>55</v>
      </c>
      <c r="H55" s="3">
        <v>96</v>
      </c>
      <c r="I55" s="3">
        <v>25</v>
      </c>
      <c r="J55" s="3">
        <v>54</v>
      </c>
      <c r="K55" s="3">
        <v>3</v>
      </c>
      <c r="L55" s="5" t="s">
        <v>27</v>
      </c>
      <c r="M55" s="2">
        <v>1.0134865660958901</v>
      </c>
      <c r="N55" s="5" t="s">
        <v>39</v>
      </c>
      <c r="O55" s="5" t="s">
        <v>50</v>
      </c>
      <c r="P55" s="3">
        <v>1</v>
      </c>
      <c r="Q55" s="3">
        <v>631</v>
      </c>
      <c r="R55" s="3">
        <v>17</v>
      </c>
      <c r="S55" s="2">
        <v>83.344058991677898</v>
      </c>
      <c r="T55" s="5" t="s">
        <v>30</v>
      </c>
      <c r="U55" s="4">
        <v>1.41034757607602</v>
      </c>
      <c r="V55" s="5" t="s">
        <v>40</v>
      </c>
      <c r="W55" s="5" t="s">
        <v>32</v>
      </c>
      <c r="X55" s="2">
        <v>750.73784066827</v>
      </c>
      <c r="Y55" s="2">
        <v>835.09538622604396</v>
      </c>
      <c r="Z55" s="2">
        <v>7397.23944319978</v>
      </c>
      <c r="AA55" s="12">
        <v>0.89855910825674101</v>
      </c>
    </row>
    <row r="56" spans="1:27">
      <c r="A56" s="5" t="s">
        <v>176</v>
      </c>
      <c r="B56" s="5" t="s">
        <v>108</v>
      </c>
      <c r="C56" s="2">
        <v>31.1462431602408</v>
      </c>
      <c r="D56" s="3">
        <v>11</v>
      </c>
      <c r="E56" s="3">
        <v>622</v>
      </c>
      <c r="F56" s="2">
        <v>6088.0214799408504</v>
      </c>
      <c r="G56" s="5" t="s">
        <v>26</v>
      </c>
      <c r="H56" s="3">
        <v>33</v>
      </c>
      <c r="I56" s="3">
        <v>22</v>
      </c>
      <c r="J56" s="3">
        <v>61</v>
      </c>
      <c r="K56" s="3">
        <v>3</v>
      </c>
      <c r="L56" s="5" t="s">
        <v>27</v>
      </c>
      <c r="M56" s="2">
        <v>4.3051034712876302</v>
      </c>
      <c r="N56" s="5" t="s">
        <v>39</v>
      </c>
      <c r="O56" s="5" t="s">
        <v>45</v>
      </c>
      <c r="P56" s="3">
        <v>26</v>
      </c>
      <c r="Q56" s="3">
        <v>497</v>
      </c>
      <c r="R56" s="3">
        <v>29</v>
      </c>
      <c r="S56" s="2">
        <v>30.186023375822501</v>
      </c>
      <c r="T56" s="5" t="s">
        <v>64</v>
      </c>
      <c r="U56" s="4">
        <v>2.4787719755397402</v>
      </c>
      <c r="V56" s="5" t="s">
        <v>31</v>
      </c>
      <c r="W56" s="5" t="s">
        <v>32</v>
      </c>
      <c r="X56" s="2">
        <v>814.06999658218695</v>
      </c>
      <c r="Y56" s="2">
        <v>848.56112342929703</v>
      </c>
      <c r="Z56" s="2">
        <v>5239.4603565115503</v>
      </c>
      <c r="AA56" s="12">
        <v>0.86061791565204204</v>
      </c>
    </row>
    <row r="57" spans="1:27">
      <c r="A57" s="5" t="s">
        <v>176</v>
      </c>
      <c r="B57" s="5" t="s">
        <v>109</v>
      </c>
      <c r="C57" s="2">
        <v>79.855058340789398</v>
      </c>
      <c r="D57" s="3">
        <v>16</v>
      </c>
      <c r="E57" s="3">
        <v>701</v>
      </c>
      <c r="F57" s="2">
        <v>2925.6751703038099</v>
      </c>
      <c r="G57" s="5" t="s">
        <v>55</v>
      </c>
      <c r="H57" s="3">
        <v>97</v>
      </c>
      <c r="I57" s="3">
        <v>11</v>
      </c>
      <c r="J57" s="3">
        <v>11</v>
      </c>
      <c r="K57" s="3">
        <v>5</v>
      </c>
      <c r="L57" s="5" t="s">
        <v>36</v>
      </c>
      <c r="M57" s="2">
        <v>5.0143649550309002</v>
      </c>
      <c r="N57" s="5" t="s">
        <v>61</v>
      </c>
      <c r="O57" s="5" t="s">
        <v>50</v>
      </c>
      <c r="P57" s="3">
        <v>27</v>
      </c>
      <c r="Q57" s="3">
        <v>918</v>
      </c>
      <c r="R57" s="3">
        <v>5</v>
      </c>
      <c r="S57" s="2">
        <v>30.323545256616502</v>
      </c>
      <c r="T57" s="5" t="s">
        <v>46</v>
      </c>
      <c r="U57" s="4">
        <v>4.5489196593963799</v>
      </c>
      <c r="V57" s="5" t="s">
        <v>56</v>
      </c>
      <c r="W57" s="5" t="s">
        <v>32</v>
      </c>
      <c r="X57" s="2">
        <v>323.01292795247798</v>
      </c>
      <c r="Y57" s="2">
        <v>358.35083816412498</v>
      </c>
      <c r="Z57" s="2">
        <v>2567.3243321396799</v>
      </c>
      <c r="AA57" s="12">
        <v>0.87751516579780997</v>
      </c>
    </row>
    <row r="58" spans="1:27">
      <c r="A58" s="5" t="s">
        <v>177</v>
      </c>
      <c r="B58" s="5" t="s">
        <v>110</v>
      </c>
      <c r="C58" s="2">
        <v>20.9863860370433</v>
      </c>
      <c r="D58" s="3">
        <v>90</v>
      </c>
      <c r="E58" s="3">
        <v>93</v>
      </c>
      <c r="F58" s="2">
        <v>4767.0204843441297</v>
      </c>
      <c r="G58" s="5" t="s">
        <v>26</v>
      </c>
      <c r="H58" s="3">
        <v>25</v>
      </c>
      <c r="I58" s="3">
        <v>23</v>
      </c>
      <c r="J58" s="3">
        <v>83</v>
      </c>
      <c r="K58" s="3">
        <v>5</v>
      </c>
      <c r="L58" s="5" t="s">
        <v>43</v>
      </c>
      <c r="M58" s="2">
        <v>1.77442971407173</v>
      </c>
      <c r="N58" s="5" t="s">
        <v>39</v>
      </c>
      <c r="O58" s="5" t="s">
        <v>29</v>
      </c>
      <c r="P58" s="3">
        <v>24</v>
      </c>
      <c r="Q58" s="3">
        <v>826</v>
      </c>
      <c r="R58" s="3">
        <v>28</v>
      </c>
      <c r="S58" s="2">
        <v>12.8362845728327</v>
      </c>
      <c r="T58" s="5" t="s">
        <v>64</v>
      </c>
      <c r="U58" s="4">
        <v>1.1737554953874501</v>
      </c>
      <c r="V58" s="5" t="s">
        <v>40</v>
      </c>
      <c r="W58" s="5" t="s">
        <v>32</v>
      </c>
      <c r="X58" s="2">
        <v>832.210808706021</v>
      </c>
      <c r="Y58" s="2">
        <v>846.821522992925</v>
      </c>
      <c r="Z58" s="2">
        <v>3920.1989613512001</v>
      </c>
      <c r="AA58" s="12">
        <v>0.82235832093147898</v>
      </c>
    </row>
    <row r="59" spans="1:27">
      <c r="A59" s="5" t="s">
        <v>176</v>
      </c>
      <c r="B59" s="5" t="s">
        <v>111</v>
      </c>
      <c r="C59" s="2">
        <v>49.263205350734097</v>
      </c>
      <c r="D59" s="3">
        <v>65</v>
      </c>
      <c r="E59" s="3">
        <v>227</v>
      </c>
      <c r="F59" s="2">
        <v>1605.8669003924001</v>
      </c>
      <c r="G59" s="5" t="s">
        <v>38</v>
      </c>
      <c r="H59" s="3">
        <v>5</v>
      </c>
      <c r="I59" s="3">
        <v>18</v>
      </c>
      <c r="J59" s="3">
        <v>51</v>
      </c>
      <c r="K59" s="3">
        <v>1</v>
      </c>
      <c r="L59" s="5" t="s">
        <v>27</v>
      </c>
      <c r="M59" s="2">
        <v>9.1605585353818704</v>
      </c>
      <c r="N59" s="5" t="s">
        <v>61</v>
      </c>
      <c r="O59" s="5" t="s">
        <v>50</v>
      </c>
      <c r="P59" s="3">
        <v>21</v>
      </c>
      <c r="Q59" s="3">
        <v>588</v>
      </c>
      <c r="R59" s="3">
        <v>25</v>
      </c>
      <c r="S59" s="2">
        <v>67.779622987078099</v>
      </c>
      <c r="T59" s="5" t="s">
        <v>30</v>
      </c>
      <c r="U59" s="4">
        <v>2.5111748302126999</v>
      </c>
      <c r="V59" s="5" t="s">
        <v>47</v>
      </c>
      <c r="W59" s="5" t="s">
        <v>48</v>
      </c>
      <c r="X59" s="2">
        <v>482.19123860252802</v>
      </c>
      <c r="Y59" s="2">
        <v>559.13142012498804</v>
      </c>
      <c r="Z59" s="2">
        <v>1046.7354802674099</v>
      </c>
      <c r="AA59" s="12">
        <v>0.65181957484249697</v>
      </c>
    </row>
    <row r="60" spans="1:27">
      <c r="A60" s="5" t="s">
        <v>177</v>
      </c>
      <c r="B60" s="5" t="s">
        <v>112</v>
      </c>
      <c r="C60" s="2">
        <v>59.841561377289302</v>
      </c>
      <c r="D60" s="3">
        <v>81</v>
      </c>
      <c r="E60" s="3">
        <v>896</v>
      </c>
      <c r="F60" s="2">
        <v>2021.1498103371</v>
      </c>
      <c r="G60" s="5" t="s">
        <v>26</v>
      </c>
      <c r="H60" s="3">
        <v>10</v>
      </c>
      <c r="I60" s="3">
        <v>5</v>
      </c>
      <c r="J60" s="3">
        <v>44</v>
      </c>
      <c r="K60" s="3">
        <v>7</v>
      </c>
      <c r="L60" s="5" t="s">
        <v>36</v>
      </c>
      <c r="M60" s="2">
        <v>4.9384385647120901</v>
      </c>
      <c r="N60" s="5" t="s">
        <v>28</v>
      </c>
      <c r="O60" s="5" t="s">
        <v>50</v>
      </c>
      <c r="P60" s="3">
        <v>18</v>
      </c>
      <c r="Q60" s="3">
        <v>396</v>
      </c>
      <c r="R60" s="3">
        <v>7</v>
      </c>
      <c r="S60" s="2">
        <v>65.047415094691402</v>
      </c>
      <c r="T60" s="5" t="s">
        <v>46</v>
      </c>
      <c r="U60" s="4">
        <v>1.7303747198591899</v>
      </c>
      <c r="V60" s="5" t="s">
        <v>31</v>
      </c>
      <c r="W60" s="5" t="s">
        <v>32</v>
      </c>
      <c r="X60" s="2">
        <v>110.364335231364</v>
      </c>
      <c r="Y60" s="2">
        <v>180.35018889076699</v>
      </c>
      <c r="Z60" s="2">
        <v>1840.7996214463301</v>
      </c>
      <c r="AA60" s="12">
        <v>0.91076851999373198</v>
      </c>
    </row>
    <row r="61" spans="1:27">
      <c r="A61" s="5" t="s">
        <v>178</v>
      </c>
      <c r="B61" s="5" t="s">
        <v>113</v>
      </c>
      <c r="C61" s="2">
        <v>63.828398347710902</v>
      </c>
      <c r="D61" s="3">
        <v>30</v>
      </c>
      <c r="E61" s="3">
        <v>484</v>
      </c>
      <c r="F61" s="2">
        <v>1061.6185230132801</v>
      </c>
      <c r="G61" s="5" t="s">
        <v>26</v>
      </c>
      <c r="H61" s="3">
        <v>100</v>
      </c>
      <c r="I61" s="3">
        <v>16</v>
      </c>
      <c r="J61" s="3">
        <v>26</v>
      </c>
      <c r="K61" s="3">
        <v>7</v>
      </c>
      <c r="L61" s="5" t="s">
        <v>27</v>
      </c>
      <c r="M61" s="2">
        <v>7.2937225968677204</v>
      </c>
      <c r="N61" s="5" t="s">
        <v>39</v>
      </c>
      <c r="O61" s="5" t="s">
        <v>45</v>
      </c>
      <c r="P61" s="3">
        <v>11</v>
      </c>
      <c r="Q61" s="3">
        <v>176</v>
      </c>
      <c r="R61" s="3">
        <v>4</v>
      </c>
      <c r="S61" s="2">
        <v>1.90076224351945</v>
      </c>
      <c r="T61" s="5" t="s">
        <v>46</v>
      </c>
      <c r="U61" s="4">
        <v>0.44719401546382298</v>
      </c>
      <c r="V61" s="5" t="s">
        <v>40</v>
      </c>
      <c r="W61" s="5" t="s">
        <v>48</v>
      </c>
      <c r="X61" s="2">
        <v>312.57427361009297</v>
      </c>
      <c r="Y61" s="2">
        <v>321.76875845047999</v>
      </c>
      <c r="Z61" s="2">
        <v>739.84976456280003</v>
      </c>
      <c r="AA61" s="12">
        <v>0.69690736222538996</v>
      </c>
    </row>
    <row r="62" spans="1:27">
      <c r="A62" s="5" t="s">
        <v>177</v>
      </c>
      <c r="B62" s="5" t="s">
        <v>114</v>
      </c>
      <c r="C62" s="2">
        <v>17.028027920188698</v>
      </c>
      <c r="D62" s="3">
        <v>16</v>
      </c>
      <c r="E62" s="3">
        <v>380</v>
      </c>
      <c r="F62" s="2">
        <v>8864.0843495864301</v>
      </c>
      <c r="G62" s="5" t="s">
        <v>35</v>
      </c>
      <c r="H62" s="3">
        <v>41</v>
      </c>
      <c r="I62" s="3">
        <v>27</v>
      </c>
      <c r="J62" s="3">
        <v>72</v>
      </c>
      <c r="K62" s="3">
        <v>8</v>
      </c>
      <c r="L62" s="5" t="s">
        <v>43</v>
      </c>
      <c r="M62" s="2">
        <v>4.3813681581023101</v>
      </c>
      <c r="N62" s="5" t="s">
        <v>52</v>
      </c>
      <c r="O62" s="5" t="s">
        <v>29</v>
      </c>
      <c r="P62" s="3">
        <v>29</v>
      </c>
      <c r="Q62" s="3">
        <v>929</v>
      </c>
      <c r="R62" s="3">
        <v>24</v>
      </c>
      <c r="S62" s="2">
        <v>87.213057815135599</v>
      </c>
      <c r="T62" s="5" t="s">
        <v>46</v>
      </c>
      <c r="U62" s="4">
        <v>2.8530906166490499</v>
      </c>
      <c r="V62" s="5" t="s">
        <v>47</v>
      </c>
      <c r="W62" s="5" t="s">
        <v>48</v>
      </c>
      <c r="X62" s="2">
        <v>430.16909697513597</v>
      </c>
      <c r="Y62" s="2">
        <v>521.76352294837397</v>
      </c>
      <c r="Z62" s="2">
        <v>8342.3208266380607</v>
      </c>
      <c r="AA62" s="12">
        <v>0.94113734680641703</v>
      </c>
    </row>
    <row r="63" spans="1:27">
      <c r="A63" s="5" t="s">
        <v>176</v>
      </c>
      <c r="B63" s="5" t="s">
        <v>115</v>
      </c>
      <c r="C63" s="2">
        <v>52.028749903294901</v>
      </c>
      <c r="D63" s="3">
        <v>23</v>
      </c>
      <c r="E63" s="3">
        <v>117</v>
      </c>
      <c r="F63" s="2">
        <v>6885.5893508962499</v>
      </c>
      <c r="G63" s="5" t="s">
        <v>38</v>
      </c>
      <c r="H63" s="3">
        <v>32</v>
      </c>
      <c r="I63" s="3">
        <v>23</v>
      </c>
      <c r="J63" s="3">
        <v>36</v>
      </c>
      <c r="K63" s="3">
        <v>7</v>
      </c>
      <c r="L63" s="5" t="s">
        <v>43</v>
      </c>
      <c r="M63" s="2">
        <v>9.0303404225219399</v>
      </c>
      <c r="N63" s="5" t="s">
        <v>52</v>
      </c>
      <c r="O63" s="5" t="s">
        <v>45</v>
      </c>
      <c r="P63" s="3">
        <v>14</v>
      </c>
      <c r="Q63" s="3">
        <v>480</v>
      </c>
      <c r="R63" s="3">
        <v>12</v>
      </c>
      <c r="S63" s="2">
        <v>78.702393968878894</v>
      </c>
      <c r="T63" s="5" t="s">
        <v>46</v>
      </c>
      <c r="U63" s="4">
        <v>4.3674705382050503</v>
      </c>
      <c r="V63" s="5" t="s">
        <v>40</v>
      </c>
      <c r="W63" s="5" t="s">
        <v>48</v>
      </c>
      <c r="X63" s="2">
        <v>164.366528243419</v>
      </c>
      <c r="Y63" s="2">
        <v>252.09926263482001</v>
      </c>
      <c r="Z63" s="2">
        <v>6633.4900882614302</v>
      </c>
      <c r="AA63" s="12">
        <v>0.96338740959014602</v>
      </c>
    </row>
    <row r="64" spans="1:27">
      <c r="A64" s="5" t="s">
        <v>178</v>
      </c>
      <c r="B64" s="5" t="s">
        <v>116</v>
      </c>
      <c r="C64" s="2">
        <v>72.796353955587307</v>
      </c>
      <c r="D64" s="3">
        <v>89</v>
      </c>
      <c r="E64" s="3">
        <v>270</v>
      </c>
      <c r="F64" s="2">
        <v>3899.7468337292198</v>
      </c>
      <c r="G64" s="5" t="s">
        <v>38</v>
      </c>
      <c r="H64" s="3">
        <v>86</v>
      </c>
      <c r="I64" s="3">
        <v>2</v>
      </c>
      <c r="J64" s="3">
        <v>40</v>
      </c>
      <c r="K64" s="3">
        <v>7</v>
      </c>
      <c r="L64" s="5" t="s">
        <v>43</v>
      </c>
      <c r="M64" s="2">
        <v>7.2917013887767697</v>
      </c>
      <c r="N64" s="5" t="s">
        <v>61</v>
      </c>
      <c r="O64" s="5" t="s">
        <v>29</v>
      </c>
      <c r="P64" s="3">
        <v>13</v>
      </c>
      <c r="Q64" s="3">
        <v>751</v>
      </c>
      <c r="R64" s="3">
        <v>14</v>
      </c>
      <c r="S64" s="2">
        <v>21.048642725168602</v>
      </c>
      <c r="T64" s="5" t="s">
        <v>64</v>
      </c>
      <c r="U64" s="4">
        <v>1.87400140404437</v>
      </c>
      <c r="V64" s="5" t="s">
        <v>56</v>
      </c>
      <c r="W64" s="5" t="s">
        <v>41</v>
      </c>
      <c r="X64" s="2">
        <v>320.84651575911101</v>
      </c>
      <c r="Y64" s="2">
        <v>349.18685987305599</v>
      </c>
      <c r="Z64" s="2">
        <v>3550.55997385616</v>
      </c>
      <c r="AA64" s="12">
        <v>0.91045909522820501</v>
      </c>
    </row>
    <row r="65" spans="1:27">
      <c r="A65" s="5" t="s">
        <v>177</v>
      </c>
      <c r="B65" s="5" t="s">
        <v>117</v>
      </c>
      <c r="C65" s="2">
        <v>13.0173767852878</v>
      </c>
      <c r="D65" s="3">
        <v>55</v>
      </c>
      <c r="E65" s="3">
        <v>246</v>
      </c>
      <c r="F65" s="2">
        <v>4256.9491408502199</v>
      </c>
      <c r="G65" s="5" t="s">
        <v>26</v>
      </c>
      <c r="H65" s="3">
        <v>54</v>
      </c>
      <c r="I65" s="3">
        <v>19</v>
      </c>
      <c r="J65" s="3">
        <v>10</v>
      </c>
      <c r="K65" s="3">
        <v>4</v>
      </c>
      <c r="L65" s="5" t="s">
        <v>36</v>
      </c>
      <c r="M65" s="2">
        <v>2.45793352798733</v>
      </c>
      <c r="N65" s="5" t="s">
        <v>28</v>
      </c>
      <c r="O65" s="5" t="s">
        <v>53</v>
      </c>
      <c r="P65" s="3">
        <v>18</v>
      </c>
      <c r="Q65" s="3">
        <v>736</v>
      </c>
      <c r="R65" s="3">
        <v>10</v>
      </c>
      <c r="S65" s="2">
        <v>20.075003975630398</v>
      </c>
      <c r="T65" s="5" t="s">
        <v>30</v>
      </c>
      <c r="U65" s="4">
        <v>3.6328432903821302</v>
      </c>
      <c r="V65" s="5" t="s">
        <v>56</v>
      </c>
      <c r="W65" s="5" t="s">
        <v>48</v>
      </c>
      <c r="X65" s="2">
        <v>687.28617786641701</v>
      </c>
      <c r="Y65" s="2">
        <v>709.81911537003498</v>
      </c>
      <c r="Z65" s="2">
        <v>3547.1300254801899</v>
      </c>
      <c r="AA65" s="12">
        <v>0.83325637871532898</v>
      </c>
    </row>
    <row r="66" spans="1:27">
      <c r="A66" s="5" t="s">
        <v>177</v>
      </c>
      <c r="B66" s="5" t="s">
        <v>118</v>
      </c>
      <c r="C66" s="2">
        <v>89.634095608135297</v>
      </c>
      <c r="D66" s="3">
        <v>11</v>
      </c>
      <c r="E66" s="3">
        <v>134</v>
      </c>
      <c r="F66" s="2">
        <v>8458.7308783671706</v>
      </c>
      <c r="G66" s="5" t="s">
        <v>35</v>
      </c>
      <c r="H66" s="3">
        <v>73</v>
      </c>
      <c r="I66" s="3">
        <v>27</v>
      </c>
      <c r="J66" s="3">
        <v>75</v>
      </c>
      <c r="K66" s="3">
        <v>6</v>
      </c>
      <c r="L66" s="5" t="s">
        <v>43</v>
      </c>
      <c r="M66" s="2">
        <v>4.5853534681946497</v>
      </c>
      <c r="N66" s="5" t="s">
        <v>39</v>
      </c>
      <c r="O66" s="5" t="s">
        <v>50</v>
      </c>
      <c r="P66" s="3">
        <v>17</v>
      </c>
      <c r="Q66" s="3">
        <v>328</v>
      </c>
      <c r="R66" s="3">
        <v>6</v>
      </c>
      <c r="S66" s="2">
        <v>8.6930424258772803</v>
      </c>
      <c r="T66" s="5" t="s">
        <v>46</v>
      </c>
      <c r="U66" s="4">
        <v>0.15948631471751401</v>
      </c>
      <c r="V66" s="5" t="s">
        <v>40</v>
      </c>
      <c r="W66" s="5" t="s">
        <v>41</v>
      </c>
      <c r="X66" s="2">
        <v>771.225084681157</v>
      </c>
      <c r="Y66" s="2">
        <v>784.50348057522899</v>
      </c>
      <c r="Z66" s="2">
        <v>7674.2273977919403</v>
      </c>
      <c r="AA66" s="12">
        <v>0.90725517907401898</v>
      </c>
    </row>
    <row r="67" spans="1:27">
      <c r="A67" s="5" t="s">
        <v>177</v>
      </c>
      <c r="B67" s="5" t="s">
        <v>119</v>
      </c>
      <c r="C67" s="2">
        <v>33.697717206643098</v>
      </c>
      <c r="D67" s="3">
        <v>72</v>
      </c>
      <c r="E67" s="3">
        <v>457</v>
      </c>
      <c r="F67" s="2">
        <v>8354.5796864819895</v>
      </c>
      <c r="G67" s="5" t="s">
        <v>55</v>
      </c>
      <c r="H67" s="3">
        <v>57</v>
      </c>
      <c r="I67" s="3">
        <v>24</v>
      </c>
      <c r="J67" s="3">
        <v>54</v>
      </c>
      <c r="K67" s="3">
        <v>8</v>
      </c>
      <c r="L67" s="5" t="s">
        <v>43</v>
      </c>
      <c r="M67" s="2">
        <v>6.5805413478845898</v>
      </c>
      <c r="N67" s="5" t="s">
        <v>44</v>
      </c>
      <c r="O67" s="5" t="s">
        <v>45</v>
      </c>
      <c r="P67" s="3">
        <v>16</v>
      </c>
      <c r="Q67" s="3">
        <v>358</v>
      </c>
      <c r="R67" s="3">
        <v>21</v>
      </c>
      <c r="S67" s="2">
        <v>1.59722274305067</v>
      </c>
      <c r="T67" s="5" t="s">
        <v>46</v>
      </c>
      <c r="U67" s="4">
        <v>4.9110959548423301</v>
      </c>
      <c r="V67" s="5" t="s">
        <v>47</v>
      </c>
      <c r="W67" s="5" t="s">
        <v>41</v>
      </c>
      <c r="X67" s="2">
        <v>555.85910367174301</v>
      </c>
      <c r="Y67" s="2">
        <v>564.03686776267796</v>
      </c>
      <c r="Z67" s="2">
        <v>7790.5428187193102</v>
      </c>
      <c r="AA67" s="12">
        <v>0.93248770268176295</v>
      </c>
    </row>
    <row r="68" spans="1:27">
      <c r="A68" s="5" t="s">
        <v>177</v>
      </c>
      <c r="B68" s="5" t="s">
        <v>120</v>
      </c>
      <c r="C68" s="2">
        <v>26.034869773962001</v>
      </c>
      <c r="D68" s="3">
        <v>52</v>
      </c>
      <c r="E68" s="3">
        <v>704</v>
      </c>
      <c r="F68" s="2">
        <v>8367.7216180201503</v>
      </c>
      <c r="G68" s="5" t="s">
        <v>35</v>
      </c>
      <c r="H68" s="3">
        <v>13</v>
      </c>
      <c r="I68" s="3">
        <v>17</v>
      </c>
      <c r="J68" s="3">
        <v>19</v>
      </c>
      <c r="K68" s="3">
        <v>8</v>
      </c>
      <c r="L68" s="5" t="s">
        <v>36</v>
      </c>
      <c r="M68" s="2">
        <v>2.2161427287713602</v>
      </c>
      <c r="N68" s="5" t="s">
        <v>44</v>
      </c>
      <c r="O68" s="5" t="s">
        <v>45</v>
      </c>
      <c r="P68" s="3">
        <v>24</v>
      </c>
      <c r="Q68" s="3">
        <v>867</v>
      </c>
      <c r="R68" s="3">
        <v>28</v>
      </c>
      <c r="S68" s="2">
        <v>42.084436738309897</v>
      </c>
      <c r="T68" s="5" t="s">
        <v>46</v>
      </c>
      <c r="U68" s="4">
        <v>3.44806328834026</v>
      </c>
      <c r="V68" s="5" t="s">
        <v>31</v>
      </c>
      <c r="W68" s="5" t="s">
        <v>48</v>
      </c>
      <c r="X68" s="2">
        <v>393.84334857842703</v>
      </c>
      <c r="Y68" s="2">
        <v>438.14392804550801</v>
      </c>
      <c r="Z68" s="2">
        <v>7929.5776899746397</v>
      </c>
      <c r="AA68" s="12">
        <v>0.94763880204834405</v>
      </c>
    </row>
    <row r="69" spans="1:27">
      <c r="A69" s="5" t="s">
        <v>177</v>
      </c>
      <c r="B69" s="5" t="s">
        <v>121</v>
      </c>
      <c r="C69" s="2">
        <v>87.755432354001002</v>
      </c>
      <c r="D69" s="3">
        <v>16</v>
      </c>
      <c r="E69" s="3">
        <v>513</v>
      </c>
      <c r="F69" s="2">
        <v>9473.7980325083299</v>
      </c>
      <c r="G69" s="5" t="s">
        <v>38</v>
      </c>
      <c r="H69" s="3">
        <v>12</v>
      </c>
      <c r="I69" s="3">
        <v>9</v>
      </c>
      <c r="J69" s="3">
        <v>71</v>
      </c>
      <c r="K69" s="3">
        <v>9</v>
      </c>
      <c r="L69" s="5" t="s">
        <v>43</v>
      </c>
      <c r="M69" s="2">
        <v>9.1478115447106294</v>
      </c>
      <c r="N69" s="5" t="s">
        <v>39</v>
      </c>
      <c r="O69" s="5" t="s">
        <v>29</v>
      </c>
      <c r="P69" s="3">
        <v>10</v>
      </c>
      <c r="Q69" s="3">
        <v>198</v>
      </c>
      <c r="R69" s="3">
        <v>11</v>
      </c>
      <c r="S69" s="2">
        <v>7.0578761469782298</v>
      </c>
      <c r="T69" s="5" t="s">
        <v>64</v>
      </c>
      <c r="U69" s="4">
        <v>0.131955444311814</v>
      </c>
      <c r="V69" s="5" t="s">
        <v>56</v>
      </c>
      <c r="W69" s="5" t="s">
        <v>41</v>
      </c>
      <c r="X69" s="2">
        <v>169.27180138478599</v>
      </c>
      <c r="Y69" s="2">
        <v>185.477489076475</v>
      </c>
      <c r="Z69" s="2">
        <v>9288.3205434318606</v>
      </c>
      <c r="AA69" s="12">
        <v>0.98042205581752695</v>
      </c>
    </row>
    <row r="70" spans="1:27">
      <c r="A70" s="5" t="s">
        <v>176</v>
      </c>
      <c r="B70" s="5" t="s">
        <v>122</v>
      </c>
      <c r="C70" s="2">
        <v>37.931812382790298</v>
      </c>
      <c r="D70" s="3">
        <v>29</v>
      </c>
      <c r="E70" s="3">
        <v>163</v>
      </c>
      <c r="F70" s="2">
        <v>3550.21843278099</v>
      </c>
      <c r="G70" s="5" t="s">
        <v>26</v>
      </c>
      <c r="H70" s="3">
        <v>0</v>
      </c>
      <c r="I70" s="3">
        <v>8</v>
      </c>
      <c r="J70" s="3">
        <v>58</v>
      </c>
      <c r="K70" s="3">
        <v>8</v>
      </c>
      <c r="L70" s="5" t="s">
        <v>27</v>
      </c>
      <c r="M70" s="2">
        <v>1.19425186488499</v>
      </c>
      <c r="N70" s="5" t="s">
        <v>61</v>
      </c>
      <c r="O70" s="5" t="s">
        <v>53</v>
      </c>
      <c r="P70" s="3">
        <v>2</v>
      </c>
      <c r="Q70" s="3">
        <v>375</v>
      </c>
      <c r="R70" s="3">
        <v>18</v>
      </c>
      <c r="S70" s="2">
        <v>97.113581563462205</v>
      </c>
      <c r="T70" s="5" t="s">
        <v>46</v>
      </c>
      <c r="U70" s="4">
        <v>1.9834678721741801</v>
      </c>
      <c r="V70" s="5" t="s">
        <v>47</v>
      </c>
      <c r="W70" s="5" t="s">
        <v>48</v>
      </c>
      <c r="X70" s="2">
        <v>299.70630311810299</v>
      </c>
      <c r="Y70" s="2">
        <v>398.01413654645</v>
      </c>
      <c r="Z70" s="2">
        <v>3152.2042962345399</v>
      </c>
      <c r="AA70" s="12">
        <v>0.88789023997188998</v>
      </c>
    </row>
    <row r="71" spans="1:27">
      <c r="A71" s="5" t="s">
        <v>177</v>
      </c>
      <c r="B71" s="5" t="s">
        <v>123</v>
      </c>
      <c r="C71" s="2">
        <v>54.865528517069698</v>
      </c>
      <c r="D71" s="3">
        <v>62</v>
      </c>
      <c r="E71" s="3">
        <v>511</v>
      </c>
      <c r="F71" s="2">
        <v>1752.3810874841199</v>
      </c>
      <c r="G71" s="5" t="s">
        <v>26</v>
      </c>
      <c r="H71" s="3">
        <v>95</v>
      </c>
      <c r="I71" s="3">
        <v>1</v>
      </c>
      <c r="J71" s="3">
        <v>27</v>
      </c>
      <c r="K71" s="3">
        <v>3</v>
      </c>
      <c r="L71" s="5" t="s">
        <v>27</v>
      </c>
      <c r="M71" s="2">
        <v>9.7052867901203399</v>
      </c>
      <c r="N71" s="5" t="s">
        <v>52</v>
      </c>
      <c r="O71" s="5" t="s">
        <v>45</v>
      </c>
      <c r="P71" s="3">
        <v>9</v>
      </c>
      <c r="Q71" s="3">
        <v>862</v>
      </c>
      <c r="R71" s="3">
        <v>7</v>
      </c>
      <c r="S71" s="2">
        <v>77.627765812748095</v>
      </c>
      <c r="T71" s="5" t="s">
        <v>30</v>
      </c>
      <c r="U71" s="4">
        <v>1.3623879886490999</v>
      </c>
      <c r="V71" s="5" t="s">
        <v>40</v>
      </c>
      <c r="W71" s="5" t="s">
        <v>48</v>
      </c>
      <c r="X71" s="2">
        <v>207.66320620857499</v>
      </c>
      <c r="Y71" s="2">
        <v>294.996258811443</v>
      </c>
      <c r="Z71" s="2">
        <v>1457.38482867268</v>
      </c>
      <c r="AA71" s="12">
        <v>0.831659756591549</v>
      </c>
    </row>
    <row r="72" spans="1:27">
      <c r="A72" s="5" t="s">
        <v>176</v>
      </c>
      <c r="B72" s="5" t="s">
        <v>124</v>
      </c>
      <c r="C72" s="2">
        <v>47.914541824058702</v>
      </c>
      <c r="D72" s="3">
        <v>90</v>
      </c>
      <c r="E72" s="3">
        <v>32</v>
      </c>
      <c r="F72" s="2">
        <v>7014.8879872033804</v>
      </c>
      <c r="G72" s="5" t="s">
        <v>35</v>
      </c>
      <c r="H72" s="3">
        <v>10</v>
      </c>
      <c r="I72" s="3">
        <v>12</v>
      </c>
      <c r="J72" s="3">
        <v>22</v>
      </c>
      <c r="K72" s="3">
        <v>4</v>
      </c>
      <c r="L72" s="5" t="s">
        <v>27</v>
      </c>
      <c r="M72" s="2">
        <v>6.3157177546007199</v>
      </c>
      <c r="N72" s="5" t="s">
        <v>39</v>
      </c>
      <c r="O72" s="5" t="s">
        <v>53</v>
      </c>
      <c r="P72" s="3">
        <v>22</v>
      </c>
      <c r="Q72" s="3">
        <v>775</v>
      </c>
      <c r="R72" s="3">
        <v>16</v>
      </c>
      <c r="S72" s="2">
        <v>11.440781823761199</v>
      </c>
      <c r="T72" s="5" t="s">
        <v>64</v>
      </c>
      <c r="U72" s="4">
        <v>1.8305755986122301</v>
      </c>
      <c r="V72" s="5" t="s">
        <v>31</v>
      </c>
      <c r="W72" s="5" t="s">
        <v>41</v>
      </c>
      <c r="X72" s="2">
        <v>183.27289874871099</v>
      </c>
      <c r="Y72" s="2">
        <v>201.02939832707301</v>
      </c>
      <c r="Z72" s="2">
        <v>6813.85858887631</v>
      </c>
      <c r="AA72" s="12">
        <v>0.97134246495542198</v>
      </c>
    </row>
    <row r="73" spans="1:27">
      <c r="A73" s="5" t="s">
        <v>178</v>
      </c>
      <c r="B73" s="5" t="s">
        <v>125</v>
      </c>
      <c r="C73" s="2">
        <v>6.3815331627479601</v>
      </c>
      <c r="D73" s="3">
        <v>14</v>
      </c>
      <c r="E73" s="3">
        <v>637</v>
      </c>
      <c r="F73" s="2">
        <v>8180.3370854254399</v>
      </c>
      <c r="G73" s="5" t="s">
        <v>35</v>
      </c>
      <c r="H73" s="3">
        <v>76</v>
      </c>
      <c r="I73" s="3">
        <v>2</v>
      </c>
      <c r="J73" s="3">
        <v>26</v>
      </c>
      <c r="K73" s="3">
        <v>6</v>
      </c>
      <c r="L73" s="5" t="s">
        <v>36</v>
      </c>
      <c r="M73" s="2">
        <v>9.2281903170525101</v>
      </c>
      <c r="N73" s="5" t="s">
        <v>61</v>
      </c>
      <c r="O73" s="5" t="s">
        <v>53</v>
      </c>
      <c r="P73" s="3">
        <v>2</v>
      </c>
      <c r="Q73" s="3">
        <v>258</v>
      </c>
      <c r="R73" s="3">
        <v>10</v>
      </c>
      <c r="S73" s="2">
        <v>30.661677477859499</v>
      </c>
      <c r="T73" s="5" t="s">
        <v>30</v>
      </c>
      <c r="U73" s="4">
        <v>2.07875060787496</v>
      </c>
      <c r="V73" s="5" t="s">
        <v>31</v>
      </c>
      <c r="W73" s="5" t="s">
        <v>48</v>
      </c>
      <c r="X73" s="2">
        <v>405.167067888855</v>
      </c>
      <c r="Y73" s="2">
        <v>445.05693568376699</v>
      </c>
      <c r="Z73" s="2">
        <v>7735.2801497416704</v>
      </c>
      <c r="AA73" s="12">
        <v>0.94559430362879504</v>
      </c>
    </row>
    <row r="74" spans="1:27">
      <c r="A74" s="5" t="s">
        <v>178</v>
      </c>
      <c r="B74" s="5" t="s">
        <v>126</v>
      </c>
      <c r="C74" s="2">
        <v>90.204427520528</v>
      </c>
      <c r="D74" s="3">
        <v>88</v>
      </c>
      <c r="E74" s="3">
        <v>478</v>
      </c>
      <c r="F74" s="2">
        <v>2633.1219813122502</v>
      </c>
      <c r="G74" s="5" t="s">
        <v>26</v>
      </c>
      <c r="H74" s="3">
        <v>57</v>
      </c>
      <c r="I74" s="3">
        <v>29</v>
      </c>
      <c r="J74" s="3">
        <v>77</v>
      </c>
      <c r="K74" s="3">
        <v>9</v>
      </c>
      <c r="L74" s="5" t="s">
        <v>36</v>
      </c>
      <c r="M74" s="2">
        <v>6.5996141596895397</v>
      </c>
      <c r="N74" s="5" t="s">
        <v>39</v>
      </c>
      <c r="O74" s="5" t="s">
        <v>53</v>
      </c>
      <c r="P74" s="3">
        <v>21</v>
      </c>
      <c r="Q74" s="3">
        <v>152</v>
      </c>
      <c r="R74" s="3">
        <v>11</v>
      </c>
      <c r="S74" s="2">
        <v>55.760492895244198</v>
      </c>
      <c r="T74" s="5" t="s">
        <v>30</v>
      </c>
      <c r="U74" s="4">
        <v>3.2133296074383</v>
      </c>
      <c r="V74" s="5" t="s">
        <v>47</v>
      </c>
      <c r="W74" s="5" t="s">
        <v>32</v>
      </c>
      <c r="X74" s="2">
        <v>677.94456984618296</v>
      </c>
      <c r="Y74" s="2">
        <v>740.30467690111698</v>
      </c>
      <c r="Z74" s="2">
        <v>1892.81730441113</v>
      </c>
      <c r="AA74" s="12">
        <v>0.71884907643656704</v>
      </c>
    </row>
    <row r="75" spans="1:27">
      <c r="A75" s="5" t="s">
        <v>178</v>
      </c>
      <c r="B75" s="5" t="s">
        <v>127</v>
      </c>
      <c r="C75" s="2">
        <v>83.851017681304597</v>
      </c>
      <c r="D75" s="3">
        <v>41</v>
      </c>
      <c r="E75" s="3">
        <v>375</v>
      </c>
      <c r="F75" s="2">
        <v>7910.8869161406801</v>
      </c>
      <c r="G75" s="5" t="s">
        <v>55</v>
      </c>
      <c r="H75" s="3">
        <v>17</v>
      </c>
      <c r="I75" s="3">
        <v>25</v>
      </c>
      <c r="J75" s="3">
        <v>66</v>
      </c>
      <c r="K75" s="3">
        <v>5</v>
      </c>
      <c r="L75" s="5" t="s">
        <v>27</v>
      </c>
      <c r="M75" s="2">
        <v>1.5129368369160701</v>
      </c>
      <c r="N75" s="5" t="s">
        <v>52</v>
      </c>
      <c r="O75" s="5" t="s">
        <v>62</v>
      </c>
      <c r="P75" s="3">
        <v>13</v>
      </c>
      <c r="Q75" s="3">
        <v>444</v>
      </c>
      <c r="R75" s="3">
        <v>4</v>
      </c>
      <c r="S75" s="2">
        <v>46.870238797617098</v>
      </c>
      <c r="T75" s="5" t="s">
        <v>46</v>
      </c>
      <c r="U75" s="4">
        <v>4.6205460645137002</v>
      </c>
      <c r="V75" s="5" t="s">
        <v>31</v>
      </c>
      <c r="W75" s="5" t="s">
        <v>48</v>
      </c>
      <c r="X75" s="2">
        <v>866.472800129657</v>
      </c>
      <c r="Y75" s="2">
        <v>914.85597576419002</v>
      </c>
      <c r="Z75" s="2">
        <v>6996.0309403764904</v>
      </c>
      <c r="AA75" s="12">
        <v>0.884354815653148</v>
      </c>
    </row>
    <row r="76" spans="1:27">
      <c r="A76" s="5" t="s">
        <v>176</v>
      </c>
      <c r="B76" s="5" t="s">
        <v>128</v>
      </c>
      <c r="C76" s="2">
        <v>3.1700114135661499</v>
      </c>
      <c r="D76" s="3">
        <v>64</v>
      </c>
      <c r="E76" s="3">
        <v>904</v>
      </c>
      <c r="F76" s="2">
        <v>5709.9452959692799</v>
      </c>
      <c r="G76" s="5" t="s">
        <v>35</v>
      </c>
      <c r="H76" s="3">
        <v>41</v>
      </c>
      <c r="I76" s="3">
        <v>6</v>
      </c>
      <c r="J76" s="3">
        <v>1</v>
      </c>
      <c r="K76" s="3">
        <v>5</v>
      </c>
      <c r="L76" s="5" t="s">
        <v>36</v>
      </c>
      <c r="M76" s="2">
        <v>5.2376546500374399</v>
      </c>
      <c r="N76" s="5" t="s">
        <v>52</v>
      </c>
      <c r="O76" s="5" t="s">
        <v>50</v>
      </c>
      <c r="P76" s="3">
        <v>1</v>
      </c>
      <c r="Q76" s="3">
        <v>919</v>
      </c>
      <c r="R76" s="3">
        <v>9</v>
      </c>
      <c r="S76" s="2">
        <v>80.580852156447804</v>
      </c>
      <c r="T76" s="5" t="s">
        <v>46</v>
      </c>
      <c r="U76" s="4">
        <v>0.39661272410993498</v>
      </c>
      <c r="V76" s="5" t="s">
        <v>47</v>
      </c>
      <c r="W76" s="5" t="s">
        <v>48</v>
      </c>
      <c r="X76" s="2">
        <v>341.55265678322297</v>
      </c>
      <c r="Y76" s="2">
        <v>427.37116358970798</v>
      </c>
      <c r="Z76" s="2">
        <v>5282.5741323795701</v>
      </c>
      <c r="AA76" s="12">
        <v>0.92515319474402102</v>
      </c>
    </row>
    <row r="77" spans="1:27">
      <c r="A77" s="5" t="s">
        <v>177</v>
      </c>
      <c r="B77" s="5" t="s">
        <v>129</v>
      </c>
      <c r="C77" s="2">
        <v>92.996884233970604</v>
      </c>
      <c r="D77" s="3">
        <v>29</v>
      </c>
      <c r="E77" s="3">
        <v>106</v>
      </c>
      <c r="F77" s="2">
        <v>1889.07358977933</v>
      </c>
      <c r="G77" s="5" t="s">
        <v>26</v>
      </c>
      <c r="H77" s="3">
        <v>16</v>
      </c>
      <c r="I77" s="3">
        <v>20</v>
      </c>
      <c r="J77" s="3">
        <v>56</v>
      </c>
      <c r="K77" s="3">
        <v>10</v>
      </c>
      <c r="L77" s="5" t="s">
        <v>43</v>
      </c>
      <c r="M77" s="2">
        <v>2.47389776104546</v>
      </c>
      <c r="N77" s="5" t="s">
        <v>39</v>
      </c>
      <c r="O77" s="5" t="s">
        <v>62</v>
      </c>
      <c r="P77" s="3">
        <v>25</v>
      </c>
      <c r="Q77" s="3">
        <v>759</v>
      </c>
      <c r="R77" s="3">
        <v>11</v>
      </c>
      <c r="S77" s="2">
        <v>48.064782640006499</v>
      </c>
      <c r="T77" s="5" t="s">
        <v>64</v>
      </c>
      <c r="U77" s="4">
        <v>2.0300690886687498</v>
      </c>
      <c r="V77" s="5" t="s">
        <v>40</v>
      </c>
      <c r="W77" s="5" t="s">
        <v>41</v>
      </c>
      <c r="X77" s="2">
        <v>873.12964801765099</v>
      </c>
      <c r="Y77" s="2">
        <v>923.66832841870303</v>
      </c>
      <c r="Z77" s="2">
        <v>965.40526136062704</v>
      </c>
      <c r="AA77" s="12">
        <v>0.51104693146093905</v>
      </c>
    </row>
    <row r="78" spans="1:27">
      <c r="A78" s="5" t="s">
        <v>176</v>
      </c>
      <c r="B78" s="5" t="s">
        <v>130</v>
      </c>
      <c r="C78" s="2">
        <v>69.108799547430294</v>
      </c>
      <c r="D78" s="3">
        <v>23</v>
      </c>
      <c r="E78" s="3">
        <v>241</v>
      </c>
      <c r="F78" s="2">
        <v>5328.3759842977497</v>
      </c>
      <c r="G78" s="5" t="s">
        <v>55</v>
      </c>
      <c r="H78" s="3">
        <v>38</v>
      </c>
      <c r="I78" s="3">
        <v>1</v>
      </c>
      <c r="J78" s="3">
        <v>22</v>
      </c>
      <c r="K78" s="3">
        <v>10</v>
      </c>
      <c r="L78" s="5" t="s">
        <v>36</v>
      </c>
      <c r="M78" s="2">
        <v>7.0545383368369201</v>
      </c>
      <c r="N78" s="5" t="s">
        <v>61</v>
      </c>
      <c r="O78" s="5" t="s">
        <v>53</v>
      </c>
      <c r="P78" s="3">
        <v>25</v>
      </c>
      <c r="Q78" s="3">
        <v>985</v>
      </c>
      <c r="R78" s="3">
        <v>24</v>
      </c>
      <c r="S78" s="2">
        <v>64.323597795600193</v>
      </c>
      <c r="T78" s="5" t="s">
        <v>30</v>
      </c>
      <c r="U78" s="4">
        <v>2.1800374515822099</v>
      </c>
      <c r="V78" s="5" t="s">
        <v>47</v>
      </c>
      <c r="W78" s="5" t="s">
        <v>48</v>
      </c>
      <c r="X78" s="2">
        <v>997.41345013319403</v>
      </c>
      <c r="Y78" s="2">
        <v>1068.79158626563</v>
      </c>
      <c r="Z78" s="2">
        <v>4259.5843980321197</v>
      </c>
      <c r="AA78" s="12">
        <v>0.79941513335108805</v>
      </c>
    </row>
    <row r="79" spans="1:27">
      <c r="A79" s="5" t="s">
        <v>176</v>
      </c>
      <c r="B79" s="5" t="s">
        <v>131</v>
      </c>
      <c r="C79" s="2">
        <v>57.449742958971399</v>
      </c>
      <c r="D79" s="3">
        <v>14</v>
      </c>
      <c r="E79" s="3">
        <v>359</v>
      </c>
      <c r="F79" s="2">
        <v>2483.7601775427902</v>
      </c>
      <c r="G79" s="5" t="s">
        <v>38</v>
      </c>
      <c r="H79" s="3">
        <v>96</v>
      </c>
      <c r="I79" s="3">
        <v>28</v>
      </c>
      <c r="J79" s="3">
        <v>57</v>
      </c>
      <c r="K79" s="3">
        <v>4</v>
      </c>
      <c r="L79" s="5" t="s">
        <v>27</v>
      </c>
      <c r="M79" s="2">
        <v>6.7809466256178901</v>
      </c>
      <c r="N79" s="5" t="s">
        <v>39</v>
      </c>
      <c r="O79" s="5" t="s">
        <v>45</v>
      </c>
      <c r="P79" s="3">
        <v>26</v>
      </c>
      <c r="Q79" s="3">
        <v>334</v>
      </c>
      <c r="R79" s="3">
        <v>5</v>
      </c>
      <c r="S79" s="2">
        <v>42.952444748991802</v>
      </c>
      <c r="T79" s="5" t="s">
        <v>64</v>
      </c>
      <c r="U79" s="4">
        <v>3.0551418183075398</v>
      </c>
      <c r="V79" s="5" t="s">
        <v>31</v>
      </c>
      <c r="W79" s="5" t="s">
        <v>32</v>
      </c>
      <c r="X79" s="2">
        <v>852.56809891984994</v>
      </c>
      <c r="Y79" s="2">
        <v>902.30149029446</v>
      </c>
      <c r="Z79" s="2">
        <v>1581.4586872483301</v>
      </c>
      <c r="AA79" s="12">
        <v>0.63671955994273299</v>
      </c>
    </row>
    <row r="80" spans="1:27">
      <c r="A80" s="5" t="s">
        <v>176</v>
      </c>
      <c r="B80" s="5" t="s">
        <v>132</v>
      </c>
      <c r="C80" s="2">
        <v>6.30688317611191</v>
      </c>
      <c r="D80" s="3">
        <v>50</v>
      </c>
      <c r="E80" s="3">
        <v>946</v>
      </c>
      <c r="F80" s="2">
        <v>1292.45841793775</v>
      </c>
      <c r="G80" s="5" t="s">
        <v>38</v>
      </c>
      <c r="H80" s="3">
        <v>5</v>
      </c>
      <c r="I80" s="3">
        <v>4</v>
      </c>
      <c r="J80" s="3">
        <v>51</v>
      </c>
      <c r="K80" s="3">
        <v>5</v>
      </c>
      <c r="L80" s="5" t="s">
        <v>27</v>
      </c>
      <c r="M80" s="2">
        <v>8.4670497708619905</v>
      </c>
      <c r="N80" s="5" t="s">
        <v>44</v>
      </c>
      <c r="O80" s="5" t="s">
        <v>29</v>
      </c>
      <c r="P80" s="3">
        <v>25</v>
      </c>
      <c r="Q80" s="3">
        <v>858</v>
      </c>
      <c r="R80" s="3">
        <v>21</v>
      </c>
      <c r="S80" s="2">
        <v>71.126514720403307</v>
      </c>
      <c r="T80" s="5" t="s">
        <v>30</v>
      </c>
      <c r="U80" s="4">
        <v>4.0968813324704501</v>
      </c>
      <c r="V80" s="5" t="s">
        <v>56</v>
      </c>
      <c r="W80" s="5" t="s">
        <v>41</v>
      </c>
      <c r="X80" s="2">
        <v>323.59220343132199</v>
      </c>
      <c r="Y80" s="2">
        <v>403.18576792258699</v>
      </c>
      <c r="Z80" s="2">
        <v>889.27265001516298</v>
      </c>
      <c r="AA80" s="12">
        <v>0.68804739686255301</v>
      </c>
    </row>
    <row r="81" spans="1:27">
      <c r="A81" s="5" t="s">
        <v>176</v>
      </c>
      <c r="B81" s="5" t="s">
        <v>133</v>
      </c>
      <c r="C81" s="2">
        <v>57.057031221103202</v>
      </c>
      <c r="D81" s="3">
        <v>56</v>
      </c>
      <c r="E81" s="3">
        <v>198</v>
      </c>
      <c r="F81" s="2">
        <v>7888.7232684270803</v>
      </c>
      <c r="G81" s="5" t="s">
        <v>26</v>
      </c>
      <c r="H81" s="3">
        <v>31</v>
      </c>
      <c r="I81" s="3">
        <v>25</v>
      </c>
      <c r="J81" s="3">
        <v>20</v>
      </c>
      <c r="K81" s="3">
        <v>1</v>
      </c>
      <c r="L81" s="5" t="s">
        <v>27</v>
      </c>
      <c r="M81" s="2">
        <v>6.49632536429504</v>
      </c>
      <c r="N81" s="5" t="s">
        <v>28</v>
      </c>
      <c r="O81" s="5" t="s">
        <v>53</v>
      </c>
      <c r="P81" s="3">
        <v>5</v>
      </c>
      <c r="Q81" s="3">
        <v>228</v>
      </c>
      <c r="R81" s="3">
        <v>12</v>
      </c>
      <c r="S81" s="2">
        <v>57.870902924036201</v>
      </c>
      <c r="T81" s="5" t="s">
        <v>30</v>
      </c>
      <c r="U81" s="4">
        <v>0.16587162748060799</v>
      </c>
      <c r="V81" s="5" t="s">
        <v>40</v>
      </c>
      <c r="W81" s="5" t="s">
        <v>41</v>
      </c>
      <c r="X81" s="2">
        <v>351.50421933503799</v>
      </c>
      <c r="Y81" s="2">
        <v>415.87144762336902</v>
      </c>
      <c r="Z81" s="2">
        <v>7472.8518208037103</v>
      </c>
      <c r="AA81" s="12">
        <v>0.94728279425293005</v>
      </c>
    </row>
    <row r="82" spans="1:27">
      <c r="A82" s="5" t="s">
        <v>177</v>
      </c>
      <c r="B82" s="5" t="s">
        <v>134</v>
      </c>
      <c r="C82" s="2">
        <v>91.128318350444303</v>
      </c>
      <c r="D82" s="3">
        <v>75</v>
      </c>
      <c r="E82" s="3">
        <v>872</v>
      </c>
      <c r="F82" s="2">
        <v>8651.67268298206</v>
      </c>
      <c r="G82" s="5" t="s">
        <v>38</v>
      </c>
      <c r="H82" s="3">
        <v>39</v>
      </c>
      <c r="I82" s="3">
        <v>14</v>
      </c>
      <c r="J82" s="3">
        <v>41</v>
      </c>
      <c r="K82" s="3">
        <v>2</v>
      </c>
      <c r="L82" s="5" t="s">
        <v>43</v>
      </c>
      <c r="M82" s="2">
        <v>2.8331846794189701</v>
      </c>
      <c r="N82" s="5" t="s">
        <v>28</v>
      </c>
      <c r="O82" s="5" t="s">
        <v>62</v>
      </c>
      <c r="P82" s="3">
        <v>8</v>
      </c>
      <c r="Q82" s="3">
        <v>202</v>
      </c>
      <c r="R82" s="3">
        <v>5</v>
      </c>
      <c r="S82" s="2">
        <v>76.961228023819999</v>
      </c>
      <c r="T82" s="5" t="s">
        <v>46</v>
      </c>
      <c r="U82" s="4">
        <v>2.8496621985053299</v>
      </c>
      <c r="V82" s="5" t="s">
        <v>56</v>
      </c>
      <c r="W82" s="5" t="s">
        <v>32</v>
      </c>
      <c r="X82" s="2">
        <v>787.77985049434403</v>
      </c>
      <c r="Y82" s="2">
        <v>867.57426319758304</v>
      </c>
      <c r="Z82" s="2">
        <v>7784.09841978448</v>
      </c>
      <c r="AA82" s="12">
        <v>0.89972178849251805</v>
      </c>
    </row>
    <row r="83" spans="1:27">
      <c r="A83" s="5" t="s">
        <v>176</v>
      </c>
      <c r="B83" s="5" t="s">
        <v>135</v>
      </c>
      <c r="C83" s="2">
        <v>72.819206930318202</v>
      </c>
      <c r="D83" s="3">
        <v>9</v>
      </c>
      <c r="E83" s="3">
        <v>774</v>
      </c>
      <c r="F83" s="2">
        <v>4384.4134000458598</v>
      </c>
      <c r="G83" s="5" t="s">
        <v>38</v>
      </c>
      <c r="H83" s="3">
        <v>48</v>
      </c>
      <c r="I83" s="3">
        <v>6</v>
      </c>
      <c r="J83" s="3">
        <v>8</v>
      </c>
      <c r="K83" s="3">
        <v>5</v>
      </c>
      <c r="L83" s="5" t="s">
        <v>27</v>
      </c>
      <c r="M83" s="2">
        <v>4.0662775015120403</v>
      </c>
      <c r="N83" s="5" t="s">
        <v>28</v>
      </c>
      <c r="O83" s="5" t="s">
        <v>50</v>
      </c>
      <c r="P83" s="3">
        <v>28</v>
      </c>
      <c r="Q83" s="3">
        <v>698</v>
      </c>
      <c r="R83" s="3">
        <v>1</v>
      </c>
      <c r="S83" s="2">
        <v>19.789592941903599</v>
      </c>
      <c r="T83" s="5" t="s">
        <v>30</v>
      </c>
      <c r="U83" s="4">
        <v>2.54754712154871</v>
      </c>
      <c r="V83" s="5" t="s">
        <v>47</v>
      </c>
      <c r="W83" s="5" t="s">
        <v>32</v>
      </c>
      <c r="X83" s="2">
        <v>276.77833594679799</v>
      </c>
      <c r="Y83" s="2">
        <v>300.63420639021399</v>
      </c>
      <c r="Z83" s="2">
        <v>4083.77919365565</v>
      </c>
      <c r="AA83" s="12">
        <v>0.93143114506787394</v>
      </c>
    </row>
    <row r="84" spans="1:27">
      <c r="A84" s="5" t="s">
        <v>177</v>
      </c>
      <c r="B84" s="5" t="s">
        <v>136</v>
      </c>
      <c r="C84" s="2">
        <v>17.034930739467899</v>
      </c>
      <c r="D84" s="3">
        <v>13</v>
      </c>
      <c r="E84" s="3">
        <v>336</v>
      </c>
      <c r="F84" s="2">
        <v>2943.3818676094502</v>
      </c>
      <c r="G84" s="5" t="s">
        <v>38</v>
      </c>
      <c r="H84" s="3">
        <v>42</v>
      </c>
      <c r="I84" s="3">
        <v>19</v>
      </c>
      <c r="J84" s="3">
        <v>72</v>
      </c>
      <c r="K84" s="3">
        <v>1</v>
      </c>
      <c r="L84" s="5" t="s">
        <v>36</v>
      </c>
      <c r="M84" s="2">
        <v>4.7081818735419301</v>
      </c>
      <c r="N84" s="5" t="s">
        <v>61</v>
      </c>
      <c r="O84" s="5" t="s">
        <v>29</v>
      </c>
      <c r="P84" s="3">
        <v>6</v>
      </c>
      <c r="Q84" s="3">
        <v>955</v>
      </c>
      <c r="R84" s="3">
        <v>26</v>
      </c>
      <c r="S84" s="2">
        <v>4.4652784349432402</v>
      </c>
      <c r="T84" s="5" t="s">
        <v>30</v>
      </c>
      <c r="U84" s="4">
        <v>4.1378770486223502</v>
      </c>
      <c r="V84" s="5" t="s">
        <v>31</v>
      </c>
      <c r="W84" s="5" t="s">
        <v>41</v>
      </c>
      <c r="X84" s="2">
        <v>589.97855562804</v>
      </c>
      <c r="Y84" s="2">
        <v>599.152015936525</v>
      </c>
      <c r="Z84" s="2">
        <v>2344.2298516729302</v>
      </c>
      <c r="AA84" s="12">
        <v>0.79644095027902595</v>
      </c>
    </row>
    <row r="85" spans="1:27">
      <c r="A85" s="5" t="s">
        <v>176</v>
      </c>
      <c r="B85" s="5" t="s">
        <v>137</v>
      </c>
      <c r="C85" s="2">
        <v>68.911246211606297</v>
      </c>
      <c r="D85" s="3">
        <v>82</v>
      </c>
      <c r="E85" s="3">
        <v>663</v>
      </c>
      <c r="F85" s="2">
        <v>2411.7546321104901</v>
      </c>
      <c r="G85" s="5" t="s">
        <v>38</v>
      </c>
      <c r="H85" s="3">
        <v>65</v>
      </c>
      <c r="I85" s="3">
        <v>24</v>
      </c>
      <c r="J85" s="3">
        <v>7</v>
      </c>
      <c r="K85" s="3">
        <v>8</v>
      </c>
      <c r="L85" s="5" t="s">
        <v>27</v>
      </c>
      <c r="M85" s="2">
        <v>4.94983957799694</v>
      </c>
      <c r="N85" s="5" t="s">
        <v>39</v>
      </c>
      <c r="O85" s="5" t="s">
        <v>53</v>
      </c>
      <c r="P85" s="3">
        <v>20</v>
      </c>
      <c r="Q85" s="3">
        <v>443</v>
      </c>
      <c r="R85" s="3">
        <v>5</v>
      </c>
      <c r="S85" s="2">
        <v>97.730593800533001</v>
      </c>
      <c r="T85" s="5" t="s">
        <v>46</v>
      </c>
      <c r="U85" s="4">
        <v>0.77300613406724705</v>
      </c>
      <c r="V85" s="5" t="s">
        <v>31</v>
      </c>
      <c r="W85" s="5" t="s">
        <v>48</v>
      </c>
      <c r="X85" s="2">
        <v>682.97101822609295</v>
      </c>
      <c r="Y85" s="2">
        <v>785.65145160462305</v>
      </c>
      <c r="Z85" s="2">
        <v>1626.1031805058699</v>
      </c>
      <c r="AA85" s="12">
        <v>0.67424072036834404</v>
      </c>
    </row>
    <row r="86" spans="1:27">
      <c r="A86" s="5" t="s">
        <v>176</v>
      </c>
      <c r="B86" s="5" t="s">
        <v>138</v>
      </c>
      <c r="C86" s="2">
        <v>89.104367292102197</v>
      </c>
      <c r="D86" s="3">
        <v>99</v>
      </c>
      <c r="E86" s="3">
        <v>618</v>
      </c>
      <c r="F86" s="2">
        <v>2048.2900998487098</v>
      </c>
      <c r="G86" s="5" t="s">
        <v>38</v>
      </c>
      <c r="H86" s="3">
        <v>73</v>
      </c>
      <c r="I86" s="3">
        <v>26</v>
      </c>
      <c r="J86" s="3">
        <v>80</v>
      </c>
      <c r="K86" s="3">
        <v>10</v>
      </c>
      <c r="L86" s="5" t="s">
        <v>36</v>
      </c>
      <c r="M86" s="2">
        <v>8.3816156249226292</v>
      </c>
      <c r="N86" s="5" t="s">
        <v>44</v>
      </c>
      <c r="O86" s="5" t="s">
        <v>62</v>
      </c>
      <c r="P86" s="3">
        <v>24</v>
      </c>
      <c r="Q86" s="3">
        <v>589</v>
      </c>
      <c r="R86" s="3">
        <v>22</v>
      </c>
      <c r="S86" s="2">
        <v>33.808636513209002</v>
      </c>
      <c r="T86" s="5" t="s">
        <v>64</v>
      </c>
      <c r="U86" s="4">
        <v>4.8434565771180402</v>
      </c>
      <c r="V86" s="5" t="s">
        <v>40</v>
      </c>
      <c r="W86" s="5" t="s">
        <v>32</v>
      </c>
      <c r="X86" s="2">
        <v>465.45700596368698</v>
      </c>
      <c r="Y86" s="2">
        <v>507.64725810181898</v>
      </c>
      <c r="Z86" s="2">
        <v>1540.6428417468901</v>
      </c>
      <c r="AA86" s="12">
        <v>0.75216046880306897</v>
      </c>
    </row>
    <row r="87" spans="1:27">
      <c r="A87" s="5" t="s">
        <v>178</v>
      </c>
      <c r="B87" s="5" t="s">
        <v>139</v>
      </c>
      <c r="C87" s="2">
        <v>76.962994415193805</v>
      </c>
      <c r="D87" s="3">
        <v>83</v>
      </c>
      <c r="E87" s="3">
        <v>25</v>
      </c>
      <c r="F87" s="2">
        <v>8684.6130592538502</v>
      </c>
      <c r="G87" s="5" t="s">
        <v>35</v>
      </c>
      <c r="H87" s="3">
        <v>15</v>
      </c>
      <c r="I87" s="3">
        <v>18</v>
      </c>
      <c r="J87" s="3">
        <v>66</v>
      </c>
      <c r="K87" s="3">
        <v>2</v>
      </c>
      <c r="L87" s="5" t="s">
        <v>43</v>
      </c>
      <c r="M87" s="2">
        <v>8.2491687048717193</v>
      </c>
      <c r="N87" s="5" t="s">
        <v>44</v>
      </c>
      <c r="O87" s="5" t="s">
        <v>62</v>
      </c>
      <c r="P87" s="3">
        <v>4</v>
      </c>
      <c r="Q87" s="3">
        <v>211</v>
      </c>
      <c r="R87" s="3">
        <v>2</v>
      </c>
      <c r="S87" s="2">
        <v>69.929345518672307</v>
      </c>
      <c r="T87" s="5" t="s">
        <v>46</v>
      </c>
      <c r="U87" s="4">
        <v>1.3744289997457499</v>
      </c>
      <c r="V87" s="5" t="s">
        <v>31</v>
      </c>
      <c r="W87" s="5" t="s">
        <v>32</v>
      </c>
      <c r="X87" s="2">
        <v>842.68683000464102</v>
      </c>
      <c r="Y87" s="2">
        <v>920.86534422818499</v>
      </c>
      <c r="Z87" s="2">
        <v>7763.74771502567</v>
      </c>
      <c r="AA87" s="12">
        <v>0.89396587528479898</v>
      </c>
    </row>
    <row r="88" spans="1:27">
      <c r="A88" s="5" t="s">
        <v>177</v>
      </c>
      <c r="B88" s="5" t="s">
        <v>140</v>
      </c>
      <c r="C88" s="2">
        <v>19.9981769404042</v>
      </c>
      <c r="D88" s="3">
        <v>18</v>
      </c>
      <c r="E88" s="3">
        <v>223</v>
      </c>
      <c r="F88" s="2">
        <v>1229.59102856498</v>
      </c>
      <c r="G88" s="5" t="s">
        <v>38</v>
      </c>
      <c r="H88" s="3">
        <v>32</v>
      </c>
      <c r="I88" s="3">
        <v>14</v>
      </c>
      <c r="J88" s="3">
        <v>22</v>
      </c>
      <c r="K88" s="3">
        <v>6</v>
      </c>
      <c r="L88" s="5" t="s">
        <v>27</v>
      </c>
      <c r="M88" s="2">
        <v>1.4543053101535499</v>
      </c>
      <c r="N88" s="5" t="s">
        <v>39</v>
      </c>
      <c r="O88" s="5" t="s">
        <v>29</v>
      </c>
      <c r="P88" s="3">
        <v>4</v>
      </c>
      <c r="Q88" s="3">
        <v>569</v>
      </c>
      <c r="R88" s="3">
        <v>18</v>
      </c>
      <c r="S88" s="2">
        <v>74.608969995194599</v>
      </c>
      <c r="T88" s="5" t="s">
        <v>64</v>
      </c>
      <c r="U88" s="4">
        <v>2.0515129307662399</v>
      </c>
      <c r="V88" s="5" t="s">
        <v>47</v>
      </c>
      <c r="W88" s="5" t="s">
        <v>48</v>
      </c>
      <c r="X88" s="2">
        <v>264.25488983586598</v>
      </c>
      <c r="Y88" s="2">
        <v>340.31816514121402</v>
      </c>
      <c r="Z88" s="2">
        <v>889.27286342376601</v>
      </c>
      <c r="AA88" s="12">
        <v>0.72322653855209895</v>
      </c>
    </row>
    <row r="89" spans="1:27">
      <c r="A89" s="5" t="s">
        <v>176</v>
      </c>
      <c r="B89" s="5" t="s">
        <v>141</v>
      </c>
      <c r="C89" s="2">
        <v>80.414036650355698</v>
      </c>
      <c r="D89" s="3">
        <v>24</v>
      </c>
      <c r="E89" s="3">
        <v>79</v>
      </c>
      <c r="F89" s="2">
        <v>5133.8467010866898</v>
      </c>
      <c r="G89" s="5" t="s">
        <v>55</v>
      </c>
      <c r="H89" s="3">
        <v>5</v>
      </c>
      <c r="I89" s="3">
        <v>7</v>
      </c>
      <c r="J89" s="3">
        <v>55</v>
      </c>
      <c r="K89" s="3">
        <v>10</v>
      </c>
      <c r="L89" s="5" t="s">
        <v>36</v>
      </c>
      <c r="M89" s="2">
        <v>6.5758037975485299</v>
      </c>
      <c r="N89" s="5" t="s">
        <v>28</v>
      </c>
      <c r="O89" s="5" t="s">
        <v>62</v>
      </c>
      <c r="P89" s="3">
        <v>27</v>
      </c>
      <c r="Q89" s="3">
        <v>523</v>
      </c>
      <c r="R89" s="3">
        <v>17</v>
      </c>
      <c r="S89" s="2">
        <v>28.696996824143099</v>
      </c>
      <c r="T89" s="5" t="s">
        <v>46</v>
      </c>
      <c r="U89" s="4">
        <v>3.6937377878392699</v>
      </c>
      <c r="V89" s="5" t="s">
        <v>56</v>
      </c>
      <c r="W89" s="5" t="s">
        <v>32</v>
      </c>
      <c r="X89" s="2">
        <v>879.35921773492396</v>
      </c>
      <c r="Y89" s="2">
        <v>914.63201835661596</v>
      </c>
      <c r="Z89" s="2">
        <v>4219.2146827300703</v>
      </c>
      <c r="AA89" s="12">
        <v>0.82184274840870997</v>
      </c>
    </row>
    <row r="90" spans="1:27">
      <c r="A90" s="5" t="s">
        <v>178</v>
      </c>
      <c r="B90" s="5" t="s">
        <v>142</v>
      </c>
      <c r="C90" s="2">
        <v>75.270406975724995</v>
      </c>
      <c r="D90" s="3">
        <v>58</v>
      </c>
      <c r="E90" s="3">
        <v>737</v>
      </c>
      <c r="F90" s="2">
        <v>9444.7420330629793</v>
      </c>
      <c r="G90" s="5" t="s">
        <v>55</v>
      </c>
      <c r="H90" s="3">
        <v>60</v>
      </c>
      <c r="I90" s="3">
        <v>18</v>
      </c>
      <c r="J90" s="3">
        <v>85</v>
      </c>
      <c r="K90" s="3">
        <v>7</v>
      </c>
      <c r="L90" s="5" t="s">
        <v>36</v>
      </c>
      <c r="M90" s="2">
        <v>3.8012531329310701</v>
      </c>
      <c r="N90" s="5" t="s">
        <v>61</v>
      </c>
      <c r="O90" s="5" t="s">
        <v>29</v>
      </c>
      <c r="P90" s="3">
        <v>21</v>
      </c>
      <c r="Q90" s="3">
        <v>953</v>
      </c>
      <c r="R90" s="3">
        <v>11</v>
      </c>
      <c r="S90" s="2">
        <v>68.1849190570411</v>
      </c>
      <c r="T90" s="5" t="s">
        <v>30</v>
      </c>
      <c r="U90" s="4">
        <v>0.722204401882931</v>
      </c>
      <c r="V90" s="5" t="s">
        <v>56</v>
      </c>
      <c r="W90" s="5" t="s">
        <v>48</v>
      </c>
      <c r="X90" s="2">
        <v>103.916247960704</v>
      </c>
      <c r="Y90" s="2">
        <v>175.90242015067599</v>
      </c>
      <c r="Z90" s="2">
        <v>9268.8396129122993</v>
      </c>
      <c r="AA90" s="12">
        <v>0.98137562470897599</v>
      </c>
    </row>
    <row r="91" spans="1:27">
      <c r="A91" s="5" t="s">
        <v>178</v>
      </c>
      <c r="B91" s="5" t="s">
        <v>143</v>
      </c>
      <c r="C91" s="2">
        <v>97.760085581938597</v>
      </c>
      <c r="D91" s="3">
        <v>10</v>
      </c>
      <c r="E91" s="3">
        <v>134</v>
      </c>
      <c r="F91" s="2">
        <v>5924.6825668532301</v>
      </c>
      <c r="G91" s="5" t="s">
        <v>38</v>
      </c>
      <c r="H91" s="3">
        <v>90</v>
      </c>
      <c r="I91" s="3">
        <v>1</v>
      </c>
      <c r="J91" s="3">
        <v>27</v>
      </c>
      <c r="K91" s="3">
        <v>8</v>
      </c>
      <c r="L91" s="5" t="s">
        <v>27</v>
      </c>
      <c r="M91" s="2">
        <v>9.9298162452772498</v>
      </c>
      <c r="N91" s="5" t="s">
        <v>39</v>
      </c>
      <c r="O91" s="5" t="s">
        <v>45</v>
      </c>
      <c r="P91" s="3">
        <v>23</v>
      </c>
      <c r="Q91" s="3">
        <v>370</v>
      </c>
      <c r="R91" s="3">
        <v>11</v>
      </c>
      <c r="S91" s="2">
        <v>46.603873381644398</v>
      </c>
      <c r="T91" s="5" t="s">
        <v>30</v>
      </c>
      <c r="U91" s="4">
        <v>1.9076657339590699</v>
      </c>
      <c r="V91" s="5" t="s">
        <v>47</v>
      </c>
      <c r="W91" s="5" t="s">
        <v>32</v>
      </c>
      <c r="X91" s="2">
        <v>517.49997392906005</v>
      </c>
      <c r="Y91" s="2">
        <v>574.033663555982</v>
      </c>
      <c r="Z91" s="2">
        <v>5350.6489032972504</v>
      </c>
      <c r="AA91" s="12">
        <v>0.903111490433678</v>
      </c>
    </row>
    <row r="92" spans="1:27">
      <c r="A92" s="5" t="s">
        <v>177</v>
      </c>
      <c r="B92" s="5" t="s">
        <v>144</v>
      </c>
      <c r="C92" s="2">
        <v>13.881913501359101</v>
      </c>
      <c r="D92" s="3">
        <v>56</v>
      </c>
      <c r="E92" s="3">
        <v>320</v>
      </c>
      <c r="F92" s="2">
        <v>9592.6335702803099</v>
      </c>
      <c r="G92" s="5" t="s">
        <v>26</v>
      </c>
      <c r="H92" s="3">
        <v>66</v>
      </c>
      <c r="I92" s="3">
        <v>18</v>
      </c>
      <c r="J92" s="3">
        <v>96</v>
      </c>
      <c r="K92" s="3">
        <v>7</v>
      </c>
      <c r="L92" s="5" t="s">
        <v>27</v>
      </c>
      <c r="M92" s="2">
        <v>7.6744307081126903</v>
      </c>
      <c r="N92" s="5" t="s">
        <v>28</v>
      </c>
      <c r="O92" s="5" t="s">
        <v>53</v>
      </c>
      <c r="P92" s="3">
        <v>8</v>
      </c>
      <c r="Q92" s="3">
        <v>585</v>
      </c>
      <c r="R92" s="3">
        <v>8</v>
      </c>
      <c r="S92" s="2">
        <v>85.675963335797903</v>
      </c>
      <c r="T92" s="5" t="s">
        <v>64</v>
      </c>
      <c r="U92" s="4">
        <v>1.2193822244013801</v>
      </c>
      <c r="V92" s="5" t="s">
        <v>47</v>
      </c>
      <c r="W92" s="5" t="s">
        <v>32</v>
      </c>
      <c r="X92" s="2">
        <v>990.07847250581096</v>
      </c>
      <c r="Y92" s="2">
        <v>1083.4288665497199</v>
      </c>
      <c r="Z92" s="2">
        <v>8509.2047037305892</v>
      </c>
      <c r="AA92" s="12">
        <v>0.88705616047855995</v>
      </c>
    </row>
    <row r="93" spans="1:27">
      <c r="A93" s="5" t="s">
        <v>178</v>
      </c>
      <c r="B93" s="5" t="s">
        <v>145</v>
      </c>
      <c r="C93" s="2">
        <v>62.111965463961702</v>
      </c>
      <c r="D93" s="3">
        <v>90</v>
      </c>
      <c r="E93" s="3">
        <v>916</v>
      </c>
      <c r="F93" s="2">
        <v>1935.20679350759</v>
      </c>
      <c r="G93" s="5" t="s">
        <v>55</v>
      </c>
      <c r="H93" s="3">
        <v>98</v>
      </c>
      <c r="I93" s="3">
        <v>22</v>
      </c>
      <c r="J93" s="3">
        <v>85</v>
      </c>
      <c r="K93" s="3">
        <v>7</v>
      </c>
      <c r="L93" s="5" t="s">
        <v>27</v>
      </c>
      <c r="M93" s="2">
        <v>7.4715140844011403</v>
      </c>
      <c r="N93" s="5" t="s">
        <v>52</v>
      </c>
      <c r="O93" s="5" t="s">
        <v>50</v>
      </c>
      <c r="P93" s="3">
        <v>5</v>
      </c>
      <c r="Q93" s="3">
        <v>207</v>
      </c>
      <c r="R93" s="3">
        <v>28</v>
      </c>
      <c r="S93" s="2">
        <v>39.772882502339897</v>
      </c>
      <c r="T93" s="5" t="s">
        <v>30</v>
      </c>
      <c r="U93" s="4">
        <v>0.62600185820939402</v>
      </c>
      <c r="V93" s="5" t="s">
        <v>47</v>
      </c>
      <c r="W93" s="5" t="s">
        <v>32</v>
      </c>
      <c r="X93" s="2">
        <v>996.77831495062298</v>
      </c>
      <c r="Y93" s="2">
        <v>1044.02271153736</v>
      </c>
      <c r="Z93" s="2">
        <v>891.18408197022598</v>
      </c>
      <c r="AA93" s="12">
        <v>0.46051103425228401</v>
      </c>
    </row>
    <row r="94" spans="1:27">
      <c r="A94" s="5" t="s">
        <v>178</v>
      </c>
      <c r="B94" s="5" t="s">
        <v>146</v>
      </c>
      <c r="C94" s="2">
        <v>47.714233075820196</v>
      </c>
      <c r="D94" s="3">
        <v>44</v>
      </c>
      <c r="E94" s="3">
        <v>276</v>
      </c>
      <c r="F94" s="2">
        <v>2100.1297546259302</v>
      </c>
      <c r="G94" s="5" t="s">
        <v>55</v>
      </c>
      <c r="H94" s="3">
        <v>90</v>
      </c>
      <c r="I94" s="3">
        <v>25</v>
      </c>
      <c r="J94" s="3">
        <v>10</v>
      </c>
      <c r="K94" s="3">
        <v>8</v>
      </c>
      <c r="L94" s="5" t="s">
        <v>27</v>
      </c>
      <c r="M94" s="2">
        <v>4.4695000261236002</v>
      </c>
      <c r="N94" s="5" t="s">
        <v>61</v>
      </c>
      <c r="O94" s="5" t="s">
        <v>29</v>
      </c>
      <c r="P94" s="3">
        <v>4</v>
      </c>
      <c r="Q94" s="3">
        <v>671</v>
      </c>
      <c r="R94" s="3">
        <v>29</v>
      </c>
      <c r="S94" s="2">
        <v>62.612690395614301</v>
      </c>
      <c r="T94" s="5" t="s">
        <v>64</v>
      </c>
      <c r="U94" s="4">
        <v>0.33343182522473902</v>
      </c>
      <c r="V94" s="5" t="s">
        <v>47</v>
      </c>
      <c r="W94" s="5" t="s">
        <v>32</v>
      </c>
      <c r="X94" s="2">
        <v>230.092782536762</v>
      </c>
      <c r="Y94" s="2">
        <v>297.17497295850001</v>
      </c>
      <c r="Z94" s="2">
        <v>1802.9547816674301</v>
      </c>
      <c r="AA94" s="12">
        <v>0.85849685129982301</v>
      </c>
    </row>
    <row r="95" spans="1:27">
      <c r="A95" s="5" t="s">
        <v>176</v>
      </c>
      <c r="B95" s="5" t="s">
        <v>147</v>
      </c>
      <c r="C95" s="2">
        <v>69.290831002905406</v>
      </c>
      <c r="D95" s="3">
        <v>88</v>
      </c>
      <c r="E95" s="3">
        <v>114</v>
      </c>
      <c r="F95" s="2">
        <v>4531.4021336919004</v>
      </c>
      <c r="G95" s="5" t="s">
        <v>38</v>
      </c>
      <c r="H95" s="3">
        <v>63</v>
      </c>
      <c r="I95" s="3">
        <v>17</v>
      </c>
      <c r="J95" s="3">
        <v>66</v>
      </c>
      <c r="K95" s="3">
        <v>1</v>
      </c>
      <c r="L95" s="5" t="s">
        <v>43</v>
      </c>
      <c r="M95" s="2">
        <v>7.00643205900439</v>
      </c>
      <c r="N95" s="5" t="s">
        <v>52</v>
      </c>
      <c r="O95" s="5" t="s">
        <v>62</v>
      </c>
      <c r="P95" s="3">
        <v>21</v>
      </c>
      <c r="Q95" s="3">
        <v>824</v>
      </c>
      <c r="R95" s="3">
        <v>20</v>
      </c>
      <c r="S95" s="2">
        <v>35.633652343343797</v>
      </c>
      <c r="T95" s="5" t="s">
        <v>46</v>
      </c>
      <c r="U95" s="4">
        <v>4.1657817954241398</v>
      </c>
      <c r="V95" s="5" t="s">
        <v>40</v>
      </c>
      <c r="W95" s="5" t="s">
        <v>48</v>
      </c>
      <c r="X95" s="2">
        <v>823.52384588815505</v>
      </c>
      <c r="Y95" s="2">
        <v>866.163930290503</v>
      </c>
      <c r="Z95" s="2">
        <v>3665.2382034013999</v>
      </c>
      <c r="AA95" s="12">
        <v>0.80885299853429504</v>
      </c>
    </row>
    <row r="96" spans="1:27">
      <c r="A96" s="5" t="s">
        <v>178</v>
      </c>
      <c r="B96" s="5" t="s">
        <v>148</v>
      </c>
      <c r="C96" s="2">
        <v>3.0376887246314102</v>
      </c>
      <c r="D96" s="3">
        <v>97</v>
      </c>
      <c r="E96" s="3">
        <v>987</v>
      </c>
      <c r="F96" s="2">
        <v>7888.3565466618702</v>
      </c>
      <c r="G96" s="5" t="s">
        <v>38</v>
      </c>
      <c r="H96" s="3">
        <v>77</v>
      </c>
      <c r="I96" s="3">
        <v>26</v>
      </c>
      <c r="J96" s="3">
        <v>72</v>
      </c>
      <c r="K96" s="3">
        <v>9</v>
      </c>
      <c r="L96" s="5" t="s">
        <v>27</v>
      </c>
      <c r="M96" s="2">
        <v>6.9429459420325799</v>
      </c>
      <c r="N96" s="5" t="s">
        <v>61</v>
      </c>
      <c r="O96" s="5" t="s">
        <v>50</v>
      </c>
      <c r="P96" s="3">
        <v>12</v>
      </c>
      <c r="Q96" s="3">
        <v>908</v>
      </c>
      <c r="R96" s="3">
        <v>14</v>
      </c>
      <c r="S96" s="2">
        <v>60.387378614862101</v>
      </c>
      <c r="T96" s="5" t="s">
        <v>64</v>
      </c>
      <c r="U96" s="4">
        <v>1.4636074984727701</v>
      </c>
      <c r="V96" s="5" t="s">
        <v>47</v>
      </c>
      <c r="W96" s="5" t="s">
        <v>32</v>
      </c>
      <c r="X96" s="2">
        <v>846.66525698669398</v>
      </c>
      <c r="Y96" s="2">
        <v>913.99558154358897</v>
      </c>
      <c r="Z96" s="2">
        <v>6974.3609651182796</v>
      </c>
      <c r="AA96" s="12">
        <v>0.88413358649079199</v>
      </c>
    </row>
    <row r="97" spans="1:27">
      <c r="A97" s="5" t="s">
        <v>176</v>
      </c>
      <c r="B97" s="5" t="s">
        <v>149</v>
      </c>
      <c r="C97" s="2">
        <v>77.903927219447695</v>
      </c>
      <c r="D97" s="3">
        <v>65</v>
      </c>
      <c r="E97" s="3">
        <v>672</v>
      </c>
      <c r="F97" s="2">
        <v>7386.3639440486604</v>
      </c>
      <c r="G97" s="5" t="s">
        <v>38</v>
      </c>
      <c r="H97" s="3">
        <v>15</v>
      </c>
      <c r="I97" s="3">
        <v>14</v>
      </c>
      <c r="J97" s="3">
        <v>26</v>
      </c>
      <c r="K97" s="3">
        <v>9</v>
      </c>
      <c r="L97" s="5" t="s">
        <v>27</v>
      </c>
      <c r="M97" s="2">
        <v>8.6303388696027508</v>
      </c>
      <c r="N97" s="5" t="s">
        <v>52</v>
      </c>
      <c r="O97" s="5" t="s">
        <v>29</v>
      </c>
      <c r="P97" s="3">
        <v>18</v>
      </c>
      <c r="Q97" s="3">
        <v>450</v>
      </c>
      <c r="R97" s="3">
        <v>26</v>
      </c>
      <c r="S97" s="2">
        <v>58.890685768589897</v>
      </c>
      <c r="T97" s="5" t="s">
        <v>30</v>
      </c>
      <c r="U97" s="4">
        <v>1.21088212958506</v>
      </c>
      <c r="V97" s="5" t="s">
        <v>40</v>
      </c>
      <c r="W97" s="5" t="s">
        <v>48</v>
      </c>
      <c r="X97" s="2">
        <v>778.86424137664699</v>
      </c>
      <c r="Y97" s="2">
        <v>846.38526601484</v>
      </c>
      <c r="Z97" s="2">
        <v>6539.97867803382</v>
      </c>
      <c r="AA97" s="12">
        <v>0.88541246106661298</v>
      </c>
    </row>
    <row r="98" spans="1:27">
      <c r="A98" s="5" t="s">
        <v>178</v>
      </c>
      <c r="B98" s="5" t="s">
        <v>150</v>
      </c>
      <c r="C98" s="2">
        <v>24.423131420373299</v>
      </c>
      <c r="D98" s="3">
        <v>29</v>
      </c>
      <c r="E98" s="3">
        <v>324</v>
      </c>
      <c r="F98" s="2">
        <v>7698.4247656321104</v>
      </c>
      <c r="G98" s="5" t="s">
        <v>26</v>
      </c>
      <c r="H98" s="3">
        <v>67</v>
      </c>
      <c r="I98" s="3">
        <v>2</v>
      </c>
      <c r="J98" s="3">
        <v>32</v>
      </c>
      <c r="K98" s="3">
        <v>3</v>
      </c>
      <c r="L98" s="5" t="s">
        <v>43</v>
      </c>
      <c r="M98" s="2">
        <v>5.3528780439967996</v>
      </c>
      <c r="N98" s="5" t="s">
        <v>28</v>
      </c>
      <c r="O98" s="5" t="s">
        <v>29</v>
      </c>
      <c r="P98" s="3">
        <v>28</v>
      </c>
      <c r="Q98" s="3">
        <v>648</v>
      </c>
      <c r="R98" s="3">
        <v>28</v>
      </c>
      <c r="S98" s="2">
        <v>17.803756331391199</v>
      </c>
      <c r="T98" s="5" t="s">
        <v>30</v>
      </c>
      <c r="U98" s="4">
        <v>3.8720476814821301</v>
      </c>
      <c r="V98" s="5" t="s">
        <v>31</v>
      </c>
      <c r="W98" s="5" t="s">
        <v>48</v>
      </c>
      <c r="X98" s="2">
        <v>188.74214114905601</v>
      </c>
      <c r="Y98" s="2">
        <v>211.89877552444401</v>
      </c>
      <c r="Z98" s="2">
        <v>7486.5259901076697</v>
      </c>
      <c r="AA98" s="12">
        <v>0.97247504756162295</v>
      </c>
    </row>
    <row r="99" spans="1:27">
      <c r="A99" s="5" t="s">
        <v>176</v>
      </c>
      <c r="B99" s="5" t="s">
        <v>151</v>
      </c>
      <c r="C99" s="2">
        <v>3.5261112591434101</v>
      </c>
      <c r="D99" s="3">
        <v>56</v>
      </c>
      <c r="E99" s="3">
        <v>62</v>
      </c>
      <c r="F99" s="2">
        <v>4370.9165799845296</v>
      </c>
      <c r="G99" s="5" t="s">
        <v>55</v>
      </c>
      <c r="H99" s="3">
        <v>46</v>
      </c>
      <c r="I99" s="3">
        <v>19</v>
      </c>
      <c r="J99" s="3">
        <v>4</v>
      </c>
      <c r="K99" s="3">
        <v>9</v>
      </c>
      <c r="L99" s="5" t="s">
        <v>36</v>
      </c>
      <c r="M99" s="2">
        <v>7.9048456112096703</v>
      </c>
      <c r="N99" s="5" t="s">
        <v>52</v>
      </c>
      <c r="O99" s="5" t="s">
        <v>29</v>
      </c>
      <c r="P99" s="3">
        <v>10</v>
      </c>
      <c r="Q99" s="3">
        <v>535</v>
      </c>
      <c r="R99" s="3">
        <v>13</v>
      </c>
      <c r="S99" s="2">
        <v>65.765155926367399</v>
      </c>
      <c r="T99" s="5" t="s">
        <v>46</v>
      </c>
      <c r="U99" s="4">
        <v>3.3762378347179798</v>
      </c>
      <c r="V99" s="5" t="s">
        <v>31</v>
      </c>
      <c r="W99" s="5" t="s">
        <v>48</v>
      </c>
      <c r="X99" s="2">
        <v>540.13242286796697</v>
      </c>
      <c r="Y99" s="2">
        <v>613.802424405544</v>
      </c>
      <c r="Z99" s="2">
        <v>3757.11415557899</v>
      </c>
      <c r="AA99" s="12">
        <v>0.85957123336183305</v>
      </c>
    </row>
    <row r="100" spans="1:27">
      <c r="A100" s="5" t="s">
        <v>177</v>
      </c>
      <c r="B100" s="5" t="s">
        <v>152</v>
      </c>
      <c r="C100" s="2">
        <v>19.754604866878601</v>
      </c>
      <c r="D100" s="3">
        <v>43</v>
      </c>
      <c r="E100" s="3">
        <v>913</v>
      </c>
      <c r="F100" s="2">
        <v>8525.9525596835192</v>
      </c>
      <c r="G100" s="5" t="s">
        <v>35</v>
      </c>
      <c r="H100" s="3">
        <v>53</v>
      </c>
      <c r="I100" s="3">
        <v>1</v>
      </c>
      <c r="J100" s="3">
        <v>27</v>
      </c>
      <c r="K100" s="3">
        <v>7</v>
      </c>
      <c r="L100" s="5" t="s">
        <v>27</v>
      </c>
      <c r="M100" s="2">
        <v>1.4098010951380699</v>
      </c>
      <c r="N100" s="5" t="s">
        <v>44</v>
      </c>
      <c r="O100" s="5" t="s">
        <v>62</v>
      </c>
      <c r="P100" s="3">
        <v>28</v>
      </c>
      <c r="Q100" s="3">
        <v>581</v>
      </c>
      <c r="R100" s="3">
        <v>9</v>
      </c>
      <c r="S100" s="2">
        <v>5.6046908643717801</v>
      </c>
      <c r="T100" s="5" t="s">
        <v>30</v>
      </c>
      <c r="U100" s="4">
        <v>2.9081221693512598</v>
      </c>
      <c r="V100" s="5" t="s">
        <v>47</v>
      </c>
      <c r="W100" s="5" t="s">
        <v>48</v>
      </c>
      <c r="X100" s="2">
        <v>882.19886354704101</v>
      </c>
      <c r="Y100" s="2">
        <v>889.21335550655101</v>
      </c>
      <c r="Z100" s="2">
        <v>7636.7392041769699</v>
      </c>
      <c r="AA100" s="12">
        <v>0.89570510165499195</v>
      </c>
    </row>
    <row r="101" spans="1:27">
      <c r="A101" s="5" t="s">
        <v>176</v>
      </c>
      <c r="B101" s="5" t="s">
        <v>153</v>
      </c>
      <c r="C101" s="2">
        <v>68.517832699276596</v>
      </c>
      <c r="D101" s="3">
        <v>17</v>
      </c>
      <c r="E101" s="3">
        <v>627</v>
      </c>
      <c r="F101" s="2">
        <v>9185.1858291817007</v>
      </c>
      <c r="G101" s="5" t="s">
        <v>38</v>
      </c>
      <c r="H101" s="3">
        <v>55</v>
      </c>
      <c r="I101" s="3">
        <v>8</v>
      </c>
      <c r="J101" s="3">
        <v>59</v>
      </c>
      <c r="K101" s="3">
        <v>6</v>
      </c>
      <c r="L101" s="5" t="s">
        <v>27</v>
      </c>
      <c r="M101" s="2">
        <v>1.3110237561206199</v>
      </c>
      <c r="N101" s="5" t="s">
        <v>61</v>
      </c>
      <c r="O101" s="5" t="s">
        <v>62</v>
      </c>
      <c r="P101" s="3">
        <v>29</v>
      </c>
      <c r="Q101" s="3">
        <v>921</v>
      </c>
      <c r="R101" s="3">
        <v>2</v>
      </c>
      <c r="S101" s="2">
        <v>38.072898520625998</v>
      </c>
      <c r="T101" s="5" t="s">
        <v>46</v>
      </c>
      <c r="U101" s="4">
        <v>0.34602729070550298</v>
      </c>
      <c r="V101" s="5" t="s">
        <v>47</v>
      </c>
      <c r="W101" s="5" t="s">
        <v>32</v>
      </c>
      <c r="X101" s="2">
        <v>210.743008964246</v>
      </c>
      <c r="Y101" s="2">
        <v>250.126931240993</v>
      </c>
      <c r="Z101" s="2">
        <v>8935.0588979407094</v>
      </c>
      <c r="AA101" s="12">
        <v>0.97276844084674596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2:BT14"/>
  <sheetViews>
    <sheetView topLeftCell="Y1" workbookViewId="0">
      <selection activeCell="AC17" sqref="AC17"/>
    </sheetView>
  </sheetViews>
  <sheetFormatPr defaultColWidth="8.85546875" defaultRowHeight="12.75"/>
  <cols>
    <col min="1" max="1" width="23.42578125" bestFit="1" customWidth="1"/>
    <col min="3" max="3" width="15.140625" bestFit="1" customWidth="1"/>
    <col min="4" max="4" width="8.85546875" customWidth="1"/>
    <col min="5" max="5" width="12" bestFit="1" customWidth="1"/>
    <col min="6" max="6" width="8.85546875" customWidth="1"/>
    <col min="7" max="7" width="28.7109375" bestFit="1" customWidth="1"/>
    <col min="9" max="9" width="20.85546875" bestFit="1" customWidth="1"/>
    <col min="10" max="10" width="8.85546875" customWidth="1"/>
    <col min="12" max="12" width="11.7109375" bestFit="1" customWidth="1"/>
    <col min="13" max="13" width="23.42578125" bestFit="1" customWidth="1"/>
    <col min="14" max="15" width="8.85546875" customWidth="1"/>
    <col min="16" max="16" width="11.7109375" bestFit="1" customWidth="1"/>
    <col min="17" max="17" width="11.28515625" bestFit="1" customWidth="1"/>
    <col min="18" max="18" width="11.28515625" customWidth="1"/>
    <col min="21" max="21" width="14" bestFit="1" customWidth="1"/>
    <col min="22" max="22" width="9.5703125" bestFit="1" customWidth="1"/>
    <col min="23" max="23" width="8.7109375" bestFit="1" customWidth="1"/>
    <col min="27" max="27" width="11.7109375" bestFit="1" customWidth="1"/>
    <col min="28" max="28" width="20.85546875" bestFit="1" customWidth="1"/>
    <col min="31" max="31" width="10" bestFit="1" customWidth="1"/>
    <col min="32" max="32" width="23.42578125" bestFit="1" customWidth="1"/>
    <col min="33" max="33" width="8.85546875" customWidth="1"/>
    <col min="35" max="35" width="10" bestFit="1" customWidth="1"/>
    <col min="36" max="36" width="16.85546875" bestFit="1" customWidth="1"/>
    <col min="39" max="39" width="20.42578125" bestFit="1" customWidth="1"/>
    <col min="40" max="40" width="12.28515625" bestFit="1" customWidth="1"/>
    <col min="41" max="42" width="7.42578125" bestFit="1" customWidth="1"/>
    <col min="43" max="43" width="10" bestFit="1" customWidth="1"/>
    <col min="45" max="45" width="11.7109375" bestFit="1" customWidth="1"/>
    <col min="46" max="46" width="14.140625" bestFit="1" customWidth="1"/>
    <col min="49" max="49" width="14.7109375" bestFit="1" customWidth="1"/>
    <col min="50" max="50" width="18.7109375" bestFit="1" customWidth="1"/>
    <col min="55" max="57" width="8.85546875" customWidth="1"/>
    <col min="60" max="61" width="8.85546875" customWidth="1"/>
    <col min="65" max="66" width="8.85546875" customWidth="1"/>
    <col min="69" max="70" width="8.85546875" customWidth="1"/>
    <col min="73" max="74" width="8.85546875" customWidth="1"/>
    <col min="77" max="81" width="8.85546875" customWidth="1"/>
    <col min="84" max="88" width="8.85546875" customWidth="1"/>
    <col min="91" max="92" width="8.85546875" customWidth="1"/>
    <col min="95" max="96" width="8.85546875" customWidth="1"/>
    <col min="99" max="101" width="8.85546875" customWidth="1"/>
    <col min="104" max="105" width="8.85546875" customWidth="1"/>
    <col min="108" max="109" width="8.85546875" customWidth="1"/>
  </cols>
  <sheetData>
    <row r="2" spans="1:72">
      <c r="A2" t="s">
        <v>179</v>
      </c>
      <c r="C2" t="s">
        <v>187</v>
      </c>
      <c r="E2" t="s">
        <v>185</v>
      </c>
      <c r="G2" t="s">
        <v>180</v>
      </c>
      <c r="I2" t="s">
        <v>186</v>
      </c>
      <c r="K2" s="13"/>
      <c r="L2" s="13" t="s">
        <v>158</v>
      </c>
      <c r="M2" t="s">
        <v>179</v>
      </c>
      <c r="P2" s="13" t="s">
        <v>158</v>
      </c>
      <c r="Q2" t="s">
        <v>185</v>
      </c>
      <c r="U2" s="13" t="s">
        <v>158</v>
      </c>
      <c r="V2" t="s">
        <v>191</v>
      </c>
      <c r="W2" t="s">
        <v>190</v>
      </c>
      <c r="AA2" s="13" t="s">
        <v>158</v>
      </c>
      <c r="AB2" t="s">
        <v>186</v>
      </c>
      <c r="AE2" s="13" t="s">
        <v>1</v>
      </c>
      <c r="AF2" t="s">
        <v>179</v>
      </c>
      <c r="AI2" s="13" t="s">
        <v>1</v>
      </c>
      <c r="AJ2" t="s">
        <v>181</v>
      </c>
      <c r="AM2" s="13" t="s">
        <v>189</v>
      </c>
      <c r="AN2" s="13" t="s">
        <v>183</v>
      </c>
      <c r="AS2" s="13" t="s">
        <v>158</v>
      </c>
      <c r="AT2" t="s">
        <v>188</v>
      </c>
      <c r="AW2" s="13" t="s">
        <v>166</v>
      </c>
      <c r="AX2" t="s">
        <v>182</v>
      </c>
    </row>
    <row r="3" spans="1:72">
      <c r="A3" s="2">
        <v>577604.81873800792</v>
      </c>
      <c r="C3" s="2">
        <v>58206.062447163007</v>
      </c>
      <c r="D3" s="3"/>
      <c r="E3" s="2">
        <v>519398.75629084522</v>
      </c>
      <c r="G3" s="3">
        <v>46099</v>
      </c>
      <c r="I3" s="12">
        <v>0.86066707160192901</v>
      </c>
      <c r="K3" s="2"/>
      <c r="L3" s="1" t="s">
        <v>177</v>
      </c>
      <c r="M3" s="14">
        <v>241628.16213306302</v>
      </c>
      <c r="N3" s="2"/>
      <c r="O3" s="2"/>
      <c r="P3" s="1" t="s">
        <v>177</v>
      </c>
      <c r="Q3" s="14">
        <v>217242.73026034271</v>
      </c>
      <c r="R3" s="14"/>
      <c r="U3" s="1" t="s">
        <v>177</v>
      </c>
      <c r="V3" s="14">
        <v>241628.16213306302</v>
      </c>
      <c r="W3" s="14">
        <v>24385.431872720292</v>
      </c>
      <c r="AA3" s="1" t="s">
        <v>178</v>
      </c>
      <c r="AB3" s="12">
        <v>0.87262752749379324</v>
      </c>
      <c r="AE3" s="1" t="s">
        <v>72</v>
      </c>
      <c r="AF3" s="14">
        <v>9364.6735050761708</v>
      </c>
      <c r="AG3" s="14"/>
      <c r="AI3" s="1" t="s">
        <v>99</v>
      </c>
      <c r="AJ3" s="3">
        <v>93</v>
      </c>
      <c r="AM3" s="13" t="s">
        <v>175</v>
      </c>
      <c r="AN3" t="s">
        <v>178</v>
      </c>
      <c r="AO3" t="s">
        <v>176</v>
      </c>
      <c r="AP3" t="s">
        <v>177</v>
      </c>
      <c r="AQ3" t="s">
        <v>184</v>
      </c>
      <c r="AS3" s="1" t="s">
        <v>32</v>
      </c>
      <c r="AT3" s="14">
        <v>595.65902771895503</v>
      </c>
      <c r="AW3" s="1" t="s">
        <v>27</v>
      </c>
      <c r="AX3" s="14">
        <v>236.8976196639353</v>
      </c>
      <c r="BE3" s="3"/>
      <c r="BF3" s="2"/>
      <c r="BG3" s="2"/>
      <c r="BT3" s="2"/>
    </row>
    <row r="4" spans="1:72">
      <c r="L4" s="1" t="s">
        <v>176</v>
      </c>
      <c r="M4" s="14">
        <v>174455.39060546222</v>
      </c>
      <c r="N4" s="2"/>
      <c r="O4" s="2"/>
      <c r="P4" s="1" t="s">
        <v>176</v>
      </c>
      <c r="Q4" s="14">
        <v>155278.09222967763</v>
      </c>
      <c r="R4" s="14"/>
      <c r="U4" s="1" t="s">
        <v>176</v>
      </c>
      <c r="V4" s="14">
        <v>174455.39060546222</v>
      </c>
      <c r="W4" s="14">
        <v>19177.298375784489</v>
      </c>
      <c r="AA4" s="1" t="s">
        <v>177</v>
      </c>
      <c r="AB4" s="12">
        <v>0.85979637752863736</v>
      </c>
      <c r="AE4" s="1" t="s">
        <v>106</v>
      </c>
      <c r="AF4" s="14">
        <v>9435.7626089121295</v>
      </c>
      <c r="AG4" s="14"/>
      <c r="AI4" s="1" t="s">
        <v>58</v>
      </c>
      <c r="AJ4" s="3">
        <v>93</v>
      </c>
      <c r="AM4" s="1" t="s">
        <v>40</v>
      </c>
      <c r="AN4" s="4">
        <v>0.39938126329463858</v>
      </c>
      <c r="AO4" s="4">
        <v>2.9247087934532416</v>
      </c>
      <c r="AP4" s="4">
        <v>1.6944181172651134</v>
      </c>
      <c r="AQ4" s="4">
        <v>1.8239235457132921</v>
      </c>
      <c r="AR4" s="4"/>
      <c r="AS4" s="1" t="s">
        <v>41</v>
      </c>
      <c r="AT4" s="14">
        <v>500.4709847929779</v>
      </c>
      <c r="AU4" s="4"/>
      <c r="AV4" s="4"/>
      <c r="AW4" s="1" t="s">
        <v>43</v>
      </c>
      <c r="AX4" s="14">
        <v>162.37945693178756</v>
      </c>
      <c r="AY4" s="4"/>
      <c r="AZ4" s="4"/>
      <c r="BA4" s="4"/>
      <c r="BB4" s="4"/>
      <c r="BE4" s="3"/>
      <c r="BF4" s="2"/>
      <c r="BG4" s="2"/>
      <c r="BT4" s="2"/>
    </row>
    <row r="5" spans="1:72">
      <c r="L5" s="1" t="s">
        <v>178</v>
      </c>
      <c r="M5" s="14">
        <v>161521.26599948306</v>
      </c>
      <c r="N5" s="2"/>
      <c r="O5" s="2"/>
      <c r="P5" s="1" t="s">
        <v>178</v>
      </c>
      <c r="Q5" s="14">
        <v>146877.93380082477</v>
      </c>
      <c r="R5" s="14"/>
      <c r="U5" s="1" t="s">
        <v>178</v>
      </c>
      <c r="V5" s="14">
        <v>161521.26599948306</v>
      </c>
      <c r="W5" s="14">
        <v>14643.332198658225</v>
      </c>
      <c r="AA5" s="1" t="s">
        <v>176</v>
      </c>
      <c r="AB5" s="12">
        <v>0.85254518659437639</v>
      </c>
      <c r="AE5" s="1" t="s">
        <v>142</v>
      </c>
      <c r="AF5" s="14">
        <v>9444.7420330629793</v>
      </c>
      <c r="AG5" s="14"/>
      <c r="AI5" s="1" t="s">
        <v>123</v>
      </c>
      <c r="AJ5" s="3">
        <v>95</v>
      </c>
      <c r="AM5" s="1" t="s">
        <v>47</v>
      </c>
      <c r="AN5" s="4">
        <v>2.158841021839244</v>
      </c>
      <c r="AO5" s="4">
        <v>1.9593179653067767</v>
      </c>
      <c r="AP5" s="4">
        <v>2.8782267320882076</v>
      </c>
      <c r="AQ5" s="4">
        <v>2.3188139085148154</v>
      </c>
      <c r="AR5" s="4"/>
      <c r="AS5" s="1" t="s">
        <v>48</v>
      </c>
      <c r="AT5" s="14">
        <v>485.48312777565491</v>
      </c>
      <c r="AU5" s="4"/>
      <c r="AV5" s="4"/>
      <c r="AW5" s="1" t="s">
        <v>36</v>
      </c>
      <c r="AX5" s="14">
        <v>155.53783060623547</v>
      </c>
      <c r="AY5" s="4"/>
      <c r="AZ5" s="4"/>
      <c r="BA5" s="4"/>
      <c r="BB5" s="4"/>
      <c r="BE5" s="3"/>
      <c r="BF5" s="2"/>
      <c r="BG5" s="2"/>
      <c r="BT5" s="2"/>
    </row>
    <row r="6" spans="1:72">
      <c r="L6" s="1" t="s">
        <v>184</v>
      </c>
      <c r="M6" s="14">
        <v>577604.81873800838</v>
      </c>
      <c r="N6" s="2"/>
      <c r="O6" s="2"/>
      <c r="P6" s="1" t="s">
        <v>184</v>
      </c>
      <c r="Q6" s="14">
        <v>519398.75629084511</v>
      </c>
      <c r="R6" s="14"/>
      <c r="U6" s="1" t="s">
        <v>184</v>
      </c>
      <c r="V6" s="14">
        <v>577604.81873800838</v>
      </c>
      <c r="W6" s="14">
        <v>58206.062447163007</v>
      </c>
      <c r="AA6" s="1" t="s">
        <v>184</v>
      </c>
      <c r="AB6" s="12">
        <v>0.8606670716019289</v>
      </c>
      <c r="AE6" s="1" t="s">
        <v>121</v>
      </c>
      <c r="AF6" s="14">
        <v>9473.7980325083299</v>
      </c>
      <c r="AG6" s="14"/>
      <c r="AI6" s="1" t="s">
        <v>107</v>
      </c>
      <c r="AJ6" s="3">
        <v>96</v>
      </c>
      <c r="AM6" s="1" t="s">
        <v>31</v>
      </c>
      <c r="AN6" s="4">
        <v>2.7036749128426116</v>
      </c>
      <c r="AO6" s="4">
        <v>2.2387315556923384</v>
      </c>
      <c r="AP6" s="4">
        <v>2.9927625004564233</v>
      </c>
      <c r="AQ6" s="4">
        <v>2.6209384707029098</v>
      </c>
      <c r="AR6" s="4"/>
      <c r="AS6" s="1" t="s">
        <v>184</v>
      </c>
      <c r="AT6" s="14">
        <v>529.24578215814063</v>
      </c>
      <c r="AU6" s="4"/>
      <c r="AV6" s="4"/>
      <c r="AW6" s="1" t="s">
        <v>184</v>
      </c>
      <c r="AX6" s="14">
        <v>554.81490720195836</v>
      </c>
      <c r="AY6" s="4"/>
      <c r="AZ6" s="4"/>
      <c r="BA6" s="4"/>
      <c r="BB6" s="4"/>
      <c r="BE6" s="3"/>
      <c r="BF6" s="2"/>
      <c r="BG6" s="2"/>
      <c r="BT6" s="2"/>
    </row>
    <row r="7" spans="1:72">
      <c r="AE7" s="1" t="s">
        <v>86</v>
      </c>
      <c r="AF7" s="14">
        <v>9571.5504873278096</v>
      </c>
      <c r="AG7" s="14"/>
      <c r="AI7" s="1" t="s">
        <v>131</v>
      </c>
      <c r="AJ7" s="3">
        <v>96</v>
      </c>
      <c r="AM7" s="1" t="s">
        <v>56</v>
      </c>
      <c r="AN7" s="4">
        <v>2.0421560742053551</v>
      </c>
      <c r="AO7" s="4">
        <v>3.6428694726088398</v>
      </c>
      <c r="AP7" s="4">
        <v>1.790766808706902</v>
      </c>
      <c r="AQ7" s="4">
        <v>2.3152812939185763</v>
      </c>
      <c r="AR7" s="4"/>
      <c r="AS7" s="4"/>
      <c r="AT7" s="4"/>
      <c r="AU7" s="4"/>
      <c r="AV7" s="4"/>
      <c r="AW7" s="4"/>
      <c r="AX7" s="4"/>
      <c r="AY7" s="4"/>
      <c r="AZ7" s="4"/>
      <c r="BA7" s="4"/>
      <c r="BB7" s="4"/>
    </row>
    <row r="8" spans="1:72">
      <c r="AE8" s="1" t="s">
        <v>37</v>
      </c>
      <c r="AF8" s="14">
        <v>9577.7496258687297</v>
      </c>
      <c r="AG8" s="14"/>
      <c r="AI8" s="1" t="s">
        <v>109</v>
      </c>
      <c r="AJ8" s="3">
        <v>97</v>
      </c>
      <c r="AM8" s="1" t="s">
        <v>184</v>
      </c>
      <c r="AN8" s="4">
        <v>1.9192869782813149</v>
      </c>
      <c r="AO8" s="4">
        <v>2.4831501929246214</v>
      </c>
      <c r="AP8" s="4">
        <v>2.3346807819802331</v>
      </c>
      <c r="AQ8" s="4">
        <v>2.277157992739606</v>
      </c>
      <c r="AR8" s="4"/>
      <c r="AS8" s="4"/>
      <c r="AT8" s="4"/>
      <c r="AU8" s="4"/>
      <c r="AV8" s="4"/>
      <c r="AW8" s="4"/>
      <c r="AX8" s="4"/>
      <c r="AY8" s="4"/>
      <c r="AZ8" s="4"/>
      <c r="BA8" s="4"/>
      <c r="BB8" s="4"/>
    </row>
    <row r="9" spans="1:72">
      <c r="AE9" s="1" t="s">
        <v>144</v>
      </c>
      <c r="AF9" s="14">
        <v>9592.6335702803099</v>
      </c>
      <c r="AG9" s="14"/>
      <c r="AI9" s="1" t="s">
        <v>103</v>
      </c>
      <c r="AJ9" s="3">
        <v>97</v>
      </c>
    </row>
    <row r="10" spans="1:72">
      <c r="AE10" s="1" t="s">
        <v>85</v>
      </c>
      <c r="AF10" s="14">
        <v>9655.1351027193905</v>
      </c>
      <c r="AG10" s="14"/>
      <c r="AI10" s="1" t="s">
        <v>145</v>
      </c>
      <c r="AJ10" s="3">
        <v>98</v>
      </c>
    </row>
    <row r="11" spans="1:72">
      <c r="AE11" s="1" t="s">
        <v>92</v>
      </c>
      <c r="AF11" s="14">
        <v>9692.3180402184298</v>
      </c>
      <c r="AG11" s="14"/>
      <c r="AI11" s="1" t="s">
        <v>113</v>
      </c>
      <c r="AJ11" s="3">
        <v>100</v>
      </c>
    </row>
    <row r="12" spans="1:72">
      <c r="AE12" s="1" t="s">
        <v>105</v>
      </c>
      <c r="AF12" s="14">
        <v>9866.4654579796897</v>
      </c>
      <c r="AG12" s="14"/>
      <c r="AI12" s="1" t="s">
        <v>66</v>
      </c>
      <c r="AJ12" s="3">
        <v>100</v>
      </c>
    </row>
    <row r="13" spans="1:72">
      <c r="AE13" s="1" t="s">
        <v>184</v>
      </c>
      <c r="AF13" s="14">
        <v>95674.828463953978</v>
      </c>
      <c r="AG13" s="14"/>
      <c r="AI13" s="1" t="s">
        <v>105</v>
      </c>
      <c r="AJ13" s="3">
        <v>100</v>
      </c>
    </row>
    <row r="14" spans="1:72">
      <c r="AI14" s="1" t="s">
        <v>184</v>
      </c>
      <c r="AJ14" s="3">
        <v>1065</v>
      </c>
    </row>
  </sheetData>
  <pageMargins left="0.7" right="0.7" top="0.75" bottom="0.75" header="0.3" footer="0.3"/>
  <drawing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BBB9-38B3-4234-A4DA-B9F632928090}">
  <sheetPr>
    <tabColor theme="5"/>
  </sheetPr>
  <dimension ref="A7:Z8"/>
  <sheetViews>
    <sheetView showGridLines="0" tabSelected="1" zoomScale="75" zoomScaleNormal="75" workbookViewId="0">
      <selection activeCell="AC17" sqref="AC17"/>
    </sheetView>
  </sheetViews>
  <sheetFormatPr defaultRowHeight="12.75"/>
  <cols>
    <col min="1" max="1" width="9.140625" style="19"/>
    <col min="2" max="5" width="9.140625" style="19" customWidth="1"/>
    <col min="6" max="6" width="9.140625" style="19"/>
    <col min="7" max="7" width="9.140625" style="19" customWidth="1"/>
    <col min="8" max="8" width="9.140625" style="19"/>
    <col min="9" max="10" width="9.140625" style="19" customWidth="1"/>
    <col min="11" max="12" width="9.140625" style="19"/>
    <col min="13" max="13" width="9.140625" style="19" customWidth="1"/>
    <col min="14" max="16384" width="9.140625" style="19"/>
  </cols>
  <sheetData>
    <row r="7" spans="1:26" ht="22.5">
      <c r="A7" s="18"/>
      <c r="B7" s="27">
        <f>GETPIVOTDATA("Revenue_Generated",'05_PIVOT_TABLES'!$A$2)</f>
        <v>577604.81873800792</v>
      </c>
      <c r="C7" s="27"/>
      <c r="D7" s="27"/>
      <c r="E7" s="18"/>
      <c r="H7" s="27">
        <f>GETPIVOTDATA("Total_Cost",'05_PIVOT_TABLES'!$C$2)</f>
        <v>58206.062447163007</v>
      </c>
      <c r="I7" s="27"/>
      <c r="J7" s="20"/>
      <c r="L7" s="21"/>
      <c r="N7" s="27">
        <f>GETPIVOTDATA("Profit",'05_PIVOT_TABLES'!$E$2)</f>
        <v>519398.75629084522</v>
      </c>
      <c r="O7" s="27"/>
      <c r="S7" s="26">
        <f>GETPIVOTDATA("Number_of_Products _Sold",'05_PIVOT_TABLES'!$G$2)</f>
        <v>46099</v>
      </c>
      <c r="T7" s="26"/>
      <c r="Y7" s="25">
        <f>GETPIVOTDATA("Profit_Margin",'05_PIVOT_TABLES'!$I$2)</f>
        <v>0.86066707160192901</v>
      </c>
      <c r="Z7" s="25"/>
    </row>
    <row r="8" spans="1:26" ht="17.25" customHeight="1">
      <c r="B8" s="22"/>
      <c r="C8" s="22"/>
      <c r="E8" s="23"/>
      <c r="G8" s="23"/>
      <c r="H8" s="23"/>
      <c r="I8" s="28"/>
      <c r="J8" s="28"/>
      <c r="U8" s="24"/>
    </row>
  </sheetData>
  <sheetProtection sheet="1" objects="1" scenarios="1" selectLockedCells="1" pivotTables="0"/>
  <mergeCells count="6">
    <mergeCell ref="Y7:Z7"/>
    <mergeCell ref="S7:T7"/>
    <mergeCell ref="H7:I7"/>
    <mergeCell ref="B7:D7"/>
    <mergeCell ref="I8:J8"/>
    <mergeCell ref="N7:O7"/>
  </mergeCells>
  <pageMargins left="0.7" right="0.7" top="0.75" bottom="0.75" header="0.3" footer="0.3"/>
  <pageSetup orientation="portrait" horizontalDpi="300" verticalDpi="0" copies="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01_README</vt:lpstr>
      <vt:lpstr>02_RAW_DATA</vt:lpstr>
      <vt:lpstr>03_WORKINGS</vt:lpstr>
      <vt:lpstr>04_CLEANED_DATA</vt:lpstr>
      <vt:lpstr>05_PIVOT_TABLES</vt:lpstr>
      <vt:lpstr>06_DASHBOARD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winnifrednze@gmail.com</cp:lastModifiedBy>
  <cp:lastPrinted>2026-05-09T21:31:45Z</cp:lastPrinted>
  <dcterms:created xsi:type="dcterms:W3CDTF">2026-05-03T17:20:36Z</dcterms:created>
  <dcterms:modified xsi:type="dcterms:W3CDTF">2026-05-09T23:28:02Z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1033-12.2.0.20795</vt:lpwstr>
  </property>
  <property fmtid="{D5CDD505-2E9C-101B-9397-08002B2CF9AE}" pid="3" name="ICV">
    <vt:lpwstr>7E9AFDEE3B7A4747A2EFA0992BA56784_12</vt:lpwstr>
  </property>
</Properties>
</file>